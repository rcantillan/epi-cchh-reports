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13"/>
  <workbookPr/>
  <mc:AlternateContent xmlns:mc="http://schemas.openxmlformats.org/markup-compatibility/2006">
    <mc:Choice Requires="x15">
      <x15ac:absPath xmlns:x15ac="http://schemas.microsoft.com/office/spreadsheetml/2010/11/ac" url="C:\Users\vubal\Dropbox\UAH 2025\EPI 2025\Formatos excel result por carrera\FACSO\"/>
    </mc:Choice>
  </mc:AlternateContent>
  <xr:revisionPtr revIDLastSave="35" documentId="13_ncr:1_{A98066CE-29AA-458A-B353-A82AB3D05495}" xr6:coauthVersionLast="47" xr6:coauthVersionMax="47" xr10:uidLastSave="{F9EB5969-6A98-435C-AD8F-DEDA22B7B3ED}"/>
  <bookViews>
    <workbookView xWindow="28680" yWindow="-120" windowWidth="24240" windowHeight="13140" firstSheet="6" activeTab="6"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Individuales'!$A$4:$P$4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2" l="1"/>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4"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N78" i="2"/>
</calcChain>
</file>

<file path=xl/sharedStrings.xml><?xml version="1.0" encoding="utf-8"?>
<sst xmlns="http://schemas.openxmlformats.org/spreadsheetml/2006/main" count="508" uniqueCount="309">
  <si>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</si>
  <si>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</si>
  <si>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</si>
  <si>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</si>
  <si>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</si>
  <si>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</si>
  <si>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</si>
  <si>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</si>
  <si>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</si>
  <si>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</si>
  <si>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</si>
  <si>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</si>
  <si>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</si>
  <si>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</si>
  <si>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</si>
  <si>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</si>
  <si>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</si>
  <si>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</si>
  <si>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</si>
  <si>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</si>
  <si>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</si>
  <si>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</si>
  <si>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</si>
  <si>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</si>
  <si>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</si>
  <si>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</si>
  <si>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</si>
  <si>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</si>
  <si>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</si>
  <si>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</si>
  <si>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</si>
  <si>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</si>
  <si>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</si>
  <si>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</si>
  <si>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</si>
  <si>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</si>
  <si>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</si>
  <si>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</si>
  <si>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</si>
  <si>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</si>
  <si>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</si>
  <si>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</si>
  <si>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</si>
  <si>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2"/>
        <color theme="1"/>
        <rFont val="Aptos Narrow"/>
        <family val="2"/>
        <scheme val="minor"/>
      </rPr>
      <t>Actividad problema 1</t>
    </r>
    <r>
      <rPr>
        <sz val="11"/>
        <color theme="1"/>
        <rFont val="Aptos Narrow"/>
        <family val="2"/>
        <scheme val="minor"/>
      </rPr>
      <t xml:space="preserve">
</t>
    </r>
    <r>
      <rPr>
        <i/>
        <sz val="12"/>
        <color theme="1"/>
        <rFont val="Aptos Narrow"/>
        <family val="2"/>
        <scheme val="minor"/>
      </rPr>
      <t>No observado: 0 punto</t>
    </r>
    <r>
      <rPr>
        <sz val="12"/>
        <color theme="1"/>
        <rFont val="Aptos Narrow"/>
        <family val="2"/>
        <scheme val="minor"/>
      </rPr>
      <t xml:space="preserve">
</t>
    </r>
    <r>
      <rPr>
        <i/>
        <sz val="11"/>
        <color theme="1"/>
        <rFont val="Aptos Narrow"/>
        <family val="2"/>
        <scheme val="minor"/>
      </rPr>
      <t xml:space="preserve">Por mejorar: 1 punto                                
Base: 2 puntos
Satisfactorio : 3 puntos
</t>
    </r>
    <r>
      <rPr>
        <sz val="11"/>
        <color theme="1"/>
        <rFont val="Aptos Narrow"/>
        <family val="2"/>
        <scheme val="minor"/>
      </rPr>
      <t>Óptimo : 4 puntos</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</si>
  <si>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</si>
  <si>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</si>
  <si>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</si>
  <si>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</si>
  <si>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</si>
  <si>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</si>
  <si>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</si>
  <si>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</si>
  <si>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</si>
  <si>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</si>
  <si>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 Distinción entre fenómeno y problema social</t>
  </si>
  <si>
    <t>2. Fundamentos para la construcción de sujetos y fenómenos sociales y de intervención social</t>
  </si>
  <si>
    <t xml:space="preserve">3. Coherencia entre teorías críticas y estrategias metodológicas en la intervención social </t>
  </si>
  <si>
    <t>4. Comunicación escrita y textos académicos</t>
  </si>
  <si>
    <t>PUNTAJE TOTAL ESTUDIANTE</t>
  </si>
  <si>
    <t>PORCENTAJE DE LOGRO</t>
  </si>
  <si>
    <t>CATEGORÍA RESULTADO GLOBAL ESTUDIANTE</t>
  </si>
  <si>
    <t>MAULEN</t>
  </si>
  <si>
    <t>HERRAS</t>
  </si>
  <si>
    <t>MIRNA ISABEL</t>
  </si>
  <si>
    <t>Avance curricular suficiente o adecuado para evaluar ciclo básico</t>
  </si>
  <si>
    <t>Rendida</t>
  </si>
  <si>
    <t>K</t>
  </si>
  <si>
    <t>ANGULO</t>
  </si>
  <si>
    <t>LAGOS</t>
  </si>
  <si>
    <t>MARIA LUISA</t>
  </si>
  <si>
    <t>HERNÁNDEZ</t>
  </si>
  <si>
    <t>ROA</t>
  </si>
  <si>
    <t>CAMILA ANGÉLICA</t>
  </si>
  <si>
    <t>TIZNADO</t>
  </si>
  <si>
    <t>ROJAS</t>
  </si>
  <si>
    <t>JOSÉ IGNACIO</t>
  </si>
  <si>
    <t>FIGUEROA</t>
  </si>
  <si>
    <t>RÍOS</t>
  </si>
  <si>
    <t>SEBASTIÁN ANDRÉS</t>
  </si>
  <si>
    <t>ACUÑA</t>
  </si>
  <si>
    <t>JORQUERA</t>
  </si>
  <si>
    <t>ELIZABETH CAROLINA</t>
  </si>
  <si>
    <t>MORENO</t>
  </si>
  <si>
    <t>MARTÍNEZ</t>
  </si>
  <si>
    <t>RAYEN ALMENDRA</t>
  </si>
  <si>
    <t>NEGRETE</t>
  </si>
  <si>
    <t>CARRIEL</t>
  </si>
  <si>
    <t>JAVIERA ALEJANDRA</t>
  </si>
  <si>
    <t>BRAVO</t>
  </si>
  <si>
    <t>LIPIN</t>
  </si>
  <si>
    <t>IGNACIA BELÉN</t>
  </si>
  <si>
    <t>SOTO</t>
  </si>
  <si>
    <t>STEWART</t>
  </si>
  <si>
    <t>CAMILA MACARENA</t>
  </si>
  <si>
    <t>No aplica</t>
  </si>
  <si>
    <t>ARELLANO</t>
  </si>
  <si>
    <t>CAMILA ANTONIA</t>
  </si>
  <si>
    <t>CORALES</t>
  </si>
  <si>
    <t>CARBONELL</t>
  </si>
  <si>
    <t>AMPARO</t>
  </si>
  <si>
    <t>PAZ</t>
  </si>
  <si>
    <t>CARRILLO</t>
  </si>
  <si>
    <t>YANARA ANTONIA</t>
  </si>
  <si>
    <t>TRINIDAD ALEJANDRA</t>
  </si>
  <si>
    <t>MORALES</t>
  </si>
  <si>
    <t>CASTRO</t>
  </si>
  <si>
    <t>TRIANA YAIRE</t>
  </si>
  <si>
    <t>ÁLVAREZ</t>
  </si>
  <si>
    <t>GONZÁLEZ</t>
  </si>
  <si>
    <t>DANIELA DEL CARMEN</t>
  </si>
  <si>
    <t>MUÑOZ</t>
  </si>
  <si>
    <t>CASTILLO</t>
  </si>
  <si>
    <t>NOELIA FRANCISCA</t>
  </si>
  <si>
    <t>PULGAR</t>
  </si>
  <si>
    <t>ANTONIA ALEJANDRA</t>
  </si>
  <si>
    <t>MENDOZA</t>
  </si>
  <si>
    <t>BECERRA</t>
  </si>
  <si>
    <t>MANUEL RICARDO ALEXANDER</t>
  </si>
  <si>
    <t>MELLADO</t>
  </si>
  <si>
    <t>CONTRERAS</t>
  </si>
  <si>
    <t>CRISTOPHER BASTIÁN</t>
  </si>
  <si>
    <t>FUENTES</t>
  </si>
  <si>
    <t>SALINAS</t>
  </si>
  <si>
    <t>DOMINIQUE VICTORIA</t>
  </si>
  <si>
    <t>JORDÁN</t>
  </si>
  <si>
    <t>TRONCOSO</t>
  </si>
  <si>
    <t>ANTONIA DE LOS ÁNGELES</t>
  </si>
  <si>
    <t>No rendida</t>
  </si>
  <si>
    <t>Justifica tema de salud mental grave</t>
  </si>
  <si>
    <t>GUZMÁN</t>
  </si>
  <si>
    <t>REYES</t>
  </si>
  <si>
    <t>AMARO RAÚL</t>
  </si>
  <si>
    <t>LEYTON</t>
  </si>
  <si>
    <t>BENAVIDES</t>
  </si>
  <si>
    <t>BASTIÁN IGNACIO</t>
  </si>
  <si>
    <t>VIVAR</t>
  </si>
  <si>
    <t>IVANA ISIDORA IGNACIA</t>
  </si>
  <si>
    <t>FERNÁNDEZ</t>
  </si>
  <si>
    <t>COX</t>
  </si>
  <si>
    <t>MARTÍN</t>
  </si>
  <si>
    <t>DUSTAN</t>
  </si>
  <si>
    <t>BUSTOS</t>
  </si>
  <si>
    <t>MAITE VALENTINA</t>
  </si>
  <si>
    <t>STONE</t>
  </si>
  <si>
    <t>ARANA</t>
  </si>
  <si>
    <t>FERNANDA ESPERANZA</t>
  </si>
  <si>
    <t>CONSTANZA JOHANNA CATARI</t>
  </si>
  <si>
    <t>VARGAS</t>
  </si>
  <si>
    <t>ROMÁN</t>
  </si>
  <si>
    <t>TANYA NAOMY</t>
  </si>
  <si>
    <t>SALAZAR</t>
  </si>
  <si>
    <t>DARIAN RENATA</t>
  </si>
  <si>
    <t>PEREIRA</t>
  </si>
  <si>
    <t>JASMÍN ALEJANDRA</t>
  </si>
  <si>
    <t>ULLOA</t>
  </si>
  <si>
    <t>CATALINA MARÍA LUISA</t>
  </si>
  <si>
    <t>VERDUGO</t>
  </si>
  <si>
    <t>VIOLETA SUYANA INKA</t>
  </si>
  <si>
    <t>CÁCERES</t>
  </si>
  <si>
    <t>CAMPOS</t>
  </si>
  <si>
    <t>AMANDA CAROLINA</t>
  </si>
  <si>
    <t>TORRES</t>
  </si>
  <si>
    <t>GATICA</t>
  </si>
  <si>
    <t>KAMILA ANDREA</t>
  </si>
  <si>
    <t>SANDOVAL</t>
  </si>
  <si>
    <t>OBREQUE</t>
  </si>
  <si>
    <t>NOEMÍ KATALINA</t>
  </si>
  <si>
    <t>TABILO</t>
  </si>
  <si>
    <t>RODRIGO JESÚS</t>
  </si>
  <si>
    <t>VALDÉS</t>
  </si>
  <si>
    <t>VALERIA ESPERANZA</t>
  </si>
  <si>
    <t>SÁEZ</t>
  </si>
  <si>
    <t>HERRERA</t>
  </si>
  <si>
    <t>IGNACIA CATALINA</t>
  </si>
  <si>
    <t>FARÍAS</t>
  </si>
  <si>
    <t>VICTORIA FERNANDA</t>
  </si>
  <si>
    <t>VERA</t>
  </si>
  <si>
    <t>MARTINA MARCELA</t>
  </si>
  <si>
    <t>VÁSQUEZ</t>
  </si>
  <si>
    <t>MARTINA IGNACIA</t>
  </si>
  <si>
    <t>SILVA</t>
  </si>
  <si>
    <t>MARTINA ANTONIA ISADORA</t>
  </si>
  <si>
    <t>ANTONIA VANESA</t>
  </si>
  <si>
    <t>MÁRQUEZ</t>
  </si>
  <si>
    <t>ANTONIA IGNACIA</t>
  </si>
  <si>
    <t>SERRANO</t>
  </si>
  <si>
    <t>CASANOVA</t>
  </si>
  <si>
    <t>VALENTINA LUISA</t>
  </si>
  <si>
    <t>AHUMADA</t>
  </si>
  <si>
    <t>EMA FERNANDA</t>
  </si>
  <si>
    <t>CABELLO</t>
  </si>
  <si>
    <t>DANIELA BELÉN</t>
  </si>
  <si>
    <t>LARRE</t>
  </si>
  <si>
    <t>MELLA</t>
  </si>
  <si>
    <t>DANKA KERYMA</t>
  </si>
  <si>
    <t>LEÓN</t>
  </si>
  <si>
    <t>GALAZ</t>
  </si>
  <si>
    <t>FLORENCIA ANTONIA</t>
  </si>
  <si>
    <t>GALLO</t>
  </si>
  <si>
    <t>RENATA AMELY</t>
  </si>
  <si>
    <t>PINEDA</t>
  </si>
  <si>
    <t>MARÍA FERNANDA</t>
  </si>
  <si>
    <t>TRAÑOLAO</t>
  </si>
  <si>
    <t>NECULQUEO</t>
  </si>
  <si>
    <t>FELIPE ALBERTO</t>
  </si>
  <si>
    <t>VENEGAS</t>
  </si>
  <si>
    <t>CUMIAN</t>
  </si>
  <si>
    <t>CONSTANZA BELÉN</t>
  </si>
  <si>
    <t>ANGEL</t>
  </si>
  <si>
    <t>LÓPEZ</t>
  </si>
  <si>
    <t>MARTINA JESUS</t>
  </si>
  <si>
    <t>SÁNCHEZ</t>
  </si>
  <si>
    <t>SOMMARUGA</t>
  </si>
  <si>
    <t>TANYA ALEJANDRA</t>
  </si>
  <si>
    <t>VALENTINA ANTONIA</t>
  </si>
  <si>
    <t>VILLEGAS</t>
  </si>
  <si>
    <t>DÍAZ</t>
  </si>
  <si>
    <t>MARCHANT</t>
  </si>
  <si>
    <t>KAREN MÓNICA PATRICIA</t>
  </si>
  <si>
    <t>INOSTROZA</t>
  </si>
  <si>
    <t>PARRA</t>
  </si>
  <si>
    <t>MONSERRAT JAEL</t>
  </si>
  <si>
    <t>SAAVEDRA</t>
  </si>
  <si>
    <t>ACHONG</t>
  </si>
  <si>
    <t>HARUMY KHATRIEL</t>
  </si>
  <si>
    <t>MALDONADO</t>
  </si>
  <si>
    <t>BEDOYA</t>
  </si>
  <si>
    <t>LUISA FERNANDA</t>
  </si>
  <si>
    <t>Interrupción voluntaria (no rinde EPI 2025)</t>
  </si>
  <si>
    <t>PÉREZ</t>
  </si>
  <si>
    <t>FRANCISCA ANTONIA</t>
  </si>
  <si>
    <t>ACEVEDO</t>
  </si>
  <si>
    <t>RETAMALES</t>
  </si>
  <si>
    <t>LUKAS ENRIQUE ITZIEL</t>
  </si>
  <si>
    <t>SALGADO</t>
  </si>
  <si>
    <t>CAMUS</t>
  </si>
  <si>
    <t>NICOLÁS ALEJANDRO</t>
  </si>
  <si>
    <t>PICÓN</t>
  </si>
  <si>
    <t>STEPHANY JESÚS</t>
  </si>
  <si>
    <t>BONICHE</t>
  </si>
  <si>
    <t>MOLINA</t>
  </si>
  <si>
    <t>MIRKO ALEXANDRO</t>
  </si>
  <si>
    <t>RIVAS</t>
  </si>
  <si>
    <t>URETA</t>
  </si>
  <si>
    <t>SOFÍA ANTONIA</t>
  </si>
  <si>
    <t>GARÍN</t>
  </si>
  <si>
    <t>CAMELIO</t>
  </si>
  <si>
    <t>SOFÍA BELÉN</t>
  </si>
  <si>
    <t>ÁGUILA</t>
  </si>
  <si>
    <t>VICENTE GABRIEL</t>
  </si>
  <si>
    <t>VELÁSQUEZ</t>
  </si>
  <si>
    <t>VALENTINA IMAI</t>
  </si>
  <si>
    <t>ESCARES</t>
  </si>
  <si>
    <t>CONSTANZA SOULING</t>
  </si>
  <si>
    <t>LARA</t>
  </si>
  <si>
    <t>GUTIÉRREZ</t>
  </si>
  <si>
    <t>SCARLET PABLA</t>
  </si>
  <si>
    <r>
      <rPr>
        <b/>
        <u/>
        <sz val="12"/>
        <color rgb="FF000000"/>
        <rFont val="Aptos Narrow"/>
        <scheme val="minor"/>
      </rPr>
      <t xml:space="preserve">Actividad problema 1
</t>
    </r>
    <r>
      <rPr>
        <sz val="12"/>
        <color rgb="FF000000"/>
        <rFont val="Aptos Narrow"/>
        <scheme val="minor"/>
      </rPr>
      <t>Nivel de logro 0: 0 punto
                              Nivel de logro 1: 1 punto                                
Nivel de logro 2: 2 puntos
Nivel del logro 3 : 3 puntos
Nivel del logro 4 : 4 puntos</t>
    </r>
  </si>
  <si>
    <t>Resultados Generales Cohorte</t>
  </si>
  <si>
    <t>N Estudiantes habilitados para rendir</t>
  </si>
  <si>
    <t>N Estudiantes que rindieron</t>
  </si>
  <si>
    <t>Porcentaje de cobertura EPI</t>
  </si>
  <si>
    <t>3. Coherencia entre teorías críticas y estrategias metodológicas en la intervención social</t>
  </si>
  <si>
    <t>PUNTAJE TOTAL</t>
  </si>
  <si>
    <t>PORCENTAJE DE LOGRO EPI 2025</t>
  </si>
  <si>
    <t>CATEGORÍA RESULTADO GLOBAL</t>
  </si>
  <si>
    <t>Indicardor 1</t>
  </si>
  <si>
    <t>Indicador 2</t>
  </si>
  <si>
    <t>Indicador 3</t>
  </si>
  <si>
    <t>Pendiente de consultar</t>
  </si>
  <si>
    <t>Estado de Habilitación para rendir</t>
  </si>
  <si>
    <t>JUSTIFICATIVO DE NO RENDICIÓN</t>
  </si>
  <si>
    <t xml:space="preserve">  Puntaje según categoría</t>
  </si>
  <si>
    <t xml:space="preserve">Rendida </t>
  </si>
  <si>
    <t>Justifica</t>
  </si>
  <si>
    <t>Avance curricular insuficiente para evaluar ciclo básico (no rinde EPI 2025)</t>
  </si>
  <si>
    <t>No justifica</t>
  </si>
  <si>
    <t>EPI pendiente periodo anterior</t>
  </si>
  <si>
    <t>Rendida no válida</t>
  </si>
  <si>
    <t>Expulsión</t>
  </si>
  <si>
    <t>Retracto</t>
  </si>
  <si>
    <t>POR MEJORAR</t>
  </si>
  <si>
    <t>RINDE</t>
  </si>
  <si>
    <t>SUFICIENTE</t>
  </si>
  <si>
    <t>NO RINDE</t>
  </si>
  <si>
    <t>SATISFACTORIO</t>
  </si>
  <si>
    <t>ÓPTIMO</t>
  </si>
  <si>
    <t>Facultad de Ciencias Sociales</t>
  </si>
  <si>
    <t>Trabajo Social</t>
  </si>
  <si>
    <t>PLAN DE ESTUDIO 2023</t>
  </si>
  <si>
    <t> </t>
  </si>
  <si>
    <t>ANÁLISIS Y TOMA DE DECISIONES BASADAS EN LA EVIDENCIA</t>
  </si>
  <si>
    <t>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t>
  </si>
  <si>
    <t>N°</t>
  </si>
  <si>
    <t>TIPO DE ACCIÓN</t>
  </si>
  <si>
    <t>ACCIONES</t>
  </si>
  <si>
    <t>MEDIO DE VERIFICACIÓN</t>
  </si>
  <si>
    <t>I.</t>
  </si>
  <si>
    <t>CORTO PLAZO</t>
  </si>
  <si>
    <t>-Realizar una instancia de reforzamiento que permita mitigar las confusiones que presentan las/os estudiantes respecto a conceptualizaciones fundamentales para el desarrollado de la carrera.
- Implementar un taller específico mediante el cual se refuercen los elementos centrales del diseño de Intervenciones Sociales - Grupo de conversación enfocado en recoger los principales desafíos y nudos críticos del proceso evaluativo
- Generar un espacio de socialización de los resultados de la EPI con docentes de la carrera
-Generar un espacio grupal de socialización de los resultados de la EPI con las y los estudiantes que la rindieron</t>
  </si>
  <si>
    <t>.-Material audiovisual utilizado para el reformzamientos del diseño de Intervenciones Sociales
- listas de asistencia
- pauta preguntas focus gropu
- Material audiovisual utilizado en las instancias de socialización</t>
  </si>
  <si>
    <t>II.</t>
  </si>
  <si>
    <t>MEDIANO PLAZO</t>
  </si>
  <si>
    <t xml:space="preserve">
- Desarrollar jornadas de trabajo con el equipo docente de la carrera para le evaluación de la necesidad de generar cambios metodológicos en los cursos del Ciclo Básico de la carrera.</t>
  </si>
  <si>
    <t xml:space="preserve">
- Acta de reunión</t>
  </si>
  <si>
    <t>III.</t>
  </si>
  <si>
    <t>LARGO PLAZO</t>
  </si>
  <si>
    <t xml:space="preserve">
- Se realizó recientemente un cambio en el Plan de Estudios (2023), lo que se espera genere un impacto positivo en el desarrollo de las competencias y contenidos considerados para el Ciclo Básico.
- Generar una instancia para la socialización de estrategias de innovación en la docencia universitaria</t>
  </si>
  <si>
    <t>- Documento Nuevo Plan de Estudios 2023
- Lista de asistencia Taller de Innovación en Docencia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</si>
</sst>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i/>
      <sz val="12"/>
      <color theme="1"/>
      <name val="Aptos Narrow"/>
      <family val="2"/>
      <scheme val="minor"/>
    </font>
    <font>
      <sz val="11"/>
      <color theme="1"/>
      <name val="Aptos Narrow"/>
      <charset val="1"/>
    </font>
    <font>
      <sz val="11"/>
      <color theme="1"/>
      <name val="Arial"/>
      <charset val="1"/>
    </font>
    <font>
      <sz val="10"/>
      <color theme="1"/>
      <name val="Calibri"/>
      <charset val="1"/>
    </font>
    <font>
      <sz val="11"/>
      <color rgb="FF4EA72E"/>
      <name val="Aptos Narrow"/>
      <charset val="1"/>
    </font>
    <font>
      <b/>
      <u/>
      <sz val="12"/>
      <color rgb="FF000000"/>
      <name val="Aptos Narrow"/>
      <scheme val="minor"/>
    </font>
    <font>
      <sz val="12"/>
      <color rgb="FF000000"/>
      <name val="Aptos Narrow"/>
      <scheme val="minor"/>
    </font>
    <font>
      <b/>
      <sz val="11"/>
      <color theme="1"/>
      <name val="Arial"/>
      <charset val="1"/>
    </font>
    <font>
      <b/>
      <sz val="11"/>
      <color theme="1"/>
      <name val="Aptos Narrow"/>
      <charset val="1"/>
    </font>
    <font>
      <i/>
      <sz val="11"/>
      <color rgb="FF0070C0"/>
      <name val="Arial"/>
      <charset val="1"/>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B3E5A1"/>
        <bgColor indexed="64"/>
      </patternFill>
    </fill>
    <fill>
      <patternFill patternType="solid">
        <fgColor rgb="FFFFFF00"/>
        <bgColor indexed="64"/>
      </patternFill>
    </fill>
    <fill>
      <patternFill patternType="solid">
        <fgColor rgb="FFD9D9D9"/>
        <bgColor indexed="64"/>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000000"/>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CCCCCC"/>
      </bottom>
      <diagonal/>
    </border>
  </borders>
  <cellStyleXfs count="2">
    <xf numFmtId="0" fontId="0" fillId="0" borderId="0"/>
    <xf numFmtId="9" fontId="12" fillId="0" borderId="0" applyFont="0" applyFill="0" applyBorder="0" applyAlignment="0" applyProtection="0"/>
  </cellStyleXfs>
  <cellXfs count="168">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1" fontId="0" fillId="0" borderId="16"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6" xfId="0" applyFont="1" applyBorder="1" applyAlignment="1">
      <alignment wrapText="1"/>
    </xf>
    <xf numFmtId="0" fontId="1" fillId="0" borderId="37" xfId="0" applyFont="1" applyBorder="1" applyAlignment="1">
      <alignment wrapText="1"/>
    </xf>
    <xf numFmtId="0" fontId="0" fillId="0" borderId="33" xfId="0" applyBorder="1"/>
    <xf numFmtId="0" fontId="0" fillId="0" borderId="37" xfId="0" applyBorder="1"/>
    <xf numFmtId="0" fontId="0" fillId="0" borderId="34" xfId="0" applyBorder="1"/>
    <xf numFmtId="0" fontId="0" fillId="0" borderId="16" xfId="0" applyBorder="1" applyAlignment="1">
      <alignment horizontal="center"/>
    </xf>
    <xf numFmtId="0" fontId="2" fillId="0" borderId="38" xfId="0" applyFont="1" applyBorder="1" applyAlignment="1">
      <alignment horizontal="center" vertical="center" wrapText="1"/>
    </xf>
    <xf numFmtId="0" fontId="2" fillId="6" borderId="40" xfId="0" applyFont="1" applyFill="1" applyBorder="1" applyAlignment="1">
      <alignment horizontal="center" vertical="center" wrapText="1"/>
    </xf>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0" fontId="0" fillId="0" borderId="41" xfId="0" applyBorder="1"/>
    <xf numFmtId="0" fontId="0" fillId="0" borderId="27" xfId="0" applyBorder="1"/>
    <xf numFmtId="0" fontId="0" fillId="0" borderId="42" xfId="0" applyBorder="1"/>
    <xf numFmtId="0" fontId="0" fillId="0" borderId="43" xfId="0" applyBorder="1"/>
    <xf numFmtId="0" fontId="0" fillId="0" borderId="32" xfId="0" applyBorder="1"/>
    <xf numFmtId="1" fontId="11" fillId="0" borderId="1" xfId="0" applyNumberFormat="1" applyFont="1" applyBorder="1" applyAlignment="1">
      <alignment horizontal="center" vertical="top" wrapText="1"/>
    </xf>
    <xf numFmtId="0" fontId="6" fillId="0" borderId="38" xfId="0" applyFont="1" applyBorder="1" applyAlignment="1">
      <alignment horizontal="center"/>
    </xf>
    <xf numFmtId="0" fontId="2" fillId="6" borderId="44" xfId="0" applyFont="1" applyFill="1" applyBorder="1" applyAlignment="1">
      <alignment horizontal="center" vertical="center" wrapText="1"/>
    </xf>
    <xf numFmtId="9" fontId="1" fillId="0" borderId="1" xfId="1" applyFont="1" applyBorder="1"/>
    <xf numFmtId="0" fontId="0" fillId="2" borderId="16" xfId="0" applyFill="1" applyBorder="1" applyAlignment="1">
      <alignment horizontal="center" vertical="center" wrapText="1"/>
    </xf>
    <xf numFmtId="0" fontId="2" fillId="6" borderId="39" xfId="0" applyFont="1" applyFill="1" applyBorder="1" applyAlignment="1">
      <alignment horizontal="center" vertical="center" wrapText="1"/>
    </xf>
    <xf numFmtId="0" fontId="0" fillId="0" borderId="0" xfId="0" applyAlignment="1">
      <alignment horizontal="center"/>
    </xf>
    <xf numFmtId="0" fontId="14" fillId="0" borderId="1" xfId="0" applyFont="1" applyBorder="1" applyAlignment="1">
      <alignment readingOrder="1"/>
    </xf>
    <xf numFmtId="0" fontId="14" fillId="0" borderId="47" xfId="0" applyFont="1" applyBorder="1" applyAlignment="1">
      <alignment wrapText="1" readingOrder="1"/>
    </xf>
    <xf numFmtId="0" fontId="14" fillId="0" borderId="47" xfId="0" applyFont="1" applyBorder="1" applyAlignment="1">
      <alignment readingOrder="1"/>
    </xf>
    <xf numFmtId="0" fontId="15" fillId="0" borderId="48" xfId="0" applyFont="1" applyBorder="1" applyAlignment="1">
      <alignment readingOrder="1"/>
    </xf>
    <xf numFmtId="0" fontId="14" fillId="0" borderId="49" xfId="0" applyFont="1" applyBorder="1" applyAlignment="1">
      <alignment readingOrder="1"/>
    </xf>
    <xf numFmtId="0" fontId="15" fillId="0" borderId="50" xfId="0" applyFont="1" applyBorder="1" applyAlignment="1">
      <alignment readingOrder="1"/>
    </xf>
    <xf numFmtId="0" fontId="14" fillId="0" borderId="47" xfId="0" applyFont="1" applyBorder="1" applyAlignment="1">
      <alignment horizontal="center" wrapText="1" readingOrder="1"/>
    </xf>
    <xf numFmtId="0" fontId="15" fillId="0" borderId="48" xfId="0" applyFont="1" applyBorder="1" applyAlignment="1">
      <alignment horizontal="center" readingOrder="1"/>
    </xf>
    <xf numFmtId="0" fontId="16" fillId="0" borderId="48" xfId="0" applyFont="1" applyBorder="1" applyAlignment="1">
      <alignment horizontal="center" wrapText="1" readingOrder="1"/>
    </xf>
    <xf numFmtId="0" fontId="15" fillId="0" borderId="50" xfId="0" applyFont="1" applyBorder="1" applyAlignment="1">
      <alignment horizontal="center" readingOrder="1"/>
    </xf>
    <xf numFmtId="0" fontId="16" fillId="0" borderId="50" xfId="0" applyFont="1" applyBorder="1" applyAlignment="1">
      <alignment horizontal="center" wrapText="1" readingOrder="1"/>
    </xf>
    <xf numFmtId="0" fontId="14" fillId="0" borderId="47" xfId="0" applyFont="1" applyBorder="1" applyAlignment="1">
      <alignment horizontal="center" readingOrder="1"/>
    </xf>
    <xf numFmtId="0" fontId="1" fillId="0" borderId="33" xfId="0" applyFont="1" applyBorder="1" applyAlignment="1">
      <alignment horizontal="center" wrapText="1"/>
    </xf>
    <xf numFmtId="14" fontId="15" fillId="0" borderId="48" xfId="0" applyNumberFormat="1" applyFont="1" applyBorder="1" applyAlignment="1">
      <alignment readingOrder="1"/>
    </xf>
    <xf numFmtId="0" fontId="14" fillId="0" borderId="48" xfId="0" applyFont="1" applyBorder="1" applyAlignment="1">
      <alignment readingOrder="1"/>
    </xf>
    <xf numFmtId="14" fontId="15" fillId="0" borderId="50" xfId="0" applyNumberFormat="1" applyFont="1" applyBorder="1" applyAlignment="1">
      <alignment readingOrder="1"/>
    </xf>
    <xf numFmtId="0" fontId="14" fillId="0" borderId="50" xfId="0" applyFont="1" applyBorder="1" applyAlignment="1">
      <alignment readingOrder="1"/>
    </xf>
    <xf numFmtId="0" fontId="15" fillId="0" borderId="50" xfId="0" applyFont="1" applyBorder="1" applyAlignment="1">
      <alignment wrapText="1" readingOrder="1"/>
    </xf>
    <xf numFmtId="14" fontId="15" fillId="0" borderId="50" xfId="0" applyNumberFormat="1" applyFont="1" applyBorder="1" applyAlignment="1">
      <alignment wrapText="1" readingOrder="1"/>
    </xf>
    <xf numFmtId="0" fontId="15" fillId="0" borderId="47" xfId="0" applyFont="1" applyBorder="1" applyAlignment="1">
      <alignment wrapText="1" readingOrder="1"/>
    </xf>
    <xf numFmtId="0" fontId="15" fillId="0" borderId="1" xfId="0" applyFont="1" applyBorder="1" applyAlignment="1">
      <alignment readingOrder="1"/>
    </xf>
    <xf numFmtId="0" fontId="17" fillId="0" borderId="48" xfId="0" applyFont="1" applyBorder="1" applyAlignment="1">
      <alignment readingOrder="1"/>
    </xf>
    <xf numFmtId="0" fontId="17" fillId="0" borderId="50" xfId="0" applyFont="1" applyBorder="1" applyAlignment="1">
      <alignment readingOrder="1"/>
    </xf>
    <xf numFmtId="0" fontId="15" fillId="0" borderId="47" xfId="0" applyFont="1" applyBorder="1" applyAlignment="1">
      <alignment readingOrder="1"/>
    </xf>
    <xf numFmtId="0" fontId="14" fillId="0" borderId="1" xfId="0" applyFont="1" applyBorder="1" applyAlignment="1">
      <alignment wrapText="1" readingOrder="1"/>
    </xf>
    <xf numFmtId="0" fontId="14" fillId="7" borderId="48" xfId="0" applyFont="1" applyFill="1" applyBorder="1" applyAlignment="1">
      <alignment wrapText="1" readingOrder="1"/>
    </xf>
    <xf numFmtId="0" fontId="14" fillId="0" borderId="48" xfId="0" applyFont="1" applyBorder="1" applyAlignment="1">
      <alignment wrapText="1" readingOrder="1"/>
    </xf>
    <xf numFmtId="0" fontId="14" fillId="8" borderId="48" xfId="0" applyFont="1" applyFill="1" applyBorder="1" applyAlignment="1">
      <alignment wrapText="1" readingOrder="1"/>
    </xf>
    <xf numFmtId="0" fontId="14" fillId="8" borderId="50" xfId="0" applyFont="1" applyFill="1" applyBorder="1" applyAlignment="1">
      <alignment readingOrder="1"/>
    </xf>
    <xf numFmtId="0" fontId="15" fillId="8" borderId="50" xfId="0" applyFont="1" applyFill="1" applyBorder="1" applyAlignment="1">
      <alignment readingOrder="1"/>
    </xf>
    <xf numFmtId="0" fontId="14" fillId="0" borderId="55" xfId="0" applyFont="1" applyBorder="1" applyAlignment="1">
      <alignment readingOrder="1"/>
    </xf>
    <xf numFmtId="0" fontId="14" fillId="0" borderId="59" xfId="0" applyFont="1" applyBorder="1" applyAlignment="1">
      <alignment readingOrder="1"/>
    </xf>
    <xf numFmtId="0" fontId="14" fillId="0" borderId="66" xfId="0" applyFont="1" applyBorder="1" applyAlignment="1">
      <alignment readingOrder="1"/>
    </xf>
    <xf numFmtId="0" fontId="21" fillId="9" borderId="50" xfId="0" applyFont="1" applyFill="1" applyBorder="1" applyAlignment="1">
      <alignment readingOrder="1"/>
    </xf>
    <xf numFmtId="0" fontId="22" fillId="0" borderId="50" xfId="0" applyFont="1" applyBorder="1" applyAlignment="1">
      <alignment wrapText="1" readingOrder="1"/>
    </xf>
    <xf numFmtId="0" fontId="22" fillId="0" borderId="50" xfId="0" quotePrefix="1" applyFont="1" applyBorder="1" applyAlignment="1">
      <alignment wrapText="1" readingOrder="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30"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0" fillId="5" borderId="16" xfId="0" applyFill="1" applyBorder="1" applyAlignment="1">
      <alignment horizontal="center" vertical="center" wrapText="1"/>
    </xf>
    <xf numFmtId="0" fontId="15" fillId="0" borderId="53" xfId="0" applyFont="1" applyBorder="1" applyAlignment="1">
      <alignment readingOrder="1"/>
    </xf>
    <xf numFmtId="0" fontId="15" fillId="0" borderId="54" xfId="0" applyFont="1" applyBorder="1" applyAlignment="1">
      <alignment readingOrder="1"/>
    </xf>
    <xf numFmtId="9" fontId="15" fillId="0" borderId="53" xfId="0" applyNumberFormat="1" applyFont="1" applyBorder="1" applyAlignment="1">
      <alignment readingOrder="1"/>
    </xf>
    <xf numFmtId="0" fontId="19" fillId="5" borderId="45" xfId="0" applyFont="1" applyFill="1" applyBorder="1" applyAlignment="1">
      <alignment horizontal="center" vertical="center" wrapText="1"/>
    </xf>
    <xf numFmtId="0" fontId="0" fillId="5" borderId="36" xfId="0" applyFill="1" applyBorder="1" applyAlignment="1">
      <alignment horizontal="center" vertical="center" wrapText="1"/>
    </xf>
    <xf numFmtId="0" fontId="0" fillId="5" borderId="46" xfId="0" applyFill="1" applyBorder="1" applyAlignment="1">
      <alignment horizontal="center" vertical="center" wrapText="1"/>
    </xf>
    <xf numFmtId="0" fontId="14" fillId="7" borderId="51" xfId="0" applyFont="1" applyFill="1" applyBorder="1" applyAlignment="1">
      <alignment wrapText="1" readingOrder="1"/>
    </xf>
    <xf numFmtId="0" fontId="14" fillId="7" borderId="37" xfId="0" applyFont="1" applyFill="1" applyBorder="1" applyAlignment="1">
      <alignment wrapText="1" readingOrder="1"/>
    </xf>
    <xf numFmtId="0" fontId="14" fillId="7" borderId="34" xfId="0" applyFont="1" applyFill="1" applyBorder="1" applyAlignment="1">
      <alignment wrapText="1" readingOrder="1"/>
    </xf>
    <xf numFmtId="0" fontId="15" fillId="0" borderId="52" xfId="0" applyFont="1" applyBorder="1" applyAlignment="1">
      <alignment readingOrder="1"/>
    </xf>
    <xf numFmtId="0" fontId="15" fillId="0" borderId="2" xfId="0" applyFont="1" applyBorder="1" applyAlignment="1">
      <alignment readingOrder="1"/>
    </xf>
    <xf numFmtId="10" fontId="15" fillId="0" borderId="53" xfId="0" applyNumberFormat="1" applyFont="1" applyBorder="1" applyAlignment="1">
      <alignment readingOrder="1"/>
    </xf>
    <xf numFmtId="0" fontId="14" fillId="0" borderId="60" xfId="0" applyFont="1" applyBorder="1" applyAlignment="1">
      <alignment readingOrder="1"/>
    </xf>
    <xf numFmtId="0" fontId="14" fillId="0" borderId="61" xfId="0" applyFont="1" applyBorder="1" applyAlignment="1">
      <alignment readingOrder="1"/>
    </xf>
    <xf numFmtId="0" fontId="14" fillId="0" borderId="62" xfId="0" applyFont="1" applyBorder="1" applyAlignment="1">
      <alignment readingOrder="1"/>
    </xf>
    <xf numFmtId="0" fontId="14" fillId="0" borderId="56" xfId="0" applyFont="1" applyBorder="1" applyAlignment="1">
      <alignment readingOrder="1"/>
    </xf>
    <xf numFmtId="0" fontId="14" fillId="0" borderId="57" xfId="0" applyFont="1" applyBorder="1" applyAlignment="1">
      <alignment readingOrder="1"/>
    </xf>
    <xf numFmtId="0" fontId="14" fillId="0" borderId="58" xfId="0" applyFont="1" applyBorder="1" applyAlignment="1">
      <alignment readingOrder="1"/>
    </xf>
    <xf numFmtId="0" fontId="20" fillId="0" borderId="60" xfId="0" applyFont="1" applyBorder="1" applyAlignment="1">
      <alignment horizontal="center" readingOrder="1"/>
    </xf>
    <xf numFmtId="0" fontId="20" fillId="0" borderId="61" xfId="0" applyFont="1" applyBorder="1" applyAlignment="1">
      <alignment horizontal="center" readingOrder="1"/>
    </xf>
    <xf numFmtId="0" fontId="20" fillId="0" borderId="62" xfId="0" applyFont="1" applyBorder="1" applyAlignment="1">
      <alignment horizontal="center" readingOrder="1"/>
    </xf>
    <xf numFmtId="0" fontId="22" fillId="0" borderId="63" xfId="0" applyFont="1" applyBorder="1" applyAlignment="1">
      <alignment wrapText="1" readingOrder="1"/>
    </xf>
    <xf numFmtId="0" fontId="22" fillId="0" borderId="64" xfId="0" applyFont="1" applyBorder="1" applyAlignment="1">
      <alignment wrapText="1" readingOrder="1"/>
    </xf>
    <xf numFmtId="0" fontId="22" fillId="0" borderId="65" xfId="0" applyFont="1" applyBorder="1" applyAlignment="1">
      <alignment wrapText="1" readingOrder="1"/>
    </xf>
    <xf numFmtId="0" fontId="14" fillId="0" borderId="63" xfId="0" applyFont="1" applyBorder="1" applyAlignment="1">
      <alignment readingOrder="1"/>
    </xf>
    <xf numFmtId="0" fontId="14" fillId="0" borderId="64" xfId="0" applyFont="1" applyBorder="1" applyAlignment="1">
      <alignment readingOrder="1"/>
    </xf>
    <xf numFmtId="0" fontId="14" fillId="0" borderId="65" xfId="0" applyFont="1" applyBorder="1" applyAlignment="1">
      <alignment readingOrder="1"/>
    </xf>
    <xf numFmtId="0" fontId="21" fillId="9" borderId="63" xfId="0" applyFont="1" applyFill="1" applyBorder="1" applyAlignment="1">
      <alignment readingOrder="1"/>
    </xf>
    <xf numFmtId="0" fontId="21" fillId="9" borderId="64" xfId="0" applyFont="1" applyFill="1" applyBorder="1" applyAlignment="1">
      <alignment readingOrder="1"/>
    </xf>
    <xf numFmtId="0" fontId="21" fillId="9" borderId="65" xfId="0" applyFont="1" applyFill="1" applyBorder="1" applyAlignment="1">
      <alignment readingOrder="1"/>
    </xf>
    <xf numFmtId="0" fontId="14" fillId="0" borderId="63" xfId="0" applyFont="1" applyBorder="1" applyAlignment="1">
      <alignment wrapText="1" readingOrder="1"/>
    </xf>
    <xf numFmtId="0" fontId="14" fillId="0" borderId="64" xfId="0" applyFont="1" applyBorder="1" applyAlignment="1">
      <alignment wrapText="1" readingOrder="1"/>
    </xf>
    <xf numFmtId="0" fontId="14" fillId="0" borderId="65" xfId="0" applyFont="1" applyBorder="1" applyAlignment="1">
      <alignment wrapText="1" readingOrder="1"/>
    </xf>
    <xf numFmtId="0" fontId="22" fillId="0" borderId="63" xfId="0" quotePrefix="1" applyFont="1" applyBorder="1" applyAlignment="1">
      <alignment wrapText="1" readingOrder="1"/>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24</xdr:col>
      <xdr:colOff>116762</xdr:colOff>
      <xdr:row>52</xdr:row>
      <xdr:rowOff>87093</xdr:rowOff>
    </xdr:to>
    <xdr:pic>
      <xdr:nvPicPr>
        <xdr:cNvPr id="7" name="Imagen 6">
          <a:extLst>
            <a:ext uri="{FF2B5EF4-FFF2-40B4-BE49-F238E27FC236}">
              <a16:creationId xmlns:a16="http://schemas.microsoft.com/office/drawing/2014/main" id="{0D3C5982-1844-1694-9CB4-4E5FB7E73BC3}"/>
            </a:ext>
          </a:extLst>
        </xdr:cNvPr>
        <xdr:cNvPicPr>
          <a:picLocks noChangeAspect="1"/>
        </xdr:cNvPicPr>
      </xdr:nvPicPr>
      <xdr:blipFill>
        <a:blip xmlns:r="http://schemas.openxmlformats.org/officeDocument/2006/relationships" r:embed="rId1"/>
        <a:stretch>
          <a:fillRect/>
        </a:stretch>
      </xdr:blipFill>
      <xdr:spPr>
        <a:xfrm>
          <a:off x="762000" y="190500"/>
          <a:ext cx="17642762" cy="98025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19" workbookViewId="0">
      <selection activeCell="D21" sqref="D21"/>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97" t="s">
        <v>2</v>
      </c>
      <c r="D4" s="98"/>
      <c r="E4" s="98"/>
      <c r="F4" s="98"/>
      <c r="G4" s="99"/>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100" t="s">
        <v>20</v>
      </c>
      <c r="C10" s="101"/>
      <c r="D10" s="101"/>
      <c r="E10" s="101"/>
      <c r="F10" s="101"/>
      <c r="G10" s="101"/>
    </row>
    <row r="11" spans="1:8">
      <c r="B11" s="101"/>
      <c r="C11" s="101"/>
      <c r="D11" s="101"/>
      <c r="E11" s="101"/>
      <c r="F11" s="101"/>
      <c r="G11" s="101"/>
    </row>
    <row r="12" spans="1:8">
      <c r="B12" s="101"/>
      <c r="C12" s="101"/>
      <c r="D12" s="101"/>
      <c r="E12" s="101"/>
      <c r="F12" s="101"/>
      <c r="G12" s="101"/>
    </row>
    <row r="14" spans="1:8" ht="15.75" thickBot="1"/>
    <row r="15" spans="1:8" ht="15.75" thickBot="1">
      <c r="C15" s="97" t="s">
        <v>21</v>
      </c>
      <c r="D15" s="98"/>
      <c r="E15" s="98"/>
      <c r="F15" s="98"/>
      <c r="G15" s="99"/>
    </row>
    <row r="16" spans="1:8" ht="15.75" thickBot="1">
      <c r="B16" s="18"/>
      <c r="C16" s="19" t="s">
        <v>3</v>
      </c>
      <c r="D16" s="20" t="s">
        <v>4</v>
      </c>
      <c r="E16" s="21" t="s">
        <v>5</v>
      </c>
      <c r="F16" s="102" t="s">
        <v>22</v>
      </c>
      <c r="G16" s="103"/>
      <c r="H16" s="22"/>
    </row>
    <row r="17" spans="2:8" ht="15.75" thickBot="1">
      <c r="B17" s="23" t="s">
        <v>23</v>
      </c>
      <c r="C17" s="24" t="s">
        <v>24</v>
      </c>
      <c r="D17" s="25" t="s">
        <v>25</v>
      </c>
      <c r="E17" s="26" t="s">
        <v>26</v>
      </c>
      <c r="F17" s="104" t="s">
        <v>27</v>
      </c>
      <c r="G17" s="105"/>
      <c r="H17" s="22"/>
    </row>
    <row r="18" spans="2:8" ht="165.75" thickBot="1">
      <c r="B18" s="106" t="s">
        <v>28</v>
      </c>
      <c r="C18" s="27" t="s">
        <v>29</v>
      </c>
      <c r="D18" s="27" t="s">
        <v>30</v>
      </c>
      <c r="E18" s="27" t="s">
        <v>31</v>
      </c>
      <c r="F18" s="109" t="s">
        <v>32</v>
      </c>
      <c r="G18" s="110"/>
      <c r="H18" s="28" t="s">
        <v>33</v>
      </c>
    </row>
    <row r="19" spans="2:8">
      <c r="B19" s="107"/>
      <c r="C19" s="111" t="s">
        <v>34</v>
      </c>
      <c r="D19" s="111"/>
      <c r="E19" s="111" t="s">
        <v>35</v>
      </c>
      <c r="F19" s="111"/>
      <c r="G19" s="112"/>
      <c r="H19" s="22"/>
    </row>
    <row r="20" spans="2:8">
      <c r="B20" s="108"/>
      <c r="C20" s="113" t="s">
        <v>36</v>
      </c>
      <c r="D20" s="113"/>
      <c r="E20" s="113"/>
      <c r="F20" s="113"/>
      <c r="G20" s="114"/>
      <c r="H20" s="22"/>
    </row>
    <row r="21" spans="2:8" ht="15" customHeight="1">
      <c r="B21" s="115" t="s">
        <v>37</v>
      </c>
      <c r="C21" s="118" t="s">
        <v>38</v>
      </c>
      <c r="D21" s="119" t="s">
        <v>39</v>
      </c>
      <c r="E21" s="119" t="s">
        <v>40</v>
      </c>
      <c r="F21" s="122" t="s">
        <v>41</v>
      </c>
      <c r="G21" s="96"/>
    </row>
    <row r="22" spans="2:8">
      <c r="B22" s="116"/>
      <c r="C22" s="116"/>
      <c r="D22" s="116"/>
      <c r="E22" s="120"/>
      <c r="F22" s="123"/>
      <c r="G22" s="96"/>
    </row>
    <row r="23" spans="2:8">
      <c r="B23" s="116"/>
      <c r="C23" s="116"/>
      <c r="D23" s="116"/>
      <c r="E23" s="120"/>
      <c r="F23" s="123"/>
      <c r="G23" s="96"/>
    </row>
    <row r="24" spans="2:8">
      <c r="B24" s="116"/>
      <c r="C24" s="116"/>
      <c r="D24" s="116"/>
      <c r="E24" s="120"/>
      <c r="F24" s="123"/>
      <c r="G24" s="96"/>
    </row>
    <row r="25" spans="2:8">
      <c r="B25" s="116"/>
      <c r="C25" s="116"/>
      <c r="D25" s="116"/>
      <c r="E25" s="120"/>
      <c r="F25" s="123"/>
      <c r="G25" s="96"/>
    </row>
    <row r="26" spans="2:8">
      <c r="B26" s="116"/>
      <c r="C26" s="116"/>
      <c r="D26" s="116"/>
      <c r="E26" s="120"/>
      <c r="F26" s="123"/>
      <c r="G26" s="96"/>
    </row>
    <row r="27" spans="2:8">
      <c r="B27" s="116"/>
      <c r="C27" s="116"/>
      <c r="D27" s="116"/>
      <c r="E27" s="120"/>
      <c r="F27" s="123"/>
      <c r="G27" s="96"/>
    </row>
    <row r="28" spans="2:8">
      <c r="B28" s="116"/>
      <c r="C28" s="116"/>
      <c r="D28" s="116"/>
      <c r="E28" s="120"/>
      <c r="F28" s="123"/>
      <c r="G28" s="96"/>
    </row>
    <row r="29" spans="2:8">
      <c r="B29" s="116"/>
      <c r="C29" s="116"/>
      <c r="D29" s="116"/>
      <c r="E29" s="120"/>
      <c r="F29" s="123"/>
      <c r="G29" s="96"/>
    </row>
    <row r="30" spans="2:8">
      <c r="B30" s="116"/>
      <c r="C30" s="116"/>
      <c r="D30" s="116"/>
      <c r="E30" s="120"/>
      <c r="F30" s="123"/>
      <c r="G30" s="96"/>
    </row>
    <row r="31" spans="2:8">
      <c r="B31" s="116"/>
      <c r="C31" s="116"/>
      <c r="D31" s="116"/>
      <c r="E31" s="120"/>
      <c r="F31" s="123"/>
      <c r="G31" s="96"/>
    </row>
    <row r="32" spans="2:8">
      <c r="B32" s="116"/>
      <c r="C32" s="116"/>
      <c r="D32" s="116"/>
      <c r="E32" s="120"/>
      <c r="F32" s="123"/>
      <c r="G32" s="96"/>
    </row>
    <row r="33" spans="2:7">
      <c r="B33" s="116"/>
      <c r="C33" s="116"/>
      <c r="D33" s="116"/>
      <c r="E33" s="120"/>
      <c r="F33" s="123"/>
      <c r="G33" s="96"/>
    </row>
    <row r="34" spans="2:7">
      <c r="B34" s="117"/>
      <c r="C34" s="117"/>
      <c r="D34" s="117"/>
      <c r="E34" s="121"/>
      <c r="F34" s="123"/>
      <c r="G34" s="96"/>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zoomScale="85" zoomScaleNormal="85" workbookViewId="0">
      <selection activeCell="K63" sqref="K63"/>
    </sheetView>
  </sheetViews>
  <sheetFormatPr defaultColWidth="11.42578125"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P211"/>
  <sheetViews>
    <sheetView topLeftCell="A59" workbookViewId="0">
      <selection activeCell="F4" sqref="F4:F77"/>
    </sheetView>
  </sheetViews>
  <sheetFormatPr defaultColWidth="9.140625" defaultRowHeight="15"/>
  <cols>
    <col min="1" max="1" width="30.7109375" customWidth="1"/>
    <col min="2" max="2" width="11.42578125" customWidth="1"/>
    <col min="3" max="3" width="20.85546875" customWidth="1"/>
    <col min="4" max="4" width="23" customWidth="1"/>
    <col min="5" max="5" width="31.85546875" customWidth="1"/>
    <col min="6" max="6" width="52.28515625" customWidth="1"/>
    <col min="7" max="9" width="14.28515625" customWidth="1"/>
    <col min="10" max="10" width="24.85546875" customWidth="1"/>
    <col min="11" max="12" width="25.7109375" customWidth="1"/>
    <col min="13" max="13" width="23" customWidth="1"/>
    <col min="14" max="15" width="14.28515625" customWidth="1"/>
    <col min="16" max="16" width="22.7109375" customWidth="1"/>
  </cols>
  <sheetData>
    <row r="1" spans="1:16" s="5" customFormat="1" ht="93" customHeight="1">
      <c r="A1" s="129" t="s">
        <v>42</v>
      </c>
      <c r="B1" s="130"/>
      <c r="C1" s="130"/>
      <c r="D1" s="130"/>
      <c r="E1" s="130"/>
      <c r="F1" s="130"/>
      <c r="G1" s="130"/>
      <c r="H1" s="130"/>
      <c r="I1" s="130"/>
      <c r="J1" s="133" t="s">
        <v>43</v>
      </c>
      <c r="K1" s="133"/>
      <c r="L1" s="133"/>
      <c r="M1" s="133"/>
      <c r="N1" s="124" t="s">
        <v>44</v>
      </c>
      <c r="O1" s="125"/>
      <c r="P1" s="126"/>
    </row>
    <row r="2" spans="1:16" s="5" customFormat="1" ht="93" customHeight="1" thickBot="1">
      <c r="A2" s="131"/>
      <c r="B2" s="132"/>
      <c r="C2" s="132"/>
      <c r="D2" s="132"/>
      <c r="E2" s="132"/>
      <c r="F2" s="132"/>
      <c r="G2" s="132"/>
      <c r="H2" s="132"/>
      <c r="I2" s="132"/>
      <c r="J2" s="133"/>
      <c r="K2" s="133"/>
      <c r="L2" s="133"/>
      <c r="M2" s="133"/>
      <c r="N2" s="127"/>
      <c r="O2" s="127"/>
      <c r="P2" s="128"/>
    </row>
    <row r="3" spans="1:16" s="3" customFormat="1" ht="59.25" customHeight="1" thickBot="1">
      <c r="A3" s="55" t="s">
        <v>45</v>
      </c>
      <c r="B3" s="45" t="s">
        <v>46</v>
      </c>
      <c r="C3" s="45" t="s">
        <v>47</v>
      </c>
      <c r="D3" s="45" t="s">
        <v>48</v>
      </c>
      <c r="E3" s="45" t="s">
        <v>49</v>
      </c>
      <c r="F3" s="45" t="s">
        <v>50</v>
      </c>
      <c r="G3" s="45" t="s">
        <v>51</v>
      </c>
      <c r="H3" s="45" t="s">
        <v>52</v>
      </c>
      <c r="I3" s="58" t="s">
        <v>53</v>
      </c>
      <c r="J3" s="57" t="s">
        <v>54</v>
      </c>
      <c r="K3" s="57" t="s">
        <v>55</v>
      </c>
      <c r="L3" s="57" t="s">
        <v>56</v>
      </c>
      <c r="M3" s="57" t="s">
        <v>57</v>
      </c>
      <c r="N3" s="44" t="s">
        <v>58</v>
      </c>
      <c r="O3" s="36" t="s">
        <v>59</v>
      </c>
      <c r="P3" s="36" t="s">
        <v>60</v>
      </c>
    </row>
    <row r="4" spans="1:16">
      <c r="A4" s="29">
        <v>12284807</v>
      </c>
      <c r="B4" s="54">
        <v>8</v>
      </c>
      <c r="C4" s="53" t="s">
        <v>61</v>
      </c>
      <c r="D4" s="53" t="s">
        <v>62</v>
      </c>
      <c r="E4" s="53" t="s">
        <v>63</v>
      </c>
      <c r="F4" s="60" t="s">
        <v>64</v>
      </c>
      <c r="G4" s="60" t="s">
        <v>65</v>
      </c>
      <c r="H4" s="73">
        <v>45757</v>
      </c>
      <c r="I4" s="74"/>
      <c r="J4" s="80">
        <v>4</v>
      </c>
      <c r="K4" s="63">
        <v>2</v>
      </c>
      <c r="L4" s="63">
        <v>0</v>
      </c>
      <c r="M4" s="63">
        <v>3</v>
      </c>
      <c r="N4" s="81">
        <v>9</v>
      </c>
      <c r="O4" s="56">
        <f>N4/16</f>
        <v>0.5625</v>
      </c>
      <c r="P4" s="37" t="str">
        <f>IF(G4="Rendida ",IF('Resultados Individuales'!O4&lt;49.5%,"Por Mejorar",IF('Resultados Individuales'!O4&lt;64.5%,"Base",IF('Resultados Individuales'!O4&lt;84.5%,"Satisfactorio","Óptimo"))),"No rendida o no válida")</f>
        <v>No rendida o no válida</v>
      </c>
    </row>
    <row r="5" spans="1:16" ht="29.25">
      <c r="A5" s="29">
        <v>18534312</v>
      </c>
      <c r="B5" s="54" t="s">
        <v>66</v>
      </c>
      <c r="C5" s="53" t="s">
        <v>67</v>
      </c>
      <c r="D5" s="53" t="s">
        <v>68</v>
      </c>
      <c r="E5" s="53" t="s">
        <v>69</v>
      </c>
      <c r="F5" s="61" t="s">
        <v>64</v>
      </c>
      <c r="G5" s="61" t="s">
        <v>65</v>
      </c>
      <c r="H5" s="75">
        <v>45757</v>
      </c>
      <c r="I5" s="76"/>
      <c r="J5" s="79">
        <v>3</v>
      </c>
      <c r="K5" s="77">
        <v>1</v>
      </c>
      <c r="L5" s="77">
        <v>2</v>
      </c>
      <c r="M5" s="77">
        <v>3</v>
      </c>
      <c r="N5" s="82">
        <v>9</v>
      </c>
      <c r="O5" s="56">
        <f t="shared" ref="O5:O68" si="0">N5/16</f>
        <v>0.5625</v>
      </c>
      <c r="P5" s="37" t="str">
        <f>IF(G5="Rendida ",IF('Resultados Individuales'!O5&lt;49.5%,"Por Mejorar",IF('Resultados Individuales'!O5&lt;64.5%,"Base",IF('Resultados Individuales'!O5&lt;84.5%,"Satisfactorio","Óptimo"))),"No rendida o no válida")</f>
        <v>No rendida o no válida</v>
      </c>
    </row>
    <row r="6" spans="1:16" ht="29.25">
      <c r="A6" s="29">
        <v>20345509</v>
      </c>
      <c r="B6" s="54">
        <v>7</v>
      </c>
      <c r="C6" s="53" t="s">
        <v>70</v>
      </c>
      <c r="D6" s="53" t="s">
        <v>71</v>
      </c>
      <c r="E6" s="53" t="s">
        <v>72</v>
      </c>
      <c r="F6" s="61" t="s">
        <v>64</v>
      </c>
      <c r="G6" s="61" t="s">
        <v>65</v>
      </c>
      <c r="H6" s="75">
        <v>45757</v>
      </c>
      <c r="I6" s="76"/>
      <c r="J6" s="79">
        <v>3</v>
      </c>
      <c r="K6" s="77">
        <v>2</v>
      </c>
      <c r="L6" s="77">
        <v>3</v>
      </c>
      <c r="M6" s="77">
        <v>2</v>
      </c>
      <c r="N6" s="82">
        <v>10</v>
      </c>
      <c r="O6" s="56">
        <f t="shared" si="0"/>
        <v>0.625</v>
      </c>
      <c r="P6" s="37" t="str">
        <f>IF(G6="Rendida ",IF('Resultados Individuales'!O6&lt;49.5%,"Por Mejorar",IF('Resultados Individuales'!O6&lt;64.5%,"Base",IF('Resultados Individuales'!O6&lt;84.5%,"Satisfactorio","Óptimo"))),"No rendida o no válida")</f>
        <v>No rendida o no válida</v>
      </c>
    </row>
    <row r="7" spans="1:16" ht="29.25">
      <c r="A7" s="29">
        <v>20452370</v>
      </c>
      <c r="B7" s="54">
        <v>3</v>
      </c>
      <c r="C7" s="53" t="s">
        <v>73</v>
      </c>
      <c r="D7" s="53" t="s">
        <v>74</v>
      </c>
      <c r="E7" s="53" t="s">
        <v>75</v>
      </c>
      <c r="F7" s="61" t="s">
        <v>64</v>
      </c>
      <c r="G7" s="61" t="s">
        <v>65</v>
      </c>
      <c r="H7" s="75">
        <v>45757</v>
      </c>
      <c r="I7" s="76"/>
      <c r="J7" s="79">
        <v>1</v>
      </c>
      <c r="K7" s="77">
        <v>1</v>
      </c>
      <c r="L7" s="77">
        <v>0</v>
      </c>
      <c r="M7" s="77">
        <v>2</v>
      </c>
      <c r="N7" s="82">
        <v>4</v>
      </c>
      <c r="O7" s="56">
        <f t="shared" si="0"/>
        <v>0.25</v>
      </c>
      <c r="P7" s="37" t="str">
        <f>IF(G7="Rendida ",IF('Resultados Individuales'!O7&lt;49.5%,"Por Mejorar",IF('Resultados Individuales'!O7&lt;64.5%,"Base",IF('Resultados Individuales'!O7&lt;84.5%,"Satisfactorio","Óptimo"))),"No rendida o no válida")</f>
        <v>No rendida o no válida</v>
      </c>
    </row>
    <row r="8" spans="1:16" ht="29.25">
      <c r="A8" s="29">
        <v>20456534</v>
      </c>
      <c r="B8" s="54">
        <v>1</v>
      </c>
      <c r="C8" s="53" t="s">
        <v>76</v>
      </c>
      <c r="D8" s="53" t="s">
        <v>77</v>
      </c>
      <c r="E8" s="53" t="s">
        <v>78</v>
      </c>
      <c r="F8" s="61" t="s">
        <v>64</v>
      </c>
      <c r="G8" s="61" t="s">
        <v>65</v>
      </c>
      <c r="H8" s="75">
        <v>45757</v>
      </c>
      <c r="I8" s="76"/>
      <c r="J8" s="79">
        <v>2</v>
      </c>
      <c r="K8" s="77">
        <v>2</v>
      </c>
      <c r="L8" s="77">
        <v>3</v>
      </c>
      <c r="M8" s="77">
        <v>3</v>
      </c>
      <c r="N8" s="82">
        <v>10</v>
      </c>
      <c r="O8" s="56">
        <f t="shared" si="0"/>
        <v>0.625</v>
      </c>
      <c r="P8" s="37" t="str">
        <f>IF(G8="Rendida ",IF('Resultados Individuales'!O8&lt;49.5%,"Por Mejorar",IF('Resultados Individuales'!O8&lt;64.5%,"Base",IF('Resultados Individuales'!O8&lt;84.5%,"Satisfactorio","Óptimo"))),"No rendida o no válida")</f>
        <v>No rendida o no válida</v>
      </c>
    </row>
    <row r="9" spans="1:16" ht="29.25">
      <c r="A9" s="29">
        <v>20549979</v>
      </c>
      <c r="B9" s="54">
        <v>2</v>
      </c>
      <c r="C9" s="53" t="s">
        <v>79</v>
      </c>
      <c r="D9" s="53" t="s">
        <v>80</v>
      </c>
      <c r="E9" s="53" t="s">
        <v>81</v>
      </c>
      <c r="F9" s="61" t="s">
        <v>64</v>
      </c>
      <c r="G9" s="61" t="s">
        <v>65</v>
      </c>
      <c r="H9" s="75">
        <v>45757</v>
      </c>
      <c r="I9" s="76"/>
      <c r="J9" s="79">
        <v>1</v>
      </c>
      <c r="K9" s="77">
        <v>2</v>
      </c>
      <c r="L9" s="77">
        <v>3</v>
      </c>
      <c r="M9" s="77">
        <v>2</v>
      </c>
      <c r="N9" s="82">
        <v>8</v>
      </c>
      <c r="O9" s="56">
        <f t="shared" si="0"/>
        <v>0.5</v>
      </c>
      <c r="P9" s="37" t="str">
        <f>IF(G9="Rendida ",IF('Resultados Individuales'!O9&lt;49.5%,"Por Mejorar",IF('Resultados Individuales'!O9&lt;64.5%,"Base",IF('Resultados Individuales'!O9&lt;84.5%,"Satisfactorio","Óptimo"))),"No rendida o no válida")</f>
        <v>No rendida o no válida</v>
      </c>
    </row>
    <row r="10" spans="1:16" ht="29.25">
      <c r="A10" s="29">
        <v>20560107</v>
      </c>
      <c r="B10" s="54">
        <v>4</v>
      </c>
      <c r="C10" s="53" t="s">
        <v>82</v>
      </c>
      <c r="D10" s="53" t="s">
        <v>83</v>
      </c>
      <c r="E10" s="53" t="s">
        <v>84</v>
      </c>
      <c r="F10" s="61" t="s">
        <v>64</v>
      </c>
      <c r="G10" s="61" t="s">
        <v>65</v>
      </c>
      <c r="H10" s="75">
        <v>45757</v>
      </c>
      <c r="I10" s="76"/>
      <c r="J10" s="79">
        <v>4</v>
      </c>
      <c r="K10" s="77">
        <v>3</v>
      </c>
      <c r="L10" s="77">
        <v>3</v>
      </c>
      <c r="M10" s="77">
        <v>3</v>
      </c>
      <c r="N10" s="82">
        <v>13</v>
      </c>
      <c r="O10" s="56">
        <f t="shared" si="0"/>
        <v>0.8125</v>
      </c>
      <c r="P10" s="37" t="str">
        <f>IF(G10="Rendida ",IF('Resultados Individuales'!O10&lt;49.5%,"Por Mejorar",IF('Resultados Individuales'!O10&lt;64.5%,"Base",IF('Resultados Individuales'!O10&lt;84.5%,"Satisfactorio","Óptimo"))),"No rendida o no válida")</f>
        <v>No rendida o no válida</v>
      </c>
    </row>
    <row r="11" spans="1:16" ht="29.25">
      <c r="A11" s="29">
        <v>20820005</v>
      </c>
      <c r="B11" s="54">
        <v>4</v>
      </c>
      <c r="C11" s="53" t="s">
        <v>85</v>
      </c>
      <c r="D11" s="53" t="s">
        <v>86</v>
      </c>
      <c r="E11" s="53" t="s">
        <v>87</v>
      </c>
      <c r="F11" s="61" t="s">
        <v>64</v>
      </c>
      <c r="G11" s="61" t="s">
        <v>65</v>
      </c>
      <c r="H11" s="75">
        <v>45757</v>
      </c>
      <c r="I11" s="76"/>
      <c r="J11" s="79">
        <v>4</v>
      </c>
      <c r="K11" s="77">
        <v>3</v>
      </c>
      <c r="L11" s="77">
        <v>0</v>
      </c>
      <c r="M11" s="77">
        <v>3</v>
      </c>
      <c r="N11" s="82">
        <v>10</v>
      </c>
      <c r="O11" s="56">
        <f t="shared" si="0"/>
        <v>0.625</v>
      </c>
      <c r="P11" s="37" t="str">
        <f>IF(G11="Rendida ",IF('Resultados Individuales'!O11&lt;49.5%,"Por Mejorar",IF('Resultados Individuales'!O11&lt;64.5%,"Base",IF('Resultados Individuales'!O11&lt;84.5%,"Satisfactorio","Óptimo"))),"No rendida o no válida")</f>
        <v>No rendida o no válida</v>
      </c>
    </row>
    <row r="12" spans="1:16" ht="29.25">
      <c r="A12" s="29">
        <v>20923472</v>
      </c>
      <c r="B12" s="54">
        <v>6</v>
      </c>
      <c r="C12" s="53" t="s">
        <v>88</v>
      </c>
      <c r="D12" s="53" t="s">
        <v>89</v>
      </c>
      <c r="E12" s="53" t="s">
        <v>90</v>
      </c>
      <c r="F12" s="61" t="s">
        <v>64</v>
      </c>
      <c r="G12" s="61" t="s">
        <v>65</v>
      </c>
      <c r="H12" s="75">
        <v>45757</v>
      </c>
      <c r="I12" s="76"/>
      <c r="J12" s="79">
        <v>2</v>
      </c>
      <c r="K12" s="77">
        <v>1</v>
      </c>
      <c r="L12" s="77">
        <v>2</v>
      </c>
      <c r="M12" s="77">
        <v>2</v>
      </c>
      <c r="N12" s="82">
        <v>7</v>
      </c>
      <c r="O12" s="56">
        <f t="shared" si="0"/>
        <v>0.4375</v>
      </c>
      <c r="P12" s="37" t="str">
        <f>IF(G12="Rendida ",IF('Resultados Individuales'!O12&lt;49.5%,"Por Mejorar",IF('Resultados Individuales'!O12&lt;64.5%,"Base",IF('Resultados Individuales'!O12&lt;84.5%,"Satisfactorio","Óptimo"))),"No rendida o no válida")</f>
        <v>No rendida o no válida</v>
      </c>
    </row>
    <row r="13" spans="1:16" ht="29.25">
      <c r="A13" s="29">
        <v>20985907</v>
      </c>
      <c r="B13" s="54">
        <v>6</v>
      </c>
      <c r="C13" s="53" t="s">
        <v>91</v>
      </c>
      <c r="D13" s="53" t="s">
        <v>92</v>
      </c>
      <c r="E13" s="53" t="s">
        <v>93</v>
      </c>
      <c r="F13" s="61" t="s">
        <v>64</v>
      </c>
      <c r="G13" s="61" t="s">
        <v>94</v>
      </c>
      <c r="H13" s="65" t="s">
        <v>94</v>
      </c>
      <c r="I13" s="77" t="s">
        <v>94</v>
      </c>
      <c r="J13" s="62"/>
      <c r="K13" s="76"/>
      <c r="L13" s="76"/>
      <c r="M13" s="76"/>
      <c r="N13" s="82">
        <v>0</v>
      </c>
      <c r="O13" s="56">
        <f t="shared" si="0"/>
        <v>0</v>
      </c>
      <c r="P13" s="37" t="str">
        <f>IF(G13="Rendida ",IF('Resultados Individuales'!O13&lt;49.5%,"Por Mejorar",IF('Resultados Individuales'!O13&lt;64.5%,"Base",IF('Resultados Individuales'!O13&lt;84.5%,"Satisfactorio","Óptimo"))),"No rendida o no válida")</f>
        <v>No rendida o no válida</v>
      </c>
    </row>
    <row r="14" spans="1:16" ht="29.25">
      <c r="A14" s="29">
        <v>21144070</v>
      </c>
      <c r="B14" s="54">
        <v>8</v>
      </c>
      <c r="C14" s="53" t="s">
        <v>70</v>
      </c>
      <c r="D14" s="53" t="s">
        <v>95</v>
      </c>
      <c r="E14" s="53" t="s">
        <v>96</v>
      </c>
      <c r="F14" s="61" t="s">
        <v>64</v>
      </c>
      <c r="G14" s="61" t="s">
        <v>65</v>
      </c>
      <c r="H14" s="75">
        <v>45757</v>
      </c>
      <c r="I14" s="76"/>
      <c r="J14" s="79">
        <v>3</v>
      </c>
      <c r="K14" s="77">
        <v>3</v>
      </c>
      <c r="L14" s="77">
        <v>3</v>
      </c>
      <c r="M14" s="77">
        <v>3</v>
      </c>
      <c r="N14" s="82">
        <v>12</v>
      </c>
      <c r="O14" s="56">
        <f t="shared" si="0"/>
        <v>0.75</v>
      </c>
      <c r="P14" s="37" t="str">
        <f>IF(G14="Rendida ",IF('Resultados Individuales'!O14&lt;49.5%,"Por Mejorar",IF('Resultados Individuales'!O14&lt;64.5%,"Base",IF('Resultados Individuales'!O14&lt;84.5%,"Satisfactorio","Óptimo"))),"No rendida o no válida")</f>
        <v>No rendida o no válida</v>
      </c>
    </row>
    <row r="15" spans="1:16" ht="29.25">
      <c r="A15" s="29">
        <v>21233486</v>
      </c>
      <c r="B15" s="54">
        <v>3</v>
      </c>
      <c r="C15" s="53" t="s">
        <v>97</v>
      </c>
      <c r="D15" s="53" t="s">
        <v>98</v>
      </c>
      <c r="E15" s="53" t="s">
        <v>99</v>
      </c>
      <c r="F15" s="61" t="s">
        <v>64</v>
      </c>
      <c r="G15" s="61" t="s">
        <v>65</v>
      </c>
      <c r="H15" s="75">
        <v>45757</v>
      </c>
      <c r="I15" s="76"/>
      <c r="J15" s="79">
        <v>3</v>
      </c>
      <c r="K15" s="77">
        <v>4</v>
      </c>
      <c r="L15" s="77">
        <v>3</v>
      </c>
      <c r="M15" s="77">
        <v>4</v>
      </c>
      <c r="N15" s="82">
        <v>14</v>
      </c>
      <c r="O15" s="56">
        <f t="shared" si="0"/>
        <v>0.875</v>
      </c>
      <c r="P15" s="37" t="str">
        <f>IF(G15="Rendida ",IF('Resultados Individuales'!O15&lt;49.5%,"Por Mejorar",IF('Resultados Individuales'!O15&lt;64.5%,"Base",IF('Resultados Individuales'!O15&lt;84.5%,"Satisfactorio","Óptimo"))),"No rendida o no válida")</f>
        <v>No rendida o no válida</v>
      </c>
    </row>
    <row r="16" spans="1:16" ht="29.25">
      <c r="A16" s="29">
        <v>21255945</v>
      </c>
      <c r="B16" s="54">
        <v>8</v>
      </c>
      <c r="C16" s="53" t="s">
        <v>100</v>
      </c>
      <c r="D16" s="53" t="s">
        <v>101</v>
      </c>
      <c r="E16" s="53" t="s">
        <v>102</v>
      </c>
      <c r="F16" s="61" t="s">
        <v>64</v>
      </c>
      <c r="G16" s="61" t="s">
        <v>65</v>
      </c>
      <c r="H16" s="75">
        <v>45757</v>
      </c>
      <c r="I16" s="76"/>
      <c r="J16" s="79">
        <v>2</v>
      </c>
      <c r="K16" s="77">
        <v>2</v>
      </c>
      <c r="L16" s="77">
        <v>3</v>
      </c>
      <c r="M16" s="77">
        <v>2</v>
      </c>
      <c r="N16" s="82">
        <v>9</v>
      </c>
      <c r="O16" s="56">
        <f t="shared" si="0"/>
        <v>0.5625</v>
      </c>
      <c r="P16" s="37" t="str">
        <f>IF(G16="Rendida ",IF('Resultados Individuales'!O16&lt;49.5%,"Por Mejorar",IF('Resultados Individuales'!O16&lt;64.5%,"Base",IF('Resultados Individuales'!O16&lt;84.5%,"Satisfactorio","Óptimo"))),"No rendida o no válida")</f>
        <v>No rendida o no válida</v>
      </c>
    </row>
    <row r="17" spans="1:16">
      <c r="A17" s="29">
        <v>21279857</v>
      </c>
      <c r="B17" s="54">
        <v>6</v>
      </c>
      <c r="C17" s="53" t="s">
        <v>91</v>
      </c>
      <c r="D17" s="53" t="s">
        <v>79</v>
      </c>
      <c r="E17" s="53" t="s">
        <v>103</v>
      </c>
      <c r="F17" s="62" t="s">
        <v>64</v>
      </c>
      <c r="G17" s="62" t="s">
        <v>65</v>
      </c>
      <c r="H17" s="75">
        <v>45757</v>
      </c>
      <c r="I17" s="76"/>
      <c r="J17" s="83">
        <v>2</v>
      </c>
      <c r="K17" s="65">
        <v>3</v>
      </c>
      <c r="L17" s="65">
        <v>4</v>
      </c>
      <c r="M17" s="65">
        <v>4</v>
      </c>
      <c r="N17" s="82">
        <v>13</v>
      </c>
      <c r="O17" s="56">
        <f t="shared" si="0"/>
        <v>0.8125</v>
      </c>
      <c r="P17" s="37" t="str">
        <f>IF(G17="Rendida ",IF('Resultados Individuales'!O17&lt;49.5%,"Por Mejorar",IF('Resultados Individuales'!O17&lt;64.5%,"Base",IF('Resultados Individuales'!O17&lt;84.5%,"Satisfactorio","Óptimo"))),"No rendida o no válida")</f>
        <v>No rendida o no válida</v>
      </c>
    </row>
    <row r="18" spans="1:16" ht="29.25">
      <c r="A18" s="29">
        <v>21280325</v>
      </c>
      <c r="B18" s="54">
        <v>1</v>
      </c>
      <c r="C18" s="53" t="s">
        <v>104</v>
      </c>
      <c r="D18" s="53" t="s">
        <v>105</v>
      </c>
      <c r="E18" s="53" t="s">
        <v>106</v>
      </c>
      <c r="F18" s="61" t="s">
        <v>64</v>
      </c>
      <c r="G18" s="61" t="s">
        <v>65</v>
      </c>
      <c r="H18" s="75">
        <v>45757</v>
      </c>
      <c r="I18" s="76"/>
      <c r="J18" s="79">
        <v>4</v>
      </c>
      <c r="K18" s="77">
        <v>3</v>
      </c>
      <c r="L18" s="77">
        <v>0</v>
      </c>
      <c r="M18" s="77">
        <v>3</v>
      </c>
      <c r="N18" s="82">
        <v>10</v>
      </c>
      <c r="O18" s="56">
        <f t="shared" si="0"/>
        <v>0.625</v>
      </c>
      <c r="P18" s="37" t="str">
        <f>IF(G18="Rendida ",IF('Resultados Individuales'!O18&lt;49.5%,"Por Mejorar",IF('Resultados Individuales'!O18&lt;64.5%,"Base",IF('Resultados Individuales'!O18&lt;84.5%,"Satisfactorio","Óptimo"))),"No rendida o no válida")</f>
        <v>No rendida o no válida</v>
      </c>
    </row>
    <row r="19" spans="1:16" ht="29.25">
      <c r="A19" s="29">
        <v>21311269</v>
      </c>
      <c r="B19" s="54">
        <v>4</v>
      </c>
      <c r="C19" s="53" t="s">
        <v>107</v>
      </c>
      <c r="D19" s="53" t="s">
        <v>108</v>
      </c>
      <c r="E19" s="53" t="s">
        <v>109</v>
      </c>
      <c r="F19" s="61" t="s">
        <v>64</v>
      </c>
      <c r="G19" s="61" t="s">
        <v>65</v>
      </c>
      <c r="H19" s="75">
        <v>45757</v>
      </c>
      <c r="I19" s="76"/>
      <c r="J19" s="79">
        <v>2</v>
      </c>
      <c r="K19" s="77">
        <v>1</v>
      </c>
      <c r="L19" s="77">
        <v>1</v>
      </c>
      <c r="M19" s="77">
        <v>2</v>
      </c>
      <c r="N19" s="82">
        <v>6</v>
      </c>
      <c r="O19" s="56">
        <f t="shared" si="0"/>
        <v>0.375</v>
      </c>
      <c r="P19" s="37" t="str">
        <f>IF(G19="Rendida ",IF('Resultados Individuales'!O19&lt;49.5%,"Por Mejorar",IF('Resultados Individuales'!O19&lt;64.5%,"Base",IF('Resultados Individuales'!O19&lt;84.5%,"Satisfactorio","Óptimo"))),"No rendida o no válida")</f>
        <v>No rendida o no válida</v>
      </c>
    </row>
    <row r="20" spans="1:16" ht="29.25">
      <c r="A20" s="29">
        <v>21329568</v>
      </c>
      <c r="B20" s="54">
        <v>3</v>
      </c>
      <c r="C20" s="53" t="s">
        <v>110</v>
      </c>
      <c r="D20" s="53" t="s">
        <v>111</v>
      </c>
      <c r="E20" s="53" t="s">
        <v>112</v>
      </c>
      <c r="F20" s="61" t="s">
        <v>64</v>
      </c>
      <c r="G20" s="61" t="s">
        <v>65</v>
      </c>
      <c r="H20" s="75">
        <v>45757</v>
      </c>
      <c r="I20" s="76"/>
      <c r="J20" s="79">
        <v>2</v>
      </c>
      <c r="K20" s="77">
        <v>1</v>
      </c>
      <c r="L20" s="77">
        <v>0</v>
      </c>
      <c r="M20" s="77">
        <v>2</v>
      </c>
      <c r="N20" s="82">
        <v>5</v>
      </c>
      <c r="O20" s="56">
        <f t="shared" si="0"/>
        <v>0.3125</v>
      </c>
      <c r="P20" s="37" t="str">
        <f>IF(G20="Rendida ",IF('Resultados Individuales'!O20&lt;49.5%,"Por Mejorar",IF('Resultados Individuales'!O20&lt;64.5%,"Base",IF('Resultados Individuales'!O20&lt;84.5%,"Satisfactorio","Óptimo"))),"No rendida o no válida")</f>
        <v>No rendida o no válida</v>
      </c>
    </row>
    <row r="21" spans="1:16" ht="29.25">
      <c r="A21" s="29">
        <v>21336139</v>
      </c>
      <c r="B21" s="54">
        <v>2</v>
      </c>
      <c r="C21" s="53" t="s">
        <v>113</v>
      </c>
      <c r="D21" s="53" t="s">
        <v>108</v>
      </c>
      <c r="E21" s="53" t="s">
        <v>114</v>
      </c>
      <c r="F21" s="61" t="s">
        <v>64</v>
      </c>
      <c r="G21" s="61" t="s">
        <v>65</v>
      </c>
      <c r="H21" s="75">
        <v>45757</v>
      </c>
      <c r="I21" s="76"/>
      <c r="J21" s="79">
        <v>2</v>
      </c>
      <c r="K21" s="77">
        <v>3</v>
      </c>
      <c r="L21" s="77">
        <v>1</v>
      </c>
      <c r="M21" s="77">
        <v>2</v>
      </c>
      <c r="N21" s="82">
        <v>8</v>
      </c>
      <c r="O21" s="56">
        <f t="shared" si="0"/>
        <v>0.5</v>
      </c>
      <c r="P21" s="37" t="str">
        <f>IF(G21="Rendida ",IF('Resultados Individuales'!O21&lt;49.5%,"Por Mejorar",IF('Resultados Individuales'!O21&lt;64.5%,"Base",IF('Resultados Individuales'!O21&lt;84.5%,"Satisfactorio","Óptimo"))),"No rendida o no válida")</f>
        <v>No rendida o no válida</v>
      </c>
    </row>
    <row r="22" spans="1:16" ht="29.25">
      <c r="A22" s="29">
        <v>21356662</v>
      </c>
      <c r="B22" s="54">
        <v>8</v>
      </c>
      <c r="C22" s="53" t="s">
        <v>115</v>
      </c>
      <c r="D22" s="53" t="s">
        <v>116</v>
      </c>
      <c r="E22" s="53" t="s">
        <v>117</v>
      </c>
      <c r="F22" s="61" t="s">
        <v>64</v>
      </c>
      <c r="G22" s="61" t="s">
        <v>65</v>
      </c>
      <c r="H22" s="75">
        <v>45757</v>
      </c>
      <c r="I22" s="76"/>
      <c r="J22" s="79">
        <v>3</v>
      </c>
      <c r="K22" s="77">
        <v>3</v>
      </c>
      <c r="L22" s="77">
        <v>2</v>
      </c>
      <c r="M22" s="77">
        <v>2</v>
      </c>
      <c r="N22" s="82">
        <v>10</v>
      </c>
      <c r="O22" s="56">
        <f t="shared" si="0"/>
        <v>0.625</v>
      </c>
      <c r="P22" s="37" t="str">
        <f>IF(G22="Rendida ",IF('Resultados Individuales'!O22&lt;49.5%,"Por Mejorar",IF('Resultados Individuales'!O22&lt;64.5%,"Base",IF('Resultados Individuales'!O22&lt;84.5%,"Satisfactorio","Óptimo"))),"No rendida o no válida")</f>
        <v>No rendida o no válida</v>
      </c>
    </row>
    <row r="23" spans="1:16" ht="29.25">
      <c r="A23" s="29">
        <v>21360375</v>
      </c>
      <c r="B23" s="54">
        <v>2</v>
      </c>
      <c r="C23" s="53" t="s">
        <v>118</v>
      </c>
      <c r="D23" s="53" t="s">
        <v>119</v>
      </c>
      <c r="E23" s="53" t="s">
        <v>120</v>
      </c>
      <c r="F23" s="61" t="s">
        <v>64</v>
      </c>
      <c r="G23" s="61" t="s">
        <v>65</v>
      </c>
      <c r="H23" s="75">
        <v>45757</v>
      </c>
      <c r="I23" s="76"/>
      <c r="J23" s="79">
        <v>1</v>
      </c>
      <c r="K23" s="77">
        <v>1</v>
      </c>
      <c r="L23" s="77">
        <v>0</v>
      </c>
      <c r="M23" s="77">
        <v>0</v>
      </c>
      <c r="N23" s="82">
        <v>2</v>
      </c>
      <c r="O23" s="56">
        <f t="shared" si="0"/>
        <v>0.125</v>
      </c>
      <c r="P23" s="37" t="str">
        <f>IF(G23="Rendida ",IF('Resultados Individuales'!O23&lt;49.5%,"Por Mejorar",IF('Resultados Individuales'!O23&lt;64.5%,"Base",IF('Resultados Individuales'!O23&lt;84.5%,"Satisfactorio","Óptimo"))),"No rendida o no válida")</f>
        <v>No rendida o no válida</v>
      </c>
    </row>
    <row r="24" spans="1:16" ht="29.25">
      <c r="A24" s="29">
        <v>21380540</v>
      </c>
      <c r="B24" s="54">
        <v>1</v>
      </c>
      <c r="C24" s="53" t="s">
        <v>121</v>
      </c>
      <c r="D24" s="53" t="s">
        <v>122</v>
      </c>
      <c r="E24" s="53" t="s">
        <v>123</v>
      </c>
      <c r="F24" s="61" t="s">
        <v>64</v>
      </c>
      <c r="G24" s="61" t="s">
        <v>65</v>
      </c>
      <c r="H24" s="75">
        <v>45757</v>
      </c>
      <c r="I24" s="76"/>
      <c r="J24" s="79">
        <v>1</v>
      </c>
      <c r="K24" s="77">
        <v>3</v>
      </c>
      <c r="L24" s="77">
        <v>0</v>
      </c>
      <c r="M24" s="77">
        <v>2</v>
      </c>
      <c r="N24" s="82">
        <v>6</v>
      </c>
      <c r="O24" s="56">
        <f t="shared" si="0"/>
        <v>0.375</v>
      </c>
      <c r="P24" s="37" t="str">
        <f>IF(G24="Rendida ",IF('Resultados Individuales'!O24&lt;49.5%,"Por Mejorar",IF('Resultados Individuales'!O24&lt;64.5%,"Base",IF('Resultados Individuales'!O24&lt;84.5%,"Satisfactorio","Óptimo"))),"No rendida o no válida")</f>
        <v>No rendida o no válida</v>
      </c>
    </row>
    <row r="25" spans="1:16">
      <c r="A25" s="29">
        <v>21385142</v>
      </c>
      <c r="B25" s="54" t="s">
        <v>66</v>
      </c>
      <c r="C25" s="53" t="s">
        <v>124</v>
      </c>
      <c r="D25" s="53" t="s">
        <v>125</v>
      </c>
      <c r="E25" s="53" t="s">
        <v>126</v>
      </c>
      <c r="F25" s="62" t="s">
        <v>64</v>
      </c>
      <c r="G25" s="62" t="s">
        <v>127</v>
      </c>
      <c r="H25" s="65" t="s">
        <v>94</v>
      </c>
      <c r="I25" s="76" t="s">
        <v>128</v>
      </c>
      <c r="J25" s="62"/>
      <c r="K25" s="76"/>
      <c r="L25" s="76"/>
      <c r="M25" s="76"/>
      <c r="N25" s="82">
        <v>0</v>
      </c>
      <c r="O25" s="56">
        <f t="shared" si="0"/>
        <v>0</v>
      </c>
      <c r="P25" s="37" t="str">
        <f>IF(G25="Rendida ",IF('Resultados Individuales'!O25&lt;49.5%,"Por Mejorar",IF('Resultados Individuales'!O25&lt;64.5%,"Base",IF('Resultados Individuales'!O25&lt;84.5%,"Satisfactorio","Óptimo"))),"No rendida o no válida")</f>
        <v>No rendida o no válida</v>
      </c>
    </row>
    <row r="26" spans="1:16">
      <c r="A26" s="29">
        <v>21386122</v>
      </c>
      <c r="B26" s="54">
        <v>0</v>
      </c>
      <c r="C26" s="53" t="s">
        <v>129</v>
      </c>
      <c r="D26" s="53" t="s">
        <v>130</v>
      </c>
      <c r="E26" s="53" t="s">
        <v>131</v>
      </c>
      <c r="F26" s="62" t="s">
        <v>64</v>
      </c>
      <c r="G26" s="62" t="s">
        <v>65</v>
      </c>
      <c r="H26" s="75">
        <v>45757</v>
      </c>
      <c r="I26" s="76"/>
      <c r="J26" s="83">
        <v>1</v>
      </c>
      <c r="K26" s="65">
        <v>1</v>
      </c>
      <c r="L26" s="65">
        <v>0</v>
      </c>
      <c r="M26" s="65">
        <v>2</v>
      </c>
      <c r="N26" s="82">
        <v>4</v>
      </c>
      <c r="O26" s="56">
        <f t="shared" si="0"/>
        <v>0.25</v>
      </c>
      <c r="P26" s="37" t="str">
        <f>IF(G26="Rendida ",IF('Resultados Individuales'!O26&lt;49.5%,"Por Mejorar",IF('Resultados Individuales'!O26&lt;64.5%,"Base",IF('Resultados Individuales'!O26&lt;84.5%,"Satisfactorio","Óptimo"))),"No rendida o no válida")</f>
        <v>No rendida o no válida</v>
      </c>
    </row>
    <row r="27" spans="1:16" ht="29.25">
      <c r="A27" s="29">
        <v>21420164</v>
      </c>
      <c r="B27" s="54" t="s">
        <v>66</v>
      </c>
      <c r="C27" s="53" t="s">
        <v>132</v>
      </c>
      <c r="D27" s="53" t="s">
        <v>133</v>
      </c>
      <c r="E27" s="53" t="s">
        <v>134</v>
      </c>
      <c r="F27" s="61" t="s">
        <v>64</v>
      </c>
      <c r="G27" s="61" t="s">
        <v>65</v>
      </c>
      <c r="H27" s="75">
        <v>45757</v>
      </c>
      <c r="I27" s="76"/>
      <c r="J27" s="79">
        <v>1</v>
      </c>
      <c r="K27" s="77">
        <v>1</v>
      </c>
      <c r="L27" s="77">
        <v>0</v>
      </c>
      <c r="M27" s="77">
        <v>3</v>
      </c>
      <c r="N27" s="82">
        <v>5</v>
      </c>
      <c r="O27" s="56">
        <f t="shared" si="0"/>
        <v>0.3125</v>
      </c>
      <c r="P27" s="37" t="str">
        <f>IF(G27="Rendida ",IF('Resultados Individuales'!O27&lt;49.5%,"Por Mejorar",IF('Resultados Individuales'!O27&lt;64.5%,"Base",IF('Resultados Individuales'!O27&lt;84.5%,"Satisfactorio","Óptimo"))),"No rendida o no válida")</f>
        <v>No rendida o no válida</v>
      </c>
    </row>
    <row r="28" spans="1:16" ht="29.25">
      <c r="A28" s="29">
        <v>21428146</v>
      </c>
      <c r="B28" s="54">
        <v>5</v>
      </c>
      <c r="C28" s="53" t="s">
        <v>119</v>
      </c>
      <c r="D28" s="53" t="s">
        <v>135</v>
      </c>
      <c r="E28" s="53" t="s">
        <v>136</v>
      </c>
      <c r="F28" s="61" t="s">
        <v>64</v>
      </c>
      <c r="G28" s="61" t="s">
        <v>65</v>
      </c>
      <c r="H28" s="75">
        <v>45757</v>
      </c>
      <c r="I28" s="76"/>
      <c r="J28" s="79">
        <v>2</v>
      </c>
      <c r="K28" s="77">
        <v>2</v>
      </c>
      <c r="L28" s="77">
        <v>1</v>
      </c>
      <c r="M28" s="77">
        <v>2</v>
      </c>
      <c r="N28" s="82">
        <v>7</v>
      </c>
      <c r="O28" s="56">
        <f t="shared" si="0"/>
        <v>0.4375</v>
      </c>
      <c r="P28" s="37" t="str">
        <f>IF(G28="Rendida ",IF('Resultados Individuales'!O28&lt;49.5%,"Por Mejorar",IF('Resultados Individuales'!O28&lt;64.5%,"Base",IF('Resultados Individuales'!O28&lt;84.5%,"Satisfactorio","Óptimo"))),"No rendida o no válida")</f>
        <v>No rendida o no válida</v>
      </c>
    </row>
    <row r="29" spans="1:16" ht="29.25">
      <c r="A29" s="29">
        <v>21439208</v>
      </c>
      <c r="B29" s="54">
        <v>9</v>
      </c>
      <c r="C29" s="53" t="s">
        <v>137</v>
      </c>
      <c r="D29" s="53" t="s">
        <v>138</v>
      </c>
      <c r="E29" s="53" t="s">
        <v>139</v>
      </c>
      <c r="F29" s="61" t="s">
        <v>64</v>
      </c>
      <c r="G29" s="61" t="s">
        <v>65</v>
      </c>
      <c r="H29" s="75">
        <v>45757</v>
      </c>
      <c r="I29" s="76"/>
      <c r="J29" s="79">
        <v>1</v>
      </c>
      <c r="K29" s="77">
        <v>1</v>
      </c>
      <c r="L29" s="77">
        <v>1</v>
      </c>
      <c r="M29" s="77">
        <v>2</v>
      </c>
      <c r="N29" s="82">
        <v>5</v>
      </c>
      <c r="O29" s="56">
        <f t="shared" si="0"/>
        <v>0.3125</v>
      </c>
      <c r="P29" s="37" t="str">
        <f>IF(G29="Rendida ",IF('Resultados Individuales'!O29&lt;49.5%,"Por Mejorar",IF('Resultados Individuales'!O29&lt;64.5%,"Base",IF('Resultados Individuales'!O29&lt;84.5%,"Satisfactorio","Óptimo"))),"No rendida o no válida")</f>
        <v>No rendida o no válida</v>
      </c>
    </row>
    <row r="30" spans="1:16" ht="29.25">
      <c r="A30" s="29">
        <v>21468250</v>
      </c>
      <c r="B30" s="54">
        <v>8</v>
      </c>
      <c r="C30" s="53" t="s">
        <v>140</v>
      </c>
      <c r="D30" s="53" t="s">
        <v>141</v>
      </c>
      <c r="E30" s="53" t="s">
        <v>142</v>
      </c>
      <c r="F30" s="61" t="s">
        <v>64</v>
      </c>
      <c r="G30" s="61" t="s">
        <v>65</v>
      </c>
      <c r="H30" s="75">
        <v>45757</v>
      </c>
      <c r="I30" s="76"/>
      <c r="J30" s="79">
        <v>2</v>
      </c>
      <c r="K30" s="77">
        <v>2</v>
      </c>
      <c r="L30" s="77">
        <v>1</v>
      </c>
      <c r="M30" s="77">
        <v>2</v>
      </c>
      <c r="N30" s="82">
        <v>7</v>
      </c>
      <c r="O30" s="56">
        <f t="shared" si="0"/>
        <v>0.4375</v>
      </c>
      <c r="P30" s="37" t="str">
        <f>IF(G30="Rendida ",IF('Resultados Individuales'!O30&lt;49.5%,"Por Mejorar",IF('Resultados Individuales'!O30&lt;64.5%,"Base",IF('Resultados Individuales'!O30&lt;84.5%,"Satisfactorio","Óptimo"))),"No rendida o no válida")</f>
        <v>No rendida o no válida</v>
      </c>
    </row>
    <row r="31" spans="1:16" ht="29.25">
      <c r="A31" s="29">
        <v>21482862</v>
      </c>
      <c r="B31" s="54">
        <v>6</v>
      </c>
      <c r="C31" s="53" t="s">
        <v>143</v>
      </c>
      <c r="D31" s="53" t="s">
        <v>144</v>
      </c>
      <c r="E31" s="53" t="s">
        <v>145</v>
      </c>
      <c r="F31" s="61" t="s">
        <v>64</v>
      </c>
      <c r="G31" s="61" t="s">
        <v>65</v>
      </c>
      <c r="H31" s="75">
        <v>45757</v>
      </c>
      <c r="I31" s="76"/>
      <c r="J31" s="79">
        <v>1</v>
      </c>
      <c r="K31" s="77">
        <v>1</v>
      </c>
      <c r="L31" s="77">
        <v>1</v>
      </c>
      <c r="M31" s="77">
        <v>2</v>
      </c>
      <c r="N31" s="82">
        <v>5</v>
      </c>
      <c r="O31" s="56">
        <f t="shared" si="0"/>
        <v>0.3125</v>
      </c>
      <c r="P31" s="37" t="str">
        <f>IF(G31="Rendida ",IF('Resultados Individuales'!O31&lt;49.5%,"Por Mejorar",IF('Resultados Individuales'!O31&lt;64.5%,"Base",IF('Resultados Individuales'!O31&lt;84.5%,"Satisfactorio","Óptimo"))),"No rendida o no válida")</f>
        <v>No rendida o no válida</v>
      </c>
    </row>
    <row r="32" spans="1:16" ht="29.25">
      <c r="A32" s="29">
        <v>21488964</v>
      </c>
      <c r="B32" s="54">
        <v>1</v>
      </c>
      <c r="C32" s="53" t="s">
        <v>108</v>
      </c>
      <c r="D32" s="53" t="s">
        <v>121</v>
      </c>
      <c r="E32" s="53" t="s">
        <v>146</v>
      </c>
      <c r="F32" s="61" t="s">
        <v>64</v>
      </c>
      <c r="G32" s="61" t="s">
        <v>65</v>
      </c>
      <c r="H32" s="75">
        <v>45757</v>
      </c>
      <c r="I32" s="76"/>
      <c r="J32" s="79">
        <v>1</v>
      </c>
      <c r="K32" s="77">
        <v>2</v>
      </c>
      <c r="L32" s="77">
        <v>1</v>
      </c>
      <c r="M32" s="77">
        <v>2</v>
      </c>
      <c r="N32" s="82">
        <v>6</v>
      </c>
      <c r="O32" s="56">
        <f t="shared" si="0"/>
        <v>0.375</v>
      </c>
      <c r="P32" s="37" t="str">
        <f>IF(G32="Rendida ",IF('Resultados Individuales'!O32&lt;49.5%,"Por Mejorar",IF('Resultados Individuales'!O32&lt;64.5%,"Base",IF('Resultados Individuales'!O32&lt;84.5%,"Satisfactorio","Óptimo"))),"No rendida o no válida")</f>
        <v>No rendida o no válida</v>
      </c>
    </row>
    <row r="33" spans="1:16" ht="29.25">
      <c r="A33" s="29">
        <v>21493317</v>
      </c>
      <c r="B33" s="54">
        <v>9</v>
      </c>
      <c r="C33" s="53" t="s">
        <v>147</v>
      </c>
      <c r="D33" s="53" t="s">
        <v>148</v>
      </c>
      <c r="E33" s="53" t="s">
        <v>149</v>
      </c>
      <c r="F33" s="61" t="s">
        <v>64</v>
      </c>
      <c r="G33" s="61" t="s">
        <v>65</v>
      </c>
      <c r="H33" s="75">
        <v>45757</v>
      </c>
      <c r="I33" s="76"/>
      <c r="J33" s="79">
        <v>3</v>
      </c>
      <c r="K33" s="77">
        <v>2</v>
      </c>
      <c r="L33" s="77">
        <v>0</v>
      </c>
      <c r="M33" s="77">
        <v>3</v>
      </c>
      <c r="N33" s="82">
        <v>8</v>
      </c>
      <c r="O33" s="56">
        <f t="shared" si="0"/>
        <v>0.5</v>
      </c>
      <c r="P33" s="37" t="str">
        <f>IF(G33="Rendida ",IF('Resultados Individuales'!O33&lt;49.5%,"Por Mejorar",IF('Resultados Individuales'!O33&lt;64.5%,"Base",IF('Resultados Individuales'!O33&lt;84.5%,"Satisfactorio","Óptimo"))),"No rendida o no válida")</f>
        <v>No rendida o no válida</v>
      </c>
    </row>
    <row r="34" spans="1:16" ht="29.25">
      <c r="A34" s="29">
        <v>21495886</v>
      </c>
      <c r="B34" s="54">
        <v>4</v>
      </c>
      <c r="C34" s="53" t="s">
        <v>150</v>
      </c>
      <c r="D34" s="53" t="s">
        <v>110</v>
      </c>
      <c r="E34" s="53" t="s">
        <v>151</v>
      </c>
      <c r="F34" s="61" t="s">
        <v>64</v>
      </c>
      <c r="G34" s="61" t="s">
        <v>65</v>
      </c>
      <c r="H34" s="75">
        <v>45757</v>
      </c>
      <c r="I34" s="76"/>
      <c r="J34" s="79">
        <v>2</v>
      </c>
      <c r="K34" s="77">
        <v>2</v>
      </c>
      <c r="L34" s="77">
        <v>2</v>
      </c>
      <c r="M34" s="77">
        <v>3</v>
      </c>
      <c r="N34" s="82">
        <v>9</v>
      </c>
      <c r="O34" s="56">
        <f t="shared" si="0"/>
        <v>0.5625</v>
      </c>
      <c r="P34" s="37" t="str">
        <f>IF(G34="Rendida ",IF('Resultados Individuales'!O34&lt;49.5%,"Por Mejorar",IF('Resultados Individuales'!O34&lt;64.5%,"Base",IF('Resultados Individuales'!O34&lt;84.5%,"Satisfactorio","Óptimo"))),"No rendida o no válida")</f>
        <v>No rendida o no válida</v>
      </c>
    </row>
    <row r="35" spans="1:16" ht="29.25">
      <c r="A35" s="29">
        <v>21500412</v>
      </c>
      <c r="B35" s="54">
        <v>0</v>
      </c>
      <c r="C35" s="53" t="s">
        <v>152</v>
      </c>
      <c r="D35" s="53" t="s">
        <v>119</v>
      </c>
      <c r="E35" s="53" t="s">
        <v>153</v>
      </c>
      <c r="F35" s="61" t="s">
        <v>64</v>
      </c>
      <c r="G35" s="61" t="s">
        <v>65</v>
      </c>
      <c r="H35" s="75">
        <v>45757</v>
      </c>
      <c r="I35" s="76"/>
      <c r="J35" s="79">
        <v>2</v>
      </c>
      <c r="K35" s="77">
        <v>1</v>
      </c>
      <c r="L35" s="77">
        <v>2</v>
      </c>
      <c r="M35" s="77">
        <v>2</v>
      </c>
      <c r="N35" s="82">
        <v>7</v>
      </c>
      <c r="O35" s="56">
        <f t="shared" si="0"/>
        <v>0.4375</v>
      </c>
      <c r="P35" s="37" t="str">
        <f>IF(G35="Rendida ",IF('Resultados Individuales'!O35&lt;49.5%,"Por Mejorar",IF('Resultados Individuales'!O35&lt;64.5%,"Base",IF('Resultados Individuales'!O35&lt;84.5%,"Satisfactorio","Óptimo"))),"No rendida o no válida")</f>
        <v>No rendida o no válida</v>
      </c>
    </row>
    <row r="36" spans="1:16" ht="29.25">
      <c r="A36" s="29">
        <v>21504320</v>
      </c>
      <c r="B36" s="54">
        <v>7</v>
      </c>
      <c r="C36" s="53" t="s">
        <v>154</v>
      </c>
      <c r="D36" s="53" t="s">
        <v>121</v>
      </c>
      <c r="E36" s="53" t="s">
        <v>155</v>
      </c>
      <c r="F36" s="61" t="s">
        <v>64</v>
      </c>
      <c r="G36" s="61" t="s">
        <v>65</v>
      </c>
      <c r="H36" s="75">
        <v>45757</v>
      </c>
      <c r="I36" s="76"/>
      <c r="J36" s="79">
        <v>3</v>
      </c>
      <c r="K36" s="77">
        <v>2</v>
      </c>
      <c r="L36" s="77">
        <v>4</v>
      </c>
      <c r="M36" s="77">
        <v>4</v>
      </c>
      <c r="N36" s="82">
        <v>13</v>
      </c>
      <c r="O36" s="56">
        <f t="shared" si="0"/>
        <v>0.8125</v>
      </c>
      <c r="P36" s="37" t="str">
        <f>IF(G36="Rendida ",IF('Resultados Individuales'!O36&lt;49.5%,"Por Mejorar",IF('Resultados Individuales'!O36&lt;64.5%,"Base",IF('Resultados Individuales'!O36&lt;84.5%,"Satisfactorio","Óptimo"))),"No rendida o no válida")</f>
        <v>No rendida o no válida</v>
      </c>
    </row>
    <row r="37" spans="1:16" ht="29.25">
      <c r="A37" s="29">
        <v>21507049</v>
      </c>
      <c r="B37" s="54">
        <v>2</v>
      </c>
      <c r="C37" s="53" t="s">
        <v>156</v>
      </c>
      <c r="D37" s="53" t="s">
        <v>74</v>
      </c>
      <c r="E37" s="53" t="s">
        <v>157</v>
      </c>
      <c r="F37" s="61" t="s">
        <v>64</v>
      </c>
      <c r="G37" s="61" t="s">
        <v>65</v>
      </c>
      <c r="H37" s="78">
        <v>45775</v>
      </c>
      <c r="I37" s="76"/>
      <c r="J37" s="79">
        <v>3</v>
      </c>
      <c r="K37" s="77">
        <v>3</v>
      </c>
      <c r="L37" s="77">
        <v>4</v>
      </c>
      <c r="M37" s="77">
        <v>4</v>
      </c>
      <c r="N37" s="82">
        <v>14</v>
      </c>
      <c r="O37" s="56">
        <f t="shared" si="0"/>
        <v>0.875</v>
      </c>
      <c r="P37" s="37" t="str">
        <f>IF(G37="Rendida ",IF('Resultados Individuales'!O37&lt;49.5%,"Por Mejorar",IF('Resultados Individuales'!O37&lt;64.5%,"Base",IF('Resultados Individuales'!O37&lt;84.5%,"Satisfactorio","Óptimo"))),"No rendida o no válida")</f>
        <v>No rendida o no válida</v>
      </c>
    </row>
    <row r="38" spans="1:16" ht="29.25">
      <c r="A38" s="29">
        <v>21521343</v>
      </c>
      <c r="B38" s="54">
        <v>9</v>
      </c>
      <c r="C38" s="53" t="s">
        <v>158</v>
      </c>
      <c r="D38" s="53" t="s">
        <v>159</v>
      </c>
      <c r="E38" s="53" t="s">
        <v>160</v>
      </c>
      <c r="F38" s="61" t="s">
        <v>64</v>
      </c>
      <c r="G38" s="61" t="s">
        <v>65</v>
      </c>
      <c r="H38" s="75">
        <v>45757</v>
      </c>
      <c r="I38" s="76"/>
      <c r="J38" s="79">
        <v>1</v>
      </c>
      <c r="K38" s="77">
        <v>1</v>
      </c>
      <c r="L38" s="77">
        <v>0</v>
      </c>
      <c r="M38" s="77">
        <v>3</v>
      </c>
      <c r="N38" s="82">
        <v>5</v>
      </c>
      <c r="O38" s="56">
        <f t="shared" si="0"/>
        <v>0.3125</v>
      </c>
      <c r="P38" s="37" t="str">
        <f>IF(G38="Rendida ",IF('Resultados Individuales'!O38&lt;49.5%,"Por Mejorar",IF('Resultados Individuales'!O38&lt;64.5%,"Base",IF('Resultados Individuales'!O38&lt;84.5%,"Satisfactorio","Óptimo"))),"No rendida o no válida")</f>
        <v>No rendida o no válida</v>
      </c>
    </row>
    <row r="39" spans="1:16" ht="29.25">
      <c r="A39" s="29">
        <v>21526463</v>
      </c>
      <c r="B39" s="54">
        <v>7</v>
      </c>
      <c r="C39" s="53" t="s">
        <v>161</v>
      </c>
      <c r="D39" s="53" t="s">
        <v>162</v>
      </c>
      <c r="E39" s="53" t="s">
        <v>163</v>
      </c>
      <c r="F39" s="61" t="s">
        <v>64</v>
      </c>
      <c r="G39" s="61" t="s">
        <v>65</v>
      </c>
      <c r="H39" s="75">
        <v>45757</v>
      </c>
      <c r="I39" s="76"/>
      <c r="J39" s="79">
        <v>2</v>
      </c>
      <c r="K39" s="77">
        <v>1</v>
      </c>
      <c r="L39" s="77">
        <v>1</v>
      </c>
      <c r="M39" s="77">
        <v>2</v>
      </c>
      <c r="N39" s="82">
        <v>6</v>
      </c>
      <c r="O39" s="56">
        <f t="shared" si="0"/>
        <v>0.375</v>
      </c>
      <c r="P39" s="37" t="str">
        <f>IF(G39="Rendida ",IF('Resultados Individuales'!O39&lt;49.5%,"Por Mejorar",IF('Resultados Individuales'!O39&lt;64.5%,"Base",IF('Resultados Individuales'!O39&lt;84.5%,"Satisfactorio","Óptimo"))),"No rendida o no válida")</f>
        <v>No rendida o no válida</v>
      </c>
    </row>
    <row r="40" spans="1:16">
      <c r="A40" s="29">
        <v>21534937</v>
      </c>
      <c r="B40" s="54">
        <v>3</v>
      </c>
      <c r="C40" s="53" t="s">
        <v>164</v>
      </c>
      <c r="D40" s="53" t="s">
        <v>165</v>
      </c>
      <c r="E40" s="53" t="s">
        <v>166</v>
      </c>
      <c r="F40" s="62" t="s">
        <v>64</v>
      </c>
      <c r="G40" s="62" t="s">
        <v>65</v>
      </c>
      <c r="H40" s="75">
        <v>45757</v>
      </c>
      <c r="I40" s="76"/>
      <c r="J40" s="83">
        <v>2</v>
      </c>
      <c r="K40" s="65">
        <v>1</v>
      </c>
      <c r="L40" s="65">
        <v>0</v>
      </c>
      <c r="M40" s="65">
        <v>3</v>
      </c>
      <c r="N40" s="82">
        <v>6</v>
      </c>
      <c r="O40" s="56">
        <f t="shared" si="0"/>
        <v>0.375</v>
      </c>
      <c r="P40" s="37" t="str">
        <f>IF(G40="Rendida ",IF('Resultados Individuales'!O40&lt;49.5%,"Por Mejorar",IF('Resultados Individuales'!O40&lt;64.5%,"Base",IF('Resultados Individuales'!O40&lt;84.5%,"Satisfactorio","Óptimo"))),"No rendida o no válida")</f>
        <v>No rendida o no válida</v>
      </c>
    </row>
    <row r="41" spans="1:16" ht="29.25">
      <c r="A41" s="29">
        <v>21541956</v>
      </c>
      <c r="B41" s="54">
        <v>8</v>
      </c>
      <c r="C41" s="53" t="s">
        <v>167</v>
      </c>
      <c r="D41" s="53" t="s">
        <v>167</v>
      </c>
      <c r="E41" s="53" t="s">
        <v>168</v>
      </c>
      <c r="F41" s="61" t="s">
        <v>64</v>
      </c>
      <c r="G41" s="61" t="s">
        <v>65</v>
      </c>
      <c r="H41" s="75">
        <v>45757</v>
      </c>
      <c r="I41" s="76"/>
      <c r="J41" s="79">
        <v>1</v>
      </c>
      <c r="K41" s="77">
        <v>1</v>
      </c>
      <c r="L41" s="77">
        <v>0</v>
      </c>
      <c r="M41" s="77">
        <v>1</v>
      </c>
      <c r="N41" s="82">
        <v>3</v>
      </c>
      <c r="O41" s="56">
        <f t="shared" si="0"/>
        <v>0.1875</v>
      </c>
      <c r="P41" s="37" t="str">
        <f>IF(G41="Rendida ",IF('Resultados Individuales'!O41&lt;49.5%,"Por Mejorar",IF('Resultados Individuales'!O41&lt;64.5%,"Base",IF('Resultados Individuales'!O41&lt;84.5%,"Satisfactorio","Óptimo"))),"No rendida o no válida")</f>
        <v>No rendida o no válida</v>
      </c>
    </row>
    <row r="42" spans="1:16" ht="29.25">
      <c r="A42" s="29">
        <v>21549426</v>
      </c>
      <c r="B42" s="54">
        <v>8</v>
      </c>
      <c r="C42" s="53" t="s">
        <v>169</v>
      </c>
      <c r="D42" s="53" t="s">
        <v>110</v>
      </c>
      <c r="E42" s="53" t="s">
        <v>170</v>
      </c>
      <c r="F42" s="61" t="s">
        <v>64</v>
      </c>
      <c r="G42" s="61" t="s">
        <v>65</v>
      </c>
      <c r="H42" s="78">
        <v>45775</v>
      </c>
      <c r="I42" s="76"/>
      <c r="J42" s="79">
        <v>1</v>
      </c>
      <c r="K42" s="77">
        <v>3</v>
      </c>
      <c r="L42" s="77">
        <v>2</v>
      </c>
      <c r="M42" s="77">
        <v>2</v>
      </c>
      <c r="N42" s="82">
        <v>8</v>
      </c>
      <c r="O42" s="56">
        <f t="shared" si="0"/>
        <v>0.5</v>
      </c>
      <c r="P42" s="37" t="str">
        <f>IF(G42="Rendida ",IF('Resultados Individuales'!O42&lt;49.5%,"Por Mejorar",IF('Resultados Individuales'!O42&lt;64.5%,"Base",IF('Resultados Individuales'!O42&lt;84.5%,"Satisfactorio","Óptimo"))),"No rendida o no válida")</f>
        <v>No rendida o no válida</v>
      </c>
    </row>
    <row r="43" spans="1:16" ht="29.25">
      <c r="A43" s="29">
        <v>21561949</v>
      </c>
      <c r="B43" s="54">
        <v>4</v>
      </c>
      <c r="C43" s="53" t="s">
        <v>171</v>
      </c>
      <c r="D43" s="53" t="s">
        <v>172</v>
      </c>
      <c r="E43" s="53" t="s">
        <v>173</v>
      </c>
      <c r="F43" s="61" t="s">
        <v>64</v>
      </c>
      <c r="G43" s="61" t="s">
        <v>65</v>
      </c>
      <c r="H43" s="78">
        <v>45782</v>
      </c>
      <c r="I43" s="76"/>
      <c r="J43" s="79">
        <v>2</v>
      </c>
      <c r="K43" s="77">
        <v>3</v>
      </c>
      <c r="L43" s="77">
        <v>2</v>
      </c>
      <c r="M43" s="77">
        <v>3</v>
      </c>
      <c r="N43" s="82">
        <v>10</v>
      </c>
      <c r="O43" s="56">
        <f t="shared" si="0"/>
        <v>0.625</v>
      </c>
      <c r="P43" s="37" t="str">
        <f>IF(G43="Rendida ",IF('Resultados Individuales'!O43&lt;49.5%,"Por Mejorar",IF('Resultados Individuales'!O43&lt;64.5%,"Base",IF('Resultados Individuales'!O43&lt;84.5%,"Satisfactorio","Óptimo"))),"No rendida o no válida")</f>
        <v>No rendida o no válida</v>
      </c>
    </row>
    <row r="44" spans="1:16" ht="29.25">
      <c r="A44" s="29">
        <v>21569572</v>
      </c>
      <c r="B44" s="54">
        <v>7</v>
      </c>
      <c r="C44" s="53" t="s">
        <v>174</v>
      </c>
      <c r="D44" s="53" t="s">
        <v>108</v>
      </c>
      <c r="E44" s="53" t="s">
        <v>175</v>
      </c>
      <c r="F44" s="61" t="s">
        <v>64</v>
      </c>
      <c r="G44" s="61" t="s">
        <v>65</v>
      </c>
      <c r="H44" s="75">
        <v>45757</v>
      </c>
      <c r="I44" s="76"/>
      <c r="J44" s="79">
        <v>1</v>
      </c>
      <c r="K44" s="77">
        <v>3</v>
      </c>
      <c r="L44" s="77">
        <v>2</v>
      </c>
      <c r="M44" s="77">
        <v>2</v>
      </c>
      <c r="N44" s="82">
        <v>8</v>
      </c>
      <c r="O44" s="56">
        <f t="shared" si="0"/>
        <v>0.5</v>
      </c>
      <c r="P44" s="37" t="str">
        <f>IF(G44="Rendida ",IF('Resultados Individuales'!O44&lt;49.5%,"Por Mejorar",IF('Resultados Individuales'!O44&lt;64.5%,"Base",IF('Resultados Individuales'!O44&lt;84.5%,"Satisfactorio","Óptimo"))),"No rendida o no válida")</f>
        <v>No rendida o no válida</v>
      </c>
    </row>
    <row r="45" spans="1:16" ht="29.25">
      <c r="A45" s="29">
        <v>21578422</v>
      </c>
      <c r="B45" s="54">
        <v>3</v>
      </c>
      <c r="C45" s="53" t="s">
        <v>158</v>
      </c>
      <c r="D45" s="53" t="s">
        <v>176</v>
      </c>
      <c r="E45" s="53" t="s">
        <v>177</v>
      </c>
      <c r="F45" s="61" t="s">
        <v>64</v>
      </c>
      <c r="G45" s="61" t="s">
        <v>65</v>
      </c>
      <c r="H45" s="75">
        <v>45757</v>
      </c>
      <c r="I45" s="76"/>
      <c r="J45" s="79">
        <v>4</v>
      </c>
      <c r="K45" s="77">
        <v>3</v>
      </c>
      <c r="L45" s="77">
        <v>2</v>
      </c>
      <c r="M45" s="77">
        <v>3</v>
      </c>
      <c r="N45" s="82">
        <v>12</v>
      </c>
      <c r="O45" s="56">
        <f t="shared" si="0"/>
        <v>0.75</v>
      </c>
      <c r="P45" s="37" t="str">
        <f>IF(G45="Rendida ",IF('Resultados Individuales'!O45&lt;49.5%,"Por Mejorar",IF('Resultados Individuales'!O45&lt;64.5%,"Base",IF('Resultados Individuales'!O45&lt;84.5%,"Satisfactorio","Óptimo"))),"No rendida o no válida")</f>
        <v>No rendida o no válida</v>
      </c>
    </row>
    <row r="46" spans="1:16" ht="29.25">
      <c r="A46" s="29">
        <v>21579388</v>
      </c>
      <c r="B46" s="54">
        <v>5</v>
      </c>
      <c r="C46" s="53" t="s">
        <v>178</v>
      </c>
      <c r="D46" s="53" t="s">
        <v>70</v>
      </c>
      <c r="E46" s="53" t="s">
        <v>179</v>
      </c>
      <c r="F46" s="61" t="s">
        <v>64</v>
      </c>
      <c r="G46" s="61" t="s">
        <v>65</v>
      </c>
      <c r="H46" s="75">
        <v>45757</v>
      </c>
      <c r="I46" s="76"/>
      <c r="J46" s="79">
        <v>3</v>
      </c>
      <c r="K46" s="77">
        <v>0</v>
      </c>
      <c r="L46" s="77">
        <v>0</v>
      </c>
      <c r="M46" s="77">
        <v>3</v>
      </c>
      <c r="N46" s="82">
        <v>6</v>
      </c>
      <c r="O46" s="56">
        <f t="shared" si="0"/>
        <v>0.375</v>
      </c>
      <c r="P46" s="37" t="str">
        <f>IF(G46="Rendida ",IF('Resultados Individuales'!O46&lt;49.5%,"Por Mejorar",IF('Resultados Individuales'!O46&lt;64.5%,"Base",IF('Resultados Individuales'!O46&lt;84.5%,"Satisfactorio","Óptimo"))),"No rendida o no válida")</f>
        <v>No rendida o no válida</v>
      </c>
    </row>
    <row r="47" spans="1:16" ht="29.25">
      <c r="A47" s="29">
        <v>21585811</v>
      </c>
      <c r="B47" s="54">
        <v>1</v>
      </c>
      <c r="C47" s="53" t="s">
        <v>180</v>
      </c>
      <c r="D47" s="53" t="s">
        <v>110</v>
      </c>
      <c r="E47" s="53" t="s">
        <v>181</v>
      </c>
      <c r="F47" s="61" t="s">
        <v>64</v>
      </c>
      <c r="G47" s="61" t="s">
        <v>65</v>
      </c>
      <c r="H47" s="75">
        <v>45757</v>
      </c>
      <c r="I47" s="76"/>
      <c r="J47" s="79">
        <v>2</v>
      </c>
      <c r="K47" s="77">
        <v>2</v>
      </c>
      <c r="L47" s="77">
        <v>2</v>
      </c>
      <c r="M47" s="77">
        <v>3</v>
      </c>
      <c r="N47" s="82">
        <v>9</v>
      </c>
      <c r="O47" s="56">
        <f t="shared" si="0"/>
        <v>0.5625</v>
      </c>
      <c r="P47" s="37" t="str">
        <f>IF(G47="Rendida ",IF('Resultados Individuales'!O47&lt;49.5%,"Por Mejorar",IF('Resultados Individuales'!O47&lt;64.5%,"Base",IF('Resultados Individuales'!O47&lt;84.5%,"Satisfactorio","Óptimo"))),"No rendida o no válida")</f>
        <v>No rendida o no válida</v>
      </c>
    </row>
    <row r="48" spans="1:16">
      <c r="A48" s="29">
        <v>21586243</v>
      </c>
      <c r="B48" s="54">
        <v>7</v>
      </c>
      <c r="C48" s="53" t="s">
        <v>76</v>
      </c>
      <c r="D48" s="53" t="s">
        <v>91</v>
      </c>
      <c r="E48" s="53" t="s">
        <v>182</v>
      </c>
      <c r="F48" s="62" t="s">
        <v>64</v>
      </c>
      <c r="G48" s="62" t="s">
        <v>65</v>
      </c>
      <c r="H48" s="75">
        <v>45757</v>
      </c>
      <c r="I48" s="76"/>
      <c r="J48" s="83">
        <v>3</v>
      </c>
      <c r="K48" s="65">
        <v>2</v>
      </c>
      <c r="L48" s="65">
        <v>0</v>
      </c>
      <c r="M48" s="65">
        <v>2</v>
      </c>
      <c r="N48" s="82">
        <v>7</v>
      </c>
      <c r="O48" s="56">
        <f t="shared" si="0"/>
        <v>0.4375</v>
      </c>
      <c r="P48" s="37" t="str">
        <f>IF(G48="Rendida ",IF('Resultados Individuales'!O48&lt;49.5%,"Por Mejorar",IF('Resultados Individuales'!O48&lt;64.5%,"Base",IF('Resultados Individuales'!O48&lt;84.5%,"Satisfactorio","Óptimo"))),"No rendida o no válida")</f>
        <v>No rendida o no válida</v>
      </c>
    </row>
    <row r="49" spans="1:16" ht="29.25">
      <c r="A49" s="29">
        <v>21601426</v>
      </c>
      <c r="B49" s="54" t="s">
        <v>66</v>
      </c>
      <c r="C49" s="53" t="s">
        <v>183</v>
      </c>
      <c r="D49" s="53" t="s">
        <v>110</v>
      </c>
      <c r="E49" s="53" t="s">
        <v>184</v>
      </c>
      <c r="F49" s="61" t="s">
        <v>64</v>
      </c>
      <c r="G49" s="61" t="s">
        <v>65</v>
      </c>
      <c r="H49" s="75">
        <v>45757</v>
      </c>
      <c r="I49" s="76"/>
      <c r="J49" s="79">
        <v>2</v>
      </c>
      <c r="K49" s="77">
        <v>3</v>
      </c>
      <c r="L49" s="77">
        <v>2</v>
      </c>
      <c r="M49" s="77">
        <v>2</v>
      </c>
      <c r="N49" s="82">
        <v>9</v>
      </c>
      <c r="O49" s="56">
        <f t="shared" si="0"/>
        <v>0.5625</v>
      </c>
      <c r="P49" s="37" t="str">
        <f>IF(G49="Rendida ",IF('Resultados Individuales'!O49&lt;49.5%,"Por Mejorar",IF('Resultados Individuales'!O49&lt;64.5%,"Base",IF('Resultados Individuales'!O49&lt;84.5%,"Satisfactorio","Óptimo"))),"No rendida o no válida")</f>
        <v>No rendida o no válida</v>
      </c>
    </row>
    <row r="50" spans="1:16" ht="29.25">
      <c r="A50" s="29">
        <v>21608045</v>
      </c>
      <c r="B50" s="54">
        <v>9</v>
      </c>
      <c r="C50" s="53" t="s">
        <v>185</v>
      </c>
      <c r="D50" s="53" t="s">
        <v>186</v>
      </c>
      <c r="E50" s="53" t="s">
        <v>187</v>
      </c>
      <c r="F50" s="61" t="s">
        <v>64</v>
      </c>
      <c r="G50" s="61" t="s">
        <v>65</v>
      </c>
      <c r="H50" s="75">
        <v>45757</v>
      </c>
      <c r="I50" s="76"/>
      <c r="J50" s="79">
        <v>2</v>
      </c>
      <c r="K50" s="77">
        <v>2</v>
      </c>
      <c r="L50" s="77">
        <v>0</v>
      </c>
      <c r="M50" s="77">
        <v>2</v>
      </c>
      <c r="N50" s="82">
        <v>6</v>
      </c>
      <c r="O50" s="56">
        <f t="shared" si="0"/>
        <v>0.375</v>
      </c>
      <c r="P50" s="37" t="str">
        <f>IF(G50="Rendida ",IF('Resultados Individuales'!O50&lt;49.5%,"Por Mejorar",IF('Resultados Individuales'!O50&lt;64.5%,"Base",IF('Resultados Individuales'!O50&lt;84.5%,"Satisfactorio","Óptimo"))),"No rendida o no válida")</f>
        <v>No rendida o no válida</v>
      </c>
    </row>
    <row r="51" spans="1:16" ht="29.25">
      <c r="A51" s="29">
        <v>21619574</v>
      </c>
      <c r="B51" s="54">
        <v>4</v>
      </c>
      <c r="C51" s="53" t="s">
        <v>188</v>
      </c>
      <c r="D51" s="53" t="s">
        <v>169</v>
      </c>
      <c r="E51" s="53" t="s">
        <v>189</v>
      </c>
      <c r="F51" s="61" t="s">
        <v>64</v>
      </c>
      <c r="G51" s="61" t="s">
        <v>65</v>
      </c>
      <c r="H51" s="75">
        <v>45757</v>
      </c>
      <c r="I51" s="76"/>
      <c r="J51" s="79">
        <v>2</v>
      </c>
      <c r="K51" s="77">
        <v>2</v>
      </c>
      <c r="L51" s="77">
        <v>1</v>
      </c>
      <c r="M51" s="77">
        <v>2</v>
      </c>
      <c r="N51" s="82">
        <v>7</v>
      </c>
      <c r="O51" s="56">
        <f t="shared" si="0"/>
        <v>0.4375</v>
      </c>
      <c r="P51" s="37" t="str">
        <f>IF(G51="Rendida ",IF('Resultados Individuales'!O51&lt;49.5%,"Por Mejorar",IF('Resultados Individuales'!O51&lt;64.5%,"Base",IF('Resultados Individuales'!O51&lt;84.5%,"Satisfactorio","Óptimo"))),"No rendida o no válida")</f>
        <v>No rendida o no válida</v>
      </c>
    </row>
    <row r="52" spans="1:16" ht="29.25">
      <c r="A52" s="29">
        <v>21623148</v>
      </c>
      <c r="B52" s="54">
        <v>1</v>
      </c>
      <c r="C52" s="53" t="s">
        <v>74</v>
      </c>
      <c r="D52" s="53" t="s">
        <v>190</v>
      </c>
      <c r="E52" s="53" t="s">
        <v>191</v>
      </c>
      <c r="F52" s="61" t="s">
        <v>64</v>
      </c>
      <c r="G52" s="61" t="s">
        <v>65</v>
      </c>
      <c r="H52" s="75">
        <v>45757</v>
      </c>
      <c r="I52" s="76"/>
      <c r="J52" s="79">
        <v>2</v>
      </c>
      <c r="K52" s="77">
        <v>3</v>
      </c>
      <c r="L52" s="77">
        <v>4</v>
      </c>
      <c r="M52" s="77">
        <v>3</v>
      </c>
      <c r="N52" s="82">
        <v>12</v>
      </c>
      <c r="O52" s="56">
        <f t="shared" si="0"/>
        <v>0.75</v>
      </c>
      <c r="P52" s="37" t="str">
        <f>IF(G52="Rendida ",IF('Resultados Individuales'!O52&lt;49.5%,"Por Mejorar",IF('Resultados Individuales'!O52&lt;64.5%,"Base",IF('Resultados Individuales'!O52&lt;84.5%,"Satisfactorio","Óptimo"))),"No rendida o no válida")</f>
        <v>No rendida o no válida</v>
      </c>
    </row>
    <row r="53" spans="1:16" ht="29.25">
      <c r="A53" s="29">
        <v>21631223</v>
      </c>
      <c r="B53" s="54">
        <v>6</v>
      </c>
      <c r="C53" s="53" t="s">
        <v>192</v>
      </c>
      <c r="D53" s="53" t="s">
        <v>193</v>
      </c>
      <c r="E53" s="53" t="s">
        <v>194</v>
      </c>
      <c r="F53" s="61" t="s">
        <v>64</v>
      </c>
      <c r="G53" s="61" t="s">
        <v>65</v>
      </c>
      <c r="H53" s="75">
        <v>45757</v>
      </c>
      <c r="I53" s="76"/>
      <c r="J53" s="79">
        <v>1</v>
      </c>
      <c r="K53" s="77">
        <v>1</v>
      </c>
      <c r="L53" s="77">
        <v>1</v>
      </c>
      <c r="M53" s="77">
        <v>2</v>
      </c>
      <c r="N53" s="82">
        <v>5</v>
      </c>
      <c r="O53" s="56">
        <f t="shared" si="0"/>
        <v>0.3125</v>
      </c>
      <c r="P53" s="37" t="str">
        <f>IF(G53="Rendida ",IF('Resultados Individuales'!O53&lt;49.5%,"Por Mejorar",IF('Resultados Individuales'!O53&lt;64.5%,"Base",IF('Resultados Individuales'!O53&lt;84.5%,"Satisfactorio","Óptimo"))),"No rendida o no válida")</f>
        <v>No rendida o no válida</v>
      </c>
    </row>
    <row r="54" spans="1:16" ht="29.25">
      <c r="A54" s="29">
        <v>21642446</v>
      </c>
      <c r="B54" s="54">
        <v>8</v>
      </c>
      <c r="C54" s="53" t="s">
        <v>195</v>
      </c>
      <c r="D54" s="53" t="s">
        <v>196</v>
      </c>
      <c r="E54" s="53" t="s">
        <v>197</v>
      </c>
      <c r="F54" s="61" t="s">
        <v>64</v>
      </c>
      <c r="G54" s="61" t="s">
        <v>65</v>
      </c>
      <c r="H54" s="75">
        <v>45757</v>
      </c>
      <c r="I54" s="76"/>
      <c r="J54" s="79">
        <v>3</v>
      </c>
      <c r="K54" s="77">
        <v>2</v>
      </c>
      <c r="L54" s="77">
        <v>2</v>
      </c>
      <c r="M54" s="77">
        <v>4</v>
      </c>
      <c r="N54" s="82">
        <v>11</v>
      </c>
      <c r="O54" s="56">
        <f t="shared" si="0"/>
        <v>0.6875</v>
      </c>
      <c r="P54" s="37" t="str">
        <f>IF(G54="Rendida ",IF('Resultados Individuales'!O54&lt;49.5%,"Por Mejorar",IF('Resultados Individuales'!O54&lt;64.5%,"Base",IF('Resultados Individuales'!O54&lt;84.5%,"Satisfactorio","Óptimo"))),"No rendida o no válida")</f>
        <v>No rendida o no válida</v>
      </c>
    </row>
    <row r="55" spans="1:16">
      <c r="A55" s="29">
        <v>21671768</v>
      </c>
      <c r="B55" s="54">
        <v>6</v>
      </c>
      <c r="C55" s="53" t="s">
        <v>164</v>
      </c>
      <c r="D55" s="53" t="s">
        <v>198</v>
      </c>
      <c r="E55" s="53" t="s">
        <v>199</v>
      </c>
      <c r="F55" s="62" t="s">
        <v>64</v>
      </c>
      <c r="G55" s="62" t="s">
        <v>65</v>
      </c>
      <c r="H55" s="75">
        <v>45757</v>
      </c>
      <c r="I55" s="76"/>
      <c r="J55" s="83">
        <v>1</v>
      </c>
      <c r="K55" s="65">
        <v>2</v>
      </c>
      <c r="L55" s="65">
        <v>3</v>
      </c>
      <c r="M55" s="65">
        <v>3</v>
      </c>
      <c r="N55" s="82">
        <v>9</v>
      </c>
      <c r="O55" s="56">
        <f t="shared" si="0"/>
        <v>0.5625</v>
      </c>
      <c r="P55" s="37" t="str">
        <f>IF(G55="Rendida ",IF('Resultados Individuales'!O55&lt;49.5%,"Por Mejorar",IF('Resultados Individuales'!O55&lt;64.5%,"Base",IF('Resultados Individuales'!O55&lt;84.5%,"Satisfactorio","Óptimo"))),"No rendida o no válida")</f>
        <v>No rendida o no válida</v>
      </c>
    </row>
    <row r="56" spans="1:16">
      <c r="A56" s="29">
        <v>21703990</v>
      </c>
      <c r="B56" s="54">
        <v>8</v>
      </c>
      <c r="C56" s="53" t="s">
        <v>200</v>
      </c>
      <c r="D56" s="53" t="s">
        <v>169</v>
      </c>
      <c r="E56" s="53" t="s">
        <v>201</v>
      </c>
      <c r="F56" s="62" t="s">
        <v>64</v>
      </c>
      <c r="G56" s="62" t="s">
        <v>65</v>
      </c>
      <c r="H56" s="75">
        <v>45757</v>
      </c>
      <c r="I56" s="76"/>
      <c r="J56" s="83">
        <v>2</v>
      </c>
      <c r="K56" s="65">
        <v>3</v>
      </c>
      <c r="L56" s="65">
        <v>2</v>
      </c>
      <c r="M56" s="65">
        <v>2</v>
      </c>
      <c r="N56" s="82">
        <v>9</v>
      </c>
      <c r="O56" s="56">
        <f t="shared" si="0"/>
        <v>0.5625</v>
      </c>
      <c r="P56" s="37" t="str">
        <f>IF(G56="Rendida ",IF('Resultados Individuales'!O56&lt;49.5%,"Por Mejorar",IF('Resultados Individuales'!O56&lt;64.5%,"Base",IF('Resultados Individuales'!O56&lt;84.5%,"Satisfactorio","Óptimo"))),"No rendida o no válida")</f>
        <v>No rendida o no válida</v>
      </c>
    </row>
    <row r="57" spans="1:16" ht="29.25">
      <c r="A57" s="29">
        <v>21716465</v>
      </c>
      <c r="B57" s="54">
        <v>6</v>
      </c>
      <c r="C57" s="53" t="s">
        <v>202</v>
      </c>
      <c r="D57" s="53" t="s">
        <v>203</v>
      </c>
      <c r="E57" s="53" t="s">
        <v>204</v>
      </c>
      <c r="F57" s="61" t="s">
        <v>64</v>
      </c>
      <c r="G57" s="61" t="s">
        <v>65</v>
      </c>
      <c r="H57" s="75">
        <v>45757</v>
      </c>
      <c r="I57" s="76"/>
      <c r="J57" s="79">
        <v>3</v>
      </c>
      <c r="K57" s="77">
        <v>3</v>
      </c>
      <c r="L57" s="77">
        <v>4</v>
      </c>
      <c r="M57" s="77">
        <v>4</v>
      </c>
      <c r="N57" s="82">
        <v>14</v>
      </c>
      <c r="O57" s="56">
        <f t="shared" si="0"/>
        <v>0.875</v>
      </c>
      <c r="P57" s="37" t="str">
        <f>IF(G57="Rendida ",IF('Resultados Individuales'!O57&lt;49.5%,"Por Mejorar",IF('Resultados Individuales'!O57&lt;64.5%,"Base",IF('Resultados Individuales'!O57&lt;84.5%,"Satisfactorio","Óptimo"))),"No rendida o no válida")</f>
        <v>No rendida o no válida</v>
      </c>
    </row>
    <row r="58" spans="1:16" ht="29.25">
      <c r="A58" s="29">
        <v>21732542</v>
      </c>
      <c r="B58" s="54">
        <v>0</v>
      </c>
      <c r="C58" s="53" t="s">
        <v>205</v>
      </c>
      <c r="D58" s="53" t="s">
        <v>206</v>
      </c>
      <c r="E58" s="53" t="s">
        <v>207</v>
      </c>
      <c r="F58" s="61" t="s">
        <v>64</v>
      </c>
      <c r="G58" s="61" t="s">
        <v>65</v>
      </c>
      <c r="H58" s="75">
        <v>45757</v>
      </c>
      <c r="I58" s="76"/>
      <c r="J58" s="79">
        <v>3</v>
      </c>
      <c r="K58" s="77">
        <v>2</v>
      </c>
      <c r="L58" s="77">
        <v>2</v>
      </c>
      <c r="M58" s="77">
        <v>2</v>
      </c>
      <c r="N58" s="82">
        <v>9</v>
      </c>
      <c r="O58" s="56">
        <f t="shared" si="0"/>
        <v>0.5625</v>
      </c>
      <c r="P58" s="37" t="str">
        <f>IF(G58="Rendida ",IF('Resultados Individuales'!O58&lt;49.5%,"Por Mejorar",IF('Resultados Individuales'!O58&lt;64.5%,"Base",IF('Resultados Individuales'!O58&lt;84.5%,"Satisfactorio","Óptimo"))),"No rendida o no válida")</f>
        <v>No rendida o no válida</v>
      </c>
    </row>
    <row r="59" spans="1:16" ht="29.25">
      <c r="A59" s="29">
        <v>21736411</v>
      </c>
      <c r="B59" s="54">
        <v>6</v>
      </c>
      <c r="C59" s="53" t="s">
        <v>208</v>
      </c>
      <c r="D59" s="53" t="s">
        <v>209</v>
      </c>
      <c r="E59" s="53" t="s">
        <v>210</v>
      </c>
      <c r="F59" s="61" t="s">
        <v>64</v>
      </c>
      <c r="G59" s="61" t="s">
        <v>65</v>
      </c>
      <c r="H59" s="75">
        <v>45757</v>
      </c>
      <c r="I59" s="76"/>
      <c r="J59" s="79">
        <v>1</v>
      </c>
      <c r="K59" s="77">
        <v>2</v>
      </c>
      <c r="L59" s="77">
        <v>1</v>
      </c>
      <c r="M59" s="77">
        <v>2</v>
      </c>
      <c r="N59" s="82">
        <v>6</v>
      </c>
      <c r="O59" s="56">
        <f t="shared" si="0"/>
        <v>0.375</v>
      </c>
      <c r="P59" s="37" t="str">
        <f>IF(G59="Rendida ",IF('Resultados Individuales'!O59&lt;49.5%,"Por Mejorar",IF('Resultados Individuales'!O59&lt;64.5%,"Base",IF('Resultados Individuales'!O59&lt;84.5%,"Satisfactorio","Óptimo"))),"No rendida o no válida")</f>
        <v>No rendida o no válida</v>
      </c>
    </row>
    <row r="60" spans="1:16" ht="29.25">
      <c r="A60" s="29">
        <v>21746729</v>
      </c>
      <c r="B60" s="54">
        <v>2</v>
      </c>
      <c r="C60" s="53" t="s">
        <v>211</v>
      </c>
      <c r="D60" s="53" t="s">
        <v>212</v>
      </c>
      <c r="E60" s="53" t="s">
        <v>213</v>
      </c>
      <c r="F60" s="61" t="s">
        <v>64</v>
      </c>
      <c r="G60" s="62" t="s">
        <v>65</v>
      </c>
      <c r="H60" s="75">
        <v>45757</v>
      </c>
      <c r="I60" s="76"/>
      <c r="J60" s="79">
        <v>1</v>
      </c>
      <c r="K60" s="77">
        <v>0</v>
      </c>
      <c r="L60" s="77">
        <v>0</v>
      </c>
      <c r="M60" s="77">
        <v>1</v>
      </c>
      <c r="N60" s="82">
        <v>2</v>
      </c>
      <c r="O60" s="56">
        <f t="shared" si="0"/>
        <v>0.125</v>
      </c>
      <c r="P60" s="37" t="str">
        <f>IF(G60="Rendida ",IF('Resultados Individuales'!O60&lt;49.5%,"Por Mejorar",IF('Resultados Individuales'!O60&lt;64.5%,"Base",IF('Resultados Individuales'!O60&lt;84.5%,"Satisfactorio","Óptimo"))),"No rendida o no válida")</f>
        <v>No rendida o no válida</v>
      </c>
    </row>
    <row r="61" spans="1:16" ht="29.25">
      <c r="A61" s="29">
        <v>21754848</v>
      </c>
      <c r="B61" s="54">
        <v>9</v>
      </c>
      <c r="C61" s="53" t="s">
        <v>110</v>
      </c>
      <c r="D61" s="53" t="s">
        <v>150</v>
      </c>
      <c r="E61" s="53" t="s">
        <v>214</v>
      </c>
      <c r="F61" s="61" t="s">
        <v>64</v>
      </c>
      <c r="G61" s="61" t="s">
        <v>65</v>
      </c>
      <c r="H61" s="75">
        <v>45757</v>
      </c>
      <c r="I61" s="76"/>
      <c r="J61" s="79">
        <v>1</v>
      </c>
      <c r="K61" s="77">
        <v>1</v>
      </c>
      <c r="L61" s="77">
        <v>1</v>
      </c>
      <c r="M61" s="77">
        <v>3</v>
      </c>
      <c r="N61" s="82">
        <v>6</v>
      </c>
      <c r="O61" s="56">
        <f t="shared" si="0"/>
        <v>0.375</v>
      </c>
      <c r="P61" s="37" t="str">
        <f>IF(G61="Rendida ",IF('Resultados Individuales'!O61&lt;49.5%,"Por Mejorar",IF('Resultados Individuales'!O61&lt;64.5%,"Base",IF('Resultados Individuales'!O61&lt;84.5%,"Satisfactorio","Óptimo"))),"No rendida o no válida")</f>
        <v>No rendida o no válida</v>
      </c>
    </row>
    <row r="62" spans="1:16" ht="29.25">
      <c r="A62" s="29">
        <v>21765513</v>
      </c>
      <c r="B62" s="54">
        <v>7</v>
      </c>
      <c r="C62" s="53" t="s">
        <v>215</v>
      </c>
      <c r="D62" s="53" t="s">
        <v>216</v>
      </c>
      <c r="E62" s="53" t="s">
        <v>134</v>
      </c>
      <c r="F62" s="61" t="s">
        <v>64</v>
      </c>
      <c r="G62" s="61" t="s">
        <v>65</v>
      </c>
      <c r="H62" s="75">
        <v>45757</v>
      </c>
      <c r="I62" s="76"/>
      <c r="J62" s="79">
        <v>2</v>
      </c>
      <c r="K62" s="77">
        <v>2</v>
      </c>
      <c r="L62" s="77">
        <v>2</v>
      </c>
      <c r="M62" s="77">
        <v>2</v>
      </c>
      <c r="N62" s="82">
        <v>8</v>
      </c>
      <c r="O62" s="56">
        <f t="shared" si="0"/>
        <v>0.5</v>
      </c>
      <c r="P62" s="37" t="str">
        <f>IF(G62="Rendida ",IF('Resultados Individuales'!O62&lt;49.5%,"Por Mejorar",IF('Resultados Individuales'!O62&lt;64.5%,"Base",IF('Resultados Individuales'!O62&lt;84.5%,"Satisfactorio","Óptimo"))),"No rendida o no válida")</f>
        <v>No rendida o no válida</v>
      </c>
    </row>
    <row r="63" spans="1:16" ht="29.25">
      <c r="A63" s="29">
        <v>21766759</v>
      </c>
      <c r="B63" s="54">
        <v>3</v>
      </c>
      <c r="C63" s="53" t="s">
        <v>217</v>
      </c>
      <c r="D63" s="53" t="s">
        <v>110</v>
      </c>
      <c r="E63" s="53" t="s">
        <v>218</v>
      </c>
      <c r="F63" s="61" t="s">
        <v>64</v>
      </c>
      <c r="G63" s="61" t="s">
        <v>65</v>
      </c>
      <c r="H63" s="75">
        <v>45757</v>
      </c>
      <c r="I63" s="76"/>
      <c r="J63" s="79">
        <v>3</v>
      </c>
      <c r="K63" s="77">
        <v>2</v>
      </c>
      <c r="L63" s="77">
        <v>0</v>
      </c>
      <c r="M63" s="77">
        <v>3</v>
      </c>
      <c r="N63" s="82">
        <v>8</v>
      </c>
      <c r="O63" s="56">
        <f t="shared" si="0"/>
        <v>0.5</v>
      </c>
      <c r="P63" s="37" t="str">
        <f>IF(G63="Rendida ",IF('Resultados Individuales'!O63&lt;49.5%,"Por Mejorar",IF('Resultados Individuales'!O63&lt;64.5%,"Base",IF('Resultados Individuales'!O63&lt;84.5%,"Satisfactorio","Óptimo"))),"No rendida o no válida")</f>
        <v>No rendida o no válida</v>
      </c>
    </row>
    <row r="64" spans="1:16" ht="29.25">
      <c r="A64" s="29">
        <v>21779340</v>
      </c>
      <c r="B64" s="54">
        <v>8</v>
      </c>
      <c r="C64" s="53" t="s">
        <v>219</v>
      </c>
      <c r="D64" s="53" t="s">
        <v>220</v>
      </c>
      <c r="E64" s="53" t="s">
        <v>221</v>
      </c>
      <c r="F64" s="61" t="s">
        <v>64</v>
      </c>
      <c r="G64" s="61" t="s">
        <v>65</v>
      </c>
      <c r="H64" s="75">
        <v>45757</v>
      </c>
      <c r="I64" s="76"/>
      <c r="J64" s="79">
        <v>2</v>
      </c>
      <c r="K64" s="77">
        <v>1</v>
      </c>
      <c r="L64" s="77">
        <v>0</v>
      </c>
      <c r="M64" s="77">
        <v>2</v>
      </c>
      <c r="N64" s="82">
        <v>5</v>
      </c>
      <c r="O64" s="56">
        <f t="shared" si="0"/>
        <v>0.3125</v>
      </c>
      <c r="P64" s="37" t="str">
        <f>IF(G64="Rendida ",IF('Resultados Individuales'!O64&lt;49.5%,"Por Mejorar",IF('Resultados Individuales'!O64&lt;64.5%,"Base",IF('Resultados Individuales'!O64&lt;84.5%,"Satisfactorio","Óptimo"))),"No rendida o no válida")</f>
        <v>No rendida o no válida</v>
      </c>
    </row>
    <row r="65" spans="1:16" ht="29.25">
      <c r="A65" s="29">
        <v>23985054</v>
      </c>
      <c r="B65" s="54">
        <v>5</v>
      </c>
      <c r="C65" s="53" t="s">
        <v>222</v>
      </c>
      <c r="D65" s="53" t="s">
        <v>223</v>
      </c>
      <c r="E65" s="53" t="s">
        <v>224</v>
      </c>
      <c r="F65" s="66" t="s">
        <v>64</v>
      </c>
      <c r="G65" s="61" t="s">
        <v>65</v>
      </c>
      <c r="H65" s="75">
        <v>45757</v>
      </c>
      <c r="I65" s="76"/>
      <c r="J65" s="79">
        <v>1</v>
      </c>
      <c r="K65" s="77">
        <v>3</v>
      </c>
      <c r="L65" s="77">
        <v>2</v>
      </c>
      <c r="M65" s="77">
        <v>2</v>
      </c>
      <c r="N65" s="82">
        <v>8</v>
      </c>
      <c r="O65" s="56">
        <f t="shared" si="0"/>
        <v>0.5</v>
      </c>
      <c r="P65" s="37" t="str">
        <f>IF(G65="Rendida ",IF('Resultados Individuales'!O65&lt;49.5%,"Por Mejorar",IF('Resultados Individuales'!O65&lt;64.5%,"Base",IF('Resultados Individuales'!O65&lt;84.5%,"Satisfactorio","Óptimo"))),"No rendida o no válida")</f>
        <v>No rendida o no válida</v>
      </c>
    </row>
    <row r="66" spans="1:16">
      <c r="A66" s="29">
        <v>24253040</v>
      </c>
      <c r="B66" s="54">
        <v>3</v>
      </c>
      <c r="C66" s="53" t="s">
        <v>225</v>
      </c>
      <c r="D66" s="53" t="s">
        <v>226</v>
      </c>
      <c r="E66" s="53" t="s">
        <v>227</v>
      </c>
      <c r="F66" s="66" t="s">
        <v>228</v>
      </c>
      <c r="G66" s="79" t="s">
        <v>94</v>
      </c>
      <c r="H66" s="77" t="s">
        <v>94</v>
      </c>
      <c r="I66" s="77" t="s">
        <v>94</v>
      </c>
      <c r="J66" s="62"/>
      <c r="K66" s="76"/>
      <c r="L66" s="76"/>
      <c r="M66" s="76"/>
      <c r="N66" s="82">
        <v>0</v>
      </c>
      <c r="O66" s="56">
        <f t="shared" si="0"/>
        <v>0</v>
      </c>
      <c r="P66" s="37" t="str">
        <f>IF(G66="Rendida ",IF('Resultados Individuales'!O66&lt;49.5%,"Por Mejorar",IF('Resultados Individuales'!O66&lt;64.5%,"Base",IF('Resultados Individuales'!O66&lt;84.5%,"Satisfactorio","Óptimo"))),"No rendida o no válida")</f>
        <v>No rendida o no válida</v>
      </c>
    </row>
    <row r="67" spans="1:16" ht="29.25">
      <c r="A67" s="60">
        <v>20207888</v>
      </c>
      <c r="B67" s="67">
        <v>5</v>
      </c>
      <c r="C67" s="68" t="s">
        <v>229</v>
      </c>
      <c r="D67" s="68" t="s">
        <v>216</v>
      </c>
      <c r="E67" s="68" t="s">
        <v>230</v>
      </c>
      <c r="F67" s="66" t="s">
        <v>64</v>
      </c>
      <c r="G67" s="79" t="s">
        <v>65</v>
      </c>
      <c r="H67" s="75">
        <v>45757</v>
      </c>
      <c r="I67" s="76"/>
      <c r="J67" s="79">
        <v>4</v>
      </c>
      <c r="K67" s="77">
        <v>4</v>
      </c>
      <c r="L67" s="77">
        <v>3</v>
      </c>
      <c r="M67" s="77">
        <v>3</v>
      </c>
      <c r="N67" s="82">
        <v>14</v>
      </c>
      <c r="O67" s="56">
        <f t="shared" si="0"/>
        <v>0.875</v>
      </c>
      <c r="P67" s="37" t="str">
        <f>IF(G67="Rendida ",IF('Resultados Individuales'!O67&lt;49.5%,"Por Mejorar",IF('Resultados Individuales'!O67&lt;64.5%,"Base",IF('Resultados Individuales'!O67&lt;84.5%,"Satisfactorio","Óptimo"))),"No rendida o no válida")</f>
        <v>No rendida o no válida</v>
      </c>
    </row>
    <row r="68" spans="1:16" ht="29.25">
      <c r="A68" s="64">
        <v>21513368</v>
      </c>
      <c r="B68" s="69">
        <v>0</v>
      </c>
      <c r="C68" s="70" t="s">
        <v>231</v>
      </c>
      <c r="D68" s="70" t="s">
        <v>232</v>
      </c>
      <c r="E68" s="70" t="s">
        <v>233</v>
      </c>
      <c r="F68" s="66" t="s">
        <v>64</v>
      </c>
      <c r="G68" s="61" t="s">
        <v>65</v>
      </c>
      <c r="H68" s="75">
        <v>45757</v>
      </c>
      <c r="I68" s="76"/>
      <c r="J68" s="79">
        <v>2</v>
      </c>
      <c r="K68" s="77">
        <v>2</v>
      </c>
      <c r="L68" s="77">
        <v>1</v>
      </c>
      <c r="M68" s="77">
        <v>1</v>
      </c>
      <c r="N68" s="82">
        <v>6</v>
      </c>
      <c r="O68" s="56">
        <f t="shared" si="0"/>
        <v>0.375</v>
      </c>
      <c r="P68" s="37" t="str">
        <f>IF(G68="Rendida ",IF('Resultados Individuales'!O68&lt;49.5%,"Por Mejorar",IF('Resultados Individuales'!O68&lt;64.5%,"Base",IF('Resultados Individuales'!O68&lt;84.5%,"Satisfactorio","Óptimo"))),"No rendida o no válida")</f>
        <v>No rendida o no válida</v>
      </c>
    </row>
    <row r="69" spans="1:16">
      <c r="A69" s="62">
        <v>21480778</v>
      </c>
      <c r="B69" s="69">
        <v>5</v>
      </c>
      <c r="C69" s="70" t="s">
        <v>234</v>
      </c>
      <c r="D69" s="70" t="s">
        <v>235</v>
      </c>
      <c r="E69" s="70" t="s">
        <v>236</v>
      </c>
      <c r="F69" s="71" t="s">
        <v>64</v>
      </c>
      <c r="G69" s="62" t="s">
        <v>65</v>
      </c>
      <c r="H69" s="75">
        <v>45757</v>
      </c>
      <c r="I69" s="76"/>
      <c r="J69" s="83">
        <v>2</v>
      </c>
      <c r="K69" s="65">
        <v>3</v>
      </c>
      <c r="L69" s="65">
        <v>3</v>
      </c>
      <c r="M69" s="65">
        <v>2</v>
      </c>
      <c r="N69" s="82">
        <v>10</v>
      </c>
      <c r="O69" s="56">
        <f t="shared" ref="O69:O132" si="1">N69/16</f>
        <v>0.625</v>
      </c>
      <c r="P69" s="37" t="str">
        <f>IF(G69="Rendida ",IF('Resultados Individuales'!O69&lt;49.5%,"Por Mejorar",IF('Resultados Individuales'!O69&lt;64.5%,"Base",IF('Resultados Individuales'!O69&lt;84.5%,"Satisfactorio","Óptimo"))),"No rendida o no válida")</f>
        <v>No rendida o no válida</v>
      </c>
    </row>
    <row r="70" spans="1:16" ht="29.25">
      <c r="A70" s="64">
        <v>20960116</v>
      </c>
      <c r="B70" s="69">
        <v>8</v>
      </c>
      <c r="C70" s="70" t="s">
        <v>172</v>
      </c>
      <c r="D70" s="70" t="s">
        <v>237</v>
      </c>
      <c r="E70" s="70" t="s">
        <v>238</v>
      </c>
      <c r="F70" s="66" t="s">
        <v>64</v>
      </c>
      <c r="G70" s="61" t="s">
        <v>65</v>
      </c>
      <c r="H70" s="75">
        <v>45757</v>
      </c>
      <c r="I70" s="76"/>
      <c r="J70" s="79">
        <v>2</v>
      </c>
      <c r="K70" s="77">
        <v>3</v>
      </c>
      <c r="L70" s="77">
        <v>2</v>
      </c>
      <c r="M70" s="77">
        <v>3</v>
      </c>
      <c r="N70" s="82">
        <v>10</v>
      </c>
      <c r="O70" s="56">
        <f t="shared" si="1"/>
        <v>0.625</v>
      </c>
      <c r="P70" s="37" t="str">
        <f>IF(G70="Rendida ",IF('Resultados Individuales'!O70&lt;49.5%,"Por Mejorar",IF('Resultados Individuales'!O70&lt;64.5%,"Base",IF('Resultados Individuales'!O70&lt;84.5%,"Satisfactorio","Óptimo"))),"No rendida o no válida")</f>
        <v>No rendida o no válida</v>
      </c>
    </row>
    <row r="71" spans="1:16" ht="29.25">
      <c r="A71" s="62">
        <v>20073659</v>
      </c>
      <c r="B71" s="69">
        <v>1</v>
      </c>
      <c r="C71" s="70" t="s">
        <v>239</v>
      </c>
      <c r="D71" s="70" t="s">
        <v>240</v>
      </c>
      <c r="E71" s="70" t="s">
        <v>241</v>
      </c>
      <c r="F71" s="66" t="s">
        <v>64</v>
      </c>
      <c r="G71" s="61" t="s">
        <v>65</v>
      </c>
      <c r="H71" s="75">
        <v>45757</v>
      </c>
      <c r="I71" s="76"/>
      <c r="J71" s="79">
        <v>2</v>
      </c>
      <c r="K71" s="77">
        <v>2</v>
      </c>
      <c r="L71" s="77">
        <v>1</v>
      </c>
      <c r="M71" s="77">
        <v>2</v>
      </c>
      <c r="N71" s="82">
        <v>7</v>
      </c>
      <c r="O71" s="56">
        <f t="shared" si="1"/>
        <v>0.4375</v>
      </c>
      <c r="P71" s="37" t="str">
        <f>IF(G71="Rendida ",IF('Resultados Individuales'!O71&lt;49.5%,"Por Mejorar",IF('Resultados Individuales'!O71&lt;64.5%,"Base",IF('Resultados Individuales'!O71&lt;84.5%,"Satisfactorio","Óptimo"))),"No rendida o no válida")</f>
        <v>No rendida o no válida</v>
      </c>
    </row>
    <row r="72" spans="1:16" ht="29.25">
      <c r="A72" s="62">
        <v>21133542</v>
      </c>
      <c r="B72" s="69">
        <v>4</v>
      </c>
      <c r="C72" s="70" t="s">
        <v>242</v>
      </c>
      <c r="D72" s="70" t="s">
        <v>243</v>
      </c>
      <c r="E72" s="70" t="s">
        <v>244</v>
      </c>
      <c r="F72" s="66" t="s">
        <v>64</v>
      </c>
      <c r="G72" s="61" t="s">
        <v>65</v>
      </c>
      <c r="H72" s="75">
        <v>45757</v>
      </c>
      <c r="I72" s="76"/>
      <c r="J72" s="79">
        <v>2</v>
      </c>
      <c r="K72" s="77">
        <v>3</v>
      </c>
      <c r="L72" s="77">
        <v>0</v>
      </c>
      <c r="M72" s="77">
        <v>2</v>
      </c>
      <c r="N72" s="82">
        <v>7</v>
      </c>
      <c r="O72" s="56">
        <f t="shared" si="1"/>
        <v>0.4375</v>
      </c>
      <c r="P72" s="37" t="str">
        <f>IF(G72="Rendida ",IF('Resultados Individuales'!O72&lt;49.5%,"Por Mejorar",IF('Resultados Individuales'!O72&lt;64.5%,"Base",IF('Resultados Individuales'!O72&lt;84.5%,"Satisfactorio","Óptimo"))),"No rendida o no válida")</f>
        <v>No rendida o no válida</v>
      </c>
    </row>
    <row r="73" spans="1:16" ht="29.25">
      <c r="A73" s="62">
        <v>21097731</v>
      </c>
      <c r="B73" s="69">
        <v>7</v>
      </c>
      <c r="C73" s="70" t="s">
        <v>245</v>
      </c>
      <c r="D73" s="70" t="s">
        <v>246</v>
      </c>
      <c r="E73" s="70" t="s">
        <v>247</v>
      </c>
      <c r="F73" s="66" t="s">
        <v>64</v>
      </c>
      <c r="G73" s="61" t="s">
        <v>65</v>
      </c>
      <c r="H73" s="75">
        <v>45757</v>
      </c>
      <c r="I73" s="76"/>
      <c r="J73" s="79">
        <v>2</v>
      </c>
      <c r="K73" s="77">
        <v>1</v>
      </c>
      <c r="L73" s="77">
        <v>0</v>
      </c>
      <c r="M73" s="77">
        <v>2</v>
      </c>
      <c r="N73" s="82">
        <v>5</v>
      </c>
      <c r="O73" s="56">
        <f t="shared" si="1"/>
        <v>0.3125</v>
      </c>
      <c r="P73" s="37" t="str">
        <f>IF(G73="Rendida ",IF('Resultados Individuales'!O73&lt;49.5%,"Por Mejorar",IF('Resultados Individuales'!O73&lt;64.5%,"Base",IF('Resultados Individuales'!O73&lt;84.5%,"Satisfactorio","Óptimo"))),"No rendida o no válida")</f>
        <v>No rendida o no válida</v>
      </c>
    </row>
    <row r="74" spans="1:16" ht="29.25">
      <c r="A74" s="62">
        <v>20986712</v>
      </c>
      <c r="B74" s="69">
        <v>5</v>
      </c>
      <c r="C74" s="70" t="s">
        <v>180</v>
      </c>
      <c r="D74" s="70" t="s">
        <v>248</v>
      </c>
      <c r="E74" s="70" t="s">
        <v>249</v>
      </c>
      <c r="F74" s="66" t="s">
        <v>64</v>
      </c>
      <c r="G74" s="61" t="s">
        <v>65</v>
      </c>
      <c r="H74" s="75">
        <v>45757</v>
      </c>
      <c r="I74" s="76"/>
      <c r="J74" s="79">
        <v>1</v>
      </c>
      <c r="K74" s="77">
        <v>1</v>
      </c>
      <c r="L74" s="77">
        <v>0</v>
      </c>
      <c r="M74" s="77">
        <v>2</v>
      </c>
      <c r="N74" s="82">
        <v>4</v>
      </c>
      <c r="O74" s="56">
        <f t="shared" si="1"/>
        <v>0.25</v>
      </c>
      <c r="P74" s="37" t="str">
        <f>IF(G74="Rendida ",IF('Resultados Individuales'!O74&lt;49.5%,"Por Mejorar",IF('Resultados Individuales'!O74&lt;64.5%,"Base",IF('Resultados Individuales'!O74&lt;84.5%,"Satisfactorio","Óptimo"))),"No rendida o no válida")</f>
        <v>No rendida o no válida</v>
      </c>
    </row>
    <row r="75" spans="1:16" ht="29.25">
      <c r="A75" s="62">
        <v>21350565</v>
      </c>
      <c r="B75" s="69">
        <v>3</v>
      </c>
      <c r="C75" s="70" t="s">
        <v>211</v>
      </c>
      <c r="D75" s="70" t="s">
        <v>250</v>
      </c>
      <c r="E75" s="70" t="s">
        <v>251</v>
      </c>
      <c r="F75" s="66" t="s">
        <v>64</v>
      </c>
      <c r="G75" s="61" t="s">
        <v>65</v>
      </c>
      <c r="H75" s="75">
        <v>45757</v>
      </c>
      <c r="I75" s="76"/>
      <c r="J75" s="79">
        <v>2</v>
      </c>
      <c r="K75" s="77">
        <v>1</v>
      </c>
      <c r="L75" s="77">
        <v>3</v>
      </c>
      <c r="M75" s="77">
        <v>2</v>
      </c>
      <c r="N75" s="82">
        <v>8</v>
      </c>
      <c r="O75" s="56">
        <f t="shared" si="1"/>
        <v>0.5</v>
      </c>
      <c r="P75" s="37" t="str">
        <f>IF(G75="Rendida ",IF('Resultados Individuales'!O75&lt;49.5%,"Por Mejorar",IF('Resultados Individuales'!O75&lt;64.5%,"Base",IF('Resultados Individuales'!O75&lt;84.5%,"Satisfactorio","Óptimo"))),"No rendida o no válida")</f>
        <v>No rendida o no válida</v>
      </c>
    </row>
    <row r="76" spans="1:16">
      <c r="A76" s="62">
        <v>21469046</v>
      </c>
      <c r="B76" s="69">
        <v>2</v>
      </c>
      <c r="C76" s="70" t="s">
        <v>211</v>
      </c>
      <c r="D76" s="70" t="s">
        <v>252</v>
      </c>
      <c r="E76" s="70" t="s">
        <v>253</v>
      </c>
      <c r="F76" s="71" t="s">
        <v>64</v>
      </c>
      <c r="G76" s="62" t="s">
        <v>65</v>
      </c>
      <c r="H76" s="75">
        <v>45757</v>
      </c>
      <c r="I76" s="76"/>
      <c r="J76" s="83">
        <v>1</v>
      </c>
      <c r="K76" s="65">
        <v>1</v>
      </c>
      <c r="L76" s="65">
        <v>1</v>
      </c>
      <c r="M76" s="65">
        <v>3</v>
      </c>
      <c r="N76" s="82">
        <v>6</v>
      </c>
      <c r="O76" s="56">
        <f t="shared" si="1"/>
        <v>0.375</v>
      </c>
      <c r="P76" s="37" t="str">
        <f>IF(G76="Rendida ",IF('Resultados Individuales'!O76&lt;49.5%,"Por Mejorar",IF('Resultados Individuales'!O76&lt;64.5%,"Base",IF('Resultados Individuales'!O76&lt;84.5%,"Satisfactorio","Óptimo"))),"No rendida o no válida")</f>
        <v>No rendida o no válida</v>
      </c>
    </row>
    <row r="77" spans="1:16">
      <c r="A77" s="64">
        <v>20371012</v>
      </c>
      <c r="B77" s="69">
        <v>7</v>
      </c>
      <c r="C77" s="70" t="s">
        <v>254</v>
      </c>
      <c r="D77" s="70" t="s">
        <v>255</v>
      </c>
      <c r="E77" s="70" t="s">
        <v>256</v>
      </c>
      <c r="F77" s="71" t="s">
        <v>64</v>
      </c>
      <c r="G77" s="62" t="s">
        <v>65</v>
      </c>
      <c r="H77" s="75">
        <v>45757</v>
      </c>
      <c r="I77" s="76"/>
      <c r="J77" s="83">
        <v>1</v>
      </c>
      <c r="K77" s="65">
        <v>1</v>
      </c>
      <c r="L77" s="65">
        <v>1</v>
      </c>
      <c r="M77" s="65">
        <v>2</v>
      </c>
      <c r="N77" s="82">
        <v>5</v>
      </c>
      <c r="O77" s="56">
        <f t="shared" si="1"/>
        <v>0.3125</v>
      </c>
      <c r="P77" s="37" t="str">
        <f>IF(G77="Rendida ",IF('Resultados Individuales'!O77&lt;49.5%,"Por Mejorar",IF('Resultados Individuales'!O77&lt;64.5%,"Base",IF('Resultados Individuales'!O77&lt;84.5%,"Satisfactorio","Óptimo"))),"No rendida o no válida")</f>
        <v>No rendida o no válida</v>
      </c>
    </row>
    <row r="78" spans="1:16">
      <c r="A78" s="29"/>
      <c r="B78" s="54"/>
      <c r="C78" s="53"/>
      <c r="D78" s="53"/>
      <c r="E78" s="53"/>
      <c r="F78" s="72"/>
      <c r="G78" s="38"/>
      <c r="H78" s="39"/>
      <c r="I78" s="38"/>
      <c r="J78" s="34"/>
      <c r="K78" s="2"/>
      <c r="L78" s="2"/>
      <c r="M78" s="2"/>
      <c r="N78" s="37">
        <f t="shared" ref="N68:N131" si="2">SUM(J78:M78)</f>
        <v>0</v>
      </c>
      <c r="O78" s="56">
        <f t="shared" si="1"/>
        <v>0</v>
      </c>
      <c r="P78" s="37" t="str">
        <f>IF(G78="Rendida ",IF('Resultados Individuales'!O78&lt;49.5%,"Por Mejorar",IF('Resultados Individuales'!O78&lt;64.5%,"Base",IF('Resultados Individuales'!O78&lt;84.5%,"Satisfactorio","Óptimo"))),"No rendida o no válida")</f>
        <v>No rendida o no válida</v>
      </c>
    </row>
    <row r="79" spans="1:16">
      <c r="A79" s="29"/>
      <c r="B79" s="54"/>
      <c r="C79" s="53"/>
      <c r="D79" s="53"/>
      <c r="E79" s="53"/>
      <c r="F79" s="33"/>
      <c r="G79" s="38"/>
      <c r="H79" s="39"/>
      <c r="I79" s="38"/>
      <c r="J79" s="34"/>
      <c r="K79" s="2"/>
      <c r="L79" s="2"/>
      <c r="M79" s="2"/>
      <c r="N79" s="37"/>
      <c r="O79" s="56"/>
      <c r="P79" s="37"/>
    </row>
    <row r="80" spans="1:16">
      <c r="A80" s="29"/>
      <c r="B80" s="54"/>
      <c r="C80" s="53"/>
      <c r="D80" s="53"/>
      <c r="E80" s="53"/>
      <c r="F80" s="33"/>
      <c r="G80" s="38"/>
      <c r="H80" s="39"/>
      <c r="I80" s="38"/>
      <c r="J80" s="34"/>
      <c r="K80" s="2"/>
      <c r="L80" s="2"/>
      <c r="M80" s="2"/>
      <c r="N80" s="37"/>
      <c r="O80" s="56"/>
      <c r="P80" s="37"/>
    </row>
    <row r="81" spans="1:16">
      <c r="A81" s="29"/>
      <c r="B81" s="54"/>
      <c r="C81" s="53"/>
      <c r="D81" s="53"/>
      <c r="E81" s="53"/>
      <c r="F81" s="33"/>
      <c r="G81" s="38"/>
      <c r="H81" s="39"/>
      <c r="I81" s="38"/>
      <c r="J81" s="34"/>
      <c r="K81" s="2"/>
      <c r="L81" s="2"/>
      <c r="M81" s="2"/>
      <c r="N81" s="37"/>
      <c r="O81" s="56"/>
      <c r="P81" s="37"/>
    </row>
    <row r="82" spans="1:16">
      <c r="A82" s="29"/>
      <c r="B82" s="54"/>
      <c r="C82" s="53"/>
      <c r="D82" s="53"/>
      <c r="E82" s="53"/>
      <c r="F82" s="33"/>
      <c r="G82" s="38"/>
      <c r="H82" s="39"/>
      <c r="I82" s="38"/>
      <c r="J82" s="34"/>
      <c r="K82" s="2"/>
      <c r="L82" s="2"/>
      <c r="M82" s="2"/>
      <c r="N82" s="37"/>
      <c r="O82" s="56"/>
      <c r="P82" s="37"/>
    </row>
    <row r="83" spans="1:16">
      <c r="A83" s="29"/>
      <c r="B83" s="54"/>
      <c r="C83" s="53"/>
      <c r="D83" s="53"/>
      <c r="E83" s="53"/>
      <c r="F83" s="33"/>
      <c r="G83" s="38"/>
      <c r="H83" s="39"/>
      <c r="I83" s="38"/>
      <c r="J83" s="34"/>
      <c r="K83" s="2"/>
      <c r="L83" s="2"/>
      <c r="M83" s="2"/>
      <c r="N83" s="37"/>
      <c r="O83" s="56"/>
      <c r="P83" s="37"/>
    </row>
    <row r="84" spans="1:16">
      <c r="A84" s="29"/>
      <c r="B84" s="54"/>
      <c r="C84" s="53"/>
      <c r="D84" s="53"/>
      <c r="E84" s="53"/>
      <c r="F84" s="33"/>
      <c r="G84" s="38"/>
      <c r="H84" s="39"/>
      <c r="I84" s="38"/>
      <c r="J84" s="34"/>
      <c r="K84" s="2"/>
      <c r="L84" s="2"/>
      <c r="M84" s="2"/>
      <c r="N84" s="37"/>
      <c r="O84" s="56"/>
      <c r="P84" s="37"/>
    </row>
    <row r="85" spans="1:16">
      <c r="A85" s="29"/>
      <c r="B85" s="54"/>
      <c r="C85" s="53"/>
      <c r="D85" s="53"/>
      <c r="E85" s="53"/>
      <c r="F85" s="33"/>
      <c r="G85" s="38"/>
      <c r="H85" s="39"/>
      <c r="I85" s="38"/>
      <c r="J85" s="34"/>
      <c r="K85" s="2"/>
      <c r="L85" s="2"/>
      <c r="M85" s="2"/>
      <c r="N85" s="37"/>
      <c r="O85" s="56"/>
      <c r="P85" s="37"/>
    </row>
    <row r="86" spans="1:16">
      <c r="A86" s="29"/>
      <c r="B86" s="54"/>
      <c r="C86" s="53"/>
      <c r="D86" s="53"/>
      <c r="E86" s="53"/>
      <c r="F86" s="33"/>
      <c r="G86" s="38"/>
      <c r="H86" s="39"/>
      <c r="I86" s="38"/>
      <c r="J86" s="34"/>
      <c r="K86" s="2"/>
      <c r="L86" s="2"/>
      <c r="M86" s="2"/>
      <c r="N86" s="37"/>
      <c r="O86" s="56"/>
      <c r="P86" s="37"/>
    </row>
    <row r="87" spans="1:16">
      <c r="A87" s="29"/>
      <c r="B87" s="54"/>
      <c r="C87" s="53"/>
      <c r="D87" s="53"/>
      <c r="E87" s="53"/>
      <c r="F87" s="40"/>
      <c r="G87" s="29"/>
      <c r="H87" s="41"/>
      <c r="I87" s="29"/>
      <c r="J87" s="42"/>
      <c r="K87" s="1"/>
      <c r="L87" s="1"/>
      <c r="M87" s="1"/>
      <c r="N87" s="37"/>
      <c r="O87" s="56"/>
      <c r="P87" s="37"/>
    </row>
    <row r="88" spans="1:16">
      <c r="A88" s="29"/>
      <c r="B88" s="54"/>
      <c r="C88" s="53"/>
      <c r="D88" s="53"/>
      <c r="E88" s="53"/>
      <c r="F88" s="33"/>
      <c r="G88" s="29"/>
      <c r="H88" s="41"/>
      <c r="I88" s="38"/>
      <c r="J88" s="34"/>
      <c r="K88" s="2"/>
      <c r="L88" s="2"/>
      <c r="M88" s="2"/>
      <c r="N88" s="37"/>
      <c r="O88" s="56"/>
      <c r="P88" s="37"/>
    </row>
    <row r="89" spans="1:16">
      <c r="A89" s="29"/>
      <c r="B89" s="54"/>
      <c r="C89" s="53"/>
      <c r="D89" s="53"/>
      <c r="E89" s="53"/>
      <c r="F89" s="33"/>
      <c r="G89" s="38"/>
      <c r="H89" s="39"/>
      <c r="I89" s="38"/>
      <c r="J89" s="34"/>
      <c r="K89" s="2"/>
      <c r="L89" s="2"/>
      <c r="M89" s="2"/>
      <c r="N89" s="37"/>
      <c r="O89" s="56"/>
      <c r="P89" s="37"/>
    </row>
    <row r="90" spans="1:16">
      <c r="A90" s="29"/>
      <c r="B90" s="54"/>
      <c r="C90" s="53"/>
      <c r="D90" s="53"/>
      <c r="E90" s="53"/>
      <c r="F90" s="40"/>
      <c r="G90" s="29"/>
      <c r="H90" s="41"/>
      <c r="I90" s="29"/>
      <c r="J90" s="42"/>
      <c r="K90" s="1"/>
      <c r="L90" s="1"/>
      <c r="M90" s="1"/>
      <c r="N90" s="37"/>
      <c r="O90" s="56"/>
      <c r="P90" s="37"/>
    </row>
    <row r="91" spans="1:16">
      <c r="A91" s="29"/>
      <c r="B91" s="54"/>
      <c r="C91" s="53"/>
      <c r="D91" s="53"/>
      <c r="E91" s="53"/>
      <c r="F91" s="33"/>
      <c r="G91" s="38"/>
      <c r="H91" s="39"/>
      <c r="I91" s="38"/>
      <c r="J91" s="34"/>
      <c r="K91" s="2"/>
      <c r="L91" s="2"/>
      <c r="M91" s="2"/>
      <c r="N91" s="37"/>
      <c r="O91" s="56"/>
      <c r="P91" s="37"/>
    </row>
    <row r="92" spans="1:16">
      <c r="A92" s="29"/>
      <c r="B92" s="54"/>
      <c r="C92" s="53"/>
      <c r="D92" s="53"/>
      <c r="E92" s="53"/>
      <c r="F92" s="33"/>
      <c r="G92" s="38"/>
      <c r="H92" s="39"/>
      <c r="I92" s="38"/>
      <c r="J92" s="34"/>
      <c r="K92" s="2"/>
      <c r="L92" s="2"/>
      <c r="M92" s="2"/>
      <c r="N92" s="37"/>
      <c r="O92" s="56"/>
      <c r="P92" s="37"/>
    </row>
    <row r="93" spans="1:16">
      <c r="A93" s="29"/>
      <c r="B93" s="54"/>
      <c r="C93" s="53"/>
      <c r="D93" s="53"/>
      <c r="E93" s="53"/>
      <c r="F93" s="33"/>
      <c r="G93" s="38"/>
      <c r="H93" s="39"/>
      <c r="I93" s="38"/>
      <c r="J93" s="34"/>
      <c r="K93" s="2"/>
      <c r="L93" s="2"/>
      <c r="M93" s="2"/>
      <c r="N93" s="37"/>
      <c r="O93" s="56"/>
      <c r="P93" s="37"/>
    </row>
    <row r="94" spans="1:16">
      <c r="A94" s="29"/>
      <c r="B94" s="54"/>
      <c r="C94" s="53"/>
      <c r="D94" s="53"/>
      <c r="E94" s="53"/>
      <c r="F94" s="33"/>
      <c r="G94" s="38"/>
      <c r="H94" s="39"/>
      <c r="I94" s="38"/>
      <c r="J94" s="34"/>
      <c r="K94" s="2"/>
      <c r="L94" s="2"/>
      <c r="M94" s="2"/>
      <c r="N94" s="37"/>
      <c r="O94" s="56"/>
      <c r="P94" s="37"/>
    </row>
    <row r="95" spans="1:16">
      <c r="A95" s="29"/>
      <c r="B95" s="54"/>
      <c r="C95" s="53"/>
      <c r="D95" s="53"/>
      <c r="E95" s="53"/>
      <c r="F95" s="33"/>
      <c r="G95" s="38"/>
      <c r="H95" s="39"/>
      <c r="I95" s="38"/>
      <c r="J95" s="34"/>
      <c r="K95" s="2"/>
      <c r="L95" s="2"/>
      <c r="M95" s="2"/>
      <c r="N95" s="37"/>
      <c r="O95" s="56"/>
      <c r="P95" s="37"/>
    </row>
    <row r="96" spans="1:16">
      <c r="A96" s="29"/>
      <c r="B96" s="54"/>
      <c r="C96" s="53"/>
      <c r="D96" s="53"/>
      <c r="E96" s="53"/>
      <c r="F96" s="33"/>
      <c r="G96" s="38"/>
      <c r="H96" s="39"/>
      <c r="I96" s="38"/>
      <c r="J96" s="34"/>
      <c r="K96" s="2"/>
      <c r="L96" s="2"/>
      <c r="M96" s="2"/>
      <c r="N96" s="37"/>
      <c r="O96" s="56"/>
      <c r="P96" s="37"/>
    </row>
    <row r="97" spans="1:16">
      <c r="A97" s="29"/>
      <c r="B97" s="54"/>
      <c r="C97" s="53"/>
      <c r="D97" s="53"/>
      <c r="E97" s="53"/>
      <c r="F97" s="33"/>
      <c r="G97" s="38"/>
      <c r="H97" s="39"/>
      <c r="I97" s="38"/>
      <c r="J97" s="34"/>
      <c r="K97" s="2"/>
      <c r="L97" s="2"/>
      <c r="M97" s="2"/>
      <c r="N97" s="37"/>
      <c r="O97" s="56"/>
      <c r="P97" s="37"/>
    </row>
    <row r="98" spans="1:16">
      <c r="A98" s="29"/>
      <c r="B98" s="54"/>
      <c r="C98" s="53"/>
      <c r="D98" s="53"/>
      <c r="E98" s="53"/>
      <c r="F98" s="33"/>
      <c r="G98" s="38"/>
      <c r="H98" s="39"/>
      <c r="I98" s="38"/>
      <c r="J98" s="34"/>
      <c r="K98" s="2"/>
      <c r="L98" s="2"/>
      <c r="M98" s="2"/>
      <c r="N98" s="37"/>
      <c r="O98" s="56"/>
      <c r="P98" s="37"/>
    </row>
    <row r="99" spans="1:16">
      <c r="A99" s="29"/>
      <c r="B99" s="54"/>
      <c r="C99" s="53"/>
      <c r="D99" s="53"/>
      <c r="E99" s="53"/>
      <c r="F99" s="33"/>
      <c r="G99" s="38"/>
      <c r="H99" s="39"/>
      <c r="I99" s="38"/>
      <c r="J99" s="34"/>
      <c r="K99" s="2"/>
      <c r="L99" s="2"/>
      <c r="M99" s="2"/>
      <c r="N99" s="37"/>
      <c r="O99" s="56"/>
      <c r="P99" s="37"/>
    </row>
    <row r="100" spans="1:16">
      <c r="A100" s="29"/>
      <c r="B100" s="54"/>
      <c r="C100" s="53"/>
      <c r="D100" s="53"/>
      <c r="E100" s="53"/>
      <c r="F100" s="33"/>
      <c r="G100" s="38"/>
      <c r="H100" s="39"/>
      <c r="I100" s="38"/>
      <c r="J100" s="34"/>
      <c r="K100" s="2"/>
      <c r="L100" s="2"/>
      <c r="M100" s="2"/>
      <c r="N100" s="37"/>
      <c r="O100" s="56"/>
      <c r="P100" s="37"/>
    </row>
    <row r="101" spans="1:16">
      <c r="A101" s="29"/>
      <c r="B101" s="54"/>
      <c r="C101" s="53"/>
      <c r="D101" s="53"/>
      <c r="E101" s="53"/>
      <c r="F101" s="33"/>
      <c r="G101" s="38"/>
      <c r="H101" s="39"/>
      <c r="I101" s="38"/>
      <c r="J101" s="34"/>
      <c r="K101" s="2"/>
      <c r="L101" s="2"/>
      <c r="M101" s="2"/>
      <c r="N101" s="37"/>
      <c r="O101" s="56"/>
      <c r="P101" s="37"/>
    </row>
    <row r="102" spans="1:16">
      <c r="A102" s="29"/>
      <c r="B102" s="54"/>
      <c r="C102" s="53"/>
      <c r="D102" s="53"/>
      <c r="E102" s="53"/>
      <c r="F102" s="48"/>
      <c r="G102" s="49"/>
      <c r="H102" s="50"/>
      <c r="I102" s="49"/>
      <c r="J102" s="51"/>
      <c r="K102" s="52"/>
      <c r="L102" s="52"/>
      <c r="M102" s="52"/>
      <c r="N102" s="37"/>
      <c r="O102" s="56"/>
      <c r="P102" s="37"/>
    </row>
    <row r="103" spans="1:16">
      <c r="A103" s="29"/>
      <c r="B103" s="54"/>
      <c r="C103" s="53"/>
      <c r="D103" s="53"/>
      <c r="E103" s="53"/>
      <c r="F103" s="38"/>
      <c r="G103" s="38"/>
      <c r="H103" s="38"/>
      <c r="I103" s="38"/>
      <c r="J103" s="38"/>
      <c r="K103" s="38"/>
      <c r="L103" s="38"/>
      <c r="M103" s="38"/>
      <c r="N103" s="37"/>
      <c r="O103" s="56"/>
      <c r="P103" s="37"/>
    </row>
    <row r="104" spans="1:16">
      <c r="A104" s="29"/>
      <c r="B104" s="54"/>
      <c r="C104" s="53"/>
      <c r="D104" s="53"/>
      <c r="E104" s="53"/>
      <c r="F104" s="38"/>
      <c r="G104" s="38"/>
      <c r="H104" s="38"/>
      <c r="I104" s="38"/>
      <c r="J104" s="38"/>
      <c r="K104" s="38"/>
      <c r="L104" s="38"/>
      <c r="M104" s="38"/>
      <c r="N104" s="37"/>
      <c r="O104" s="56"/>
      <c r="P104" s="37"/>
    </row>
    <row r="105" spans="1:16">
      <c r="A105" s="29"/>
      <c r="B105" s="54"/>
      <c r="C105" s="53"/>
      <c r="D105" s="53"/>
      <c r="E105" s="53"/>
      <c r="F105" s="38"/>
      <c r="G105" s="38"/>
      <c r="H105" s="38"/>
      <c r="I105" s="38"/>
      <c r="J105" s="38"/>
      <c r="K105" s="38"/>
      <c r="L105" s="38"/>
      <c r="M105" s="38"/>
      <c r="N105" s="37"/>
      <c r="O105" s="56"/>
      <c r="P105" s="37"/>
    </row>
    <row r="106" spans="1:16">
      <c r="A106" s="29"/>
      <c r="B106" s="54"/>
      <c r="C106" s="53"/>
      <c r="D106" s="53"/>
      <c r="E106" s="53"/>
      <c r="F106" s="38"/>
      <c r="G106" s="38"/>
      <c r="H106" s="38"/>
      <c r="I106" s="38"/>
      <c r="J106" s="38"/>
      <c r="K106" s="38"/>
      <c r="L106" s="38"/>
      <c r="M106" s="38"/>
      <c r="N106" s="37"/>
      <c r="O106" s="56"/>
      <c r="P106" s="37"/>
    </row>
    <row r="107" spans="1:16">
      <c r="A107" s="29"/>
      <c r="B107" s="54"/>
      <c r="C107" s="53"/>
      <c r="D107" s="53"/>
      <c r="E107" s="53"/>
      <c r="F107" s="38"/>
      <c r="G107" s="38"/>
      <c r="H107" s="38"/>
      <c r="I107" s="38"/>
      <c r="J107" s="38"/>
      <c r="K107" s="38"/>
      <c r="L107" s="38"/>
      <c r="M107" s="38"/>
      <c r="N107" s="37"/>
      <c r="O107" s="56"/>
      <c r="P107" s="37"/>
    </row>
    <row r="108" spans="1:16">
      <c r="A108" s="29"/>
      <c r="B108" s="54"/>
      <c r="C108" s="53"/>
      <c r="D108" s="53"/>
      <c r="E108" s="53"/>
      <c r="F108" s="38"/>
      <c r="G108" s="38"/>
      <c r="H108" s="38"/>
      <c r="I108" s="38"/>
      <c r="J108" s="38"/>
      <c r="K108" s="38"/>
      <c r="L108" s="38"/>
      <c r="M108" s="38"/>
      <c r="N108" s="37"/>
      <c r="O108" s="56"/>
      <c r="P108" s="37"/>
    </row>
    <row r="109" spans="1:16">
      <c r="A109" s="29"/>
      <c r="B109" s="54"/>
      <c r="C109" s="53"/>
      <c r="D109" s="53"/>
      <c r="E109" s="53"/>
      <c r="F109" s="29"/>
      <c r="G109" s="29"/>
      <c r="H109" s="29"/>
      <c r="I109" s="29"/>
      <c r="J109" s="29"/>
      <c r="K109" s="29"/>
      <c r="L109" s="29"/>
      <c r="M109" s="29"/>
      <c r="N109" s="37"/>
      <c r="O109" s="56"/>
      <c r="P109" s="37"/>
    </row>
    <row r="110" spans="1:16">
      <c r="A110" s="29"/>
      <c r="B110" s="54"/>
      <c r="C110" s="53"/>
      <c r="D110" s="53"/>
      <c r="E110" s="53"/>
      <c r="F110" s="38"/>
      <c r="G110" s="38"/>
      <c r="H110" s="38"/>
      <c r="I110" s="38"/>
      <c r="J110" s="38"/>
      <c r="K110" s="38"/>
      <c r="L110" s="38"/>
      <c r="M110" s="38"/>
      <c r="N110" s="37"/>
      <c r="O110" s="56"/>
      <c r="P110" s="37"/>
    </row>
    <row r="111" spans="1:16">
      <c r="A111" s="29"/>
      <c r="B111" s="54"/>
      <c r="C111" s="53"/>
      <c r="D111" s="53"/>
      <c r="E111" s="53"/>
      <c r="F111" s="38"/>
      <c r="G111" s="38"/>
      <c r="H111" s="38"/>
      <c r="I111" s="38"/>
      <c r="J111" s="38"/>
      <c r="K111" s="38"/>
      <c r="L111" s="38"/>
      <c r="M111" s="38"/>
      <c r="N111" s="37"/>
      <c r="O111" s="56"/>
      <c r="P111" s="37"/>
    </row>
    <row r="112" spans="1:16">
      <c r="A112" s="29"/>
      <c r="B112" s="54"/>
      <c r="C112" s="53"/>
      <c r="D112" s="53"/>
      <c r="E112" s="53"/>
      <c r="F112" s="38"/>
      <c r="G112" s="38"/>
      <c r="H112" s="38"/>
      <c r="I112" s="38"/>
      <c r="J112" s="38"/>
      <c r="K112" s="38"/>
      <c r="L112" s="38"/>
      <c r="M112" s="38"/>
      <c r="N112" s="37"/>
      <c r="O112" s="56"/>
      <c r="P112" s="37"/>
    </row>
    <row r="113" spans="1:16">
      <c r="A113" s="29"/>
      <c r="B113" s="54"/>
      <c r="C113" s="53"/>
      <c r="D113" s="53"/>
      <c r="E113" s="53"/>
      <c r="F113" s="29"/>
      <c r="G113" s="29"/>
      <c r="H113" s="29"/>
      <c r="I113" s="29"/>
      <c r="J113" s="29"/>
      <c r="K113" s="29"/>
      <c r="L113" s="29"/>
      <c r="M113" s="29"/>
      <c r="N113" s="37"/>
      <c r="O113" s="56"/>
      <c r="P113" s="37"/>
    </row>
    <row r="114" spans="1:16">
      <c r="A114" s="29"/>
      <c r="B114" s="54"/>
      <c r="C114" s="53"/>
      <c r="D114" s="53"/>
      <c r="E114" s="53"/>
      <c r="F114" s="38"/>
      <c r="G114" s="38"/>
      <c r="H114" s="38"/>
      <c r="I114" s="38"/>
      <c r="J114" s="38"/>
      <c r="K114" s="38"/>
      <c r="L114" s="38"/>
      <c r="M114" s="38"/>
      <c r="N114" s="37"/>
      <c r="O114" s="56"/>
      <c r="P114" s="37"/>
    </row>
    <row r="115" spans="1:16">
      <c r="A115" s="29"/>
      <c r="B115" s="54"/>
      <c r="C115" s="53"/>
      <c r="D115" s="53"/>
      <c r="E115" s="53"/>
      <c r="F115" s="29"/>
      <c r="G115" s="29"/>
      <c r="H115" s="29"/>
      <c r="I115" s="29"/>
      <c r="J115" s="29"/>
      <c r="K115" s="29"/>
      <c r="L115" s="29"/>
      <c r="M115" s="29"/>
      <c r="N115" s="37"/>
      <c r="O115" s="56"/>
      <c r="P115" s="37"/>
    </row>
    <row r="116" spans="1:16">
      <c r="A116" s="29"/>
      <c r="B116" s="54"/>
      <c r="C116" s="53"/>
      <c r="D116" s="53"/>
      <c r="E116" s="53"/>
      <c r="F116" s="38"/>
      <c r="G116" s="38"/>
      <c r="H116" s="38"/>
      <c r="I116" s="38"/>
      <c r="J116" s="38"/>
      <c r="K116" s="38"/>
      <c r="L116" s="38"/>
      <c r="M116" s="38"/>
      <c r="N116" s="37"/>
      <c r="O116" s="56"/>
      <c r="P116" s="37"/>
    </row>
    <row r="117" spans="1:16">
      <c r="A117" s="29"/>
      <c r="B117" s="54"/>
      <c r="C117" s="53"/>
      <c r="D117" s="53"/>
      <c r="E117" s="53"/>
      <c r="F117" s="29"/>
      <c r="G117" s="29"/>
      <c r="H117" s="29"/>
      <c r="I117" s="29"/>
      <c r="J117" s="29"/>
      <c r="K117" s="29"/>
      <c r="L117" s="29"/>
      <c r="M117" s="29"/>
      <c r="N117" s="37"/>
      <c r="O117" s="56"/>
      <c r="P117" s="37"/>
    </row>
    <row r="118" spans="1:16">
      <c r="A118" s="29"/>
      <c r="B118" s="54"/>
      <c r="C118" s="53"/>
      <c r="D118" s="53"/>
      <c r="E118" s="53"/>
      <c r="F118" s="38"/>
      <c r="G118" s="38"/>
      <c r="H118" s="38"/>
      <c r="I118" s="38"/>
      <c r="J118" s="38"/>
      <c r="K118" s="38"/>
      <c r="L118" s="38"/>
      <c r="M118" s="38"/>
      <c r="N118" s="37"/>
      <c r="O118" s="56"/>
      <c r="P118" s="37"/>
    </row>
    <row r="119" spans="1:16">
      <c r="A119" s="29"/>
      <c r="B119" s="54"/>
      <c r="C119" s="53"/>
      <c r="D119" s="53"/>
      <c r="E119" s="53"/>
      <c r="F119" s="29"/>
      <c r="G119" s="29"/>
      <c r="H119" s="29"/>
      <c r="I119" s="29"/>
      <c r="J119" s="29"/>
      <c r="K119" s="29"/>
      <c r="L119" s="29"/>
      <c r="M119" s="29"/>
      <c r="N119" s="37"/>
      <c r="O119" s="56"/>
      <c r="P119" s="37"/>
    </row>
    <row r="120" spans="1:16">
      <c r="A120" s="29"/>
      <c r="B120" s="54"/>
      <c r="C120" s="53"/>
      <c r="D120" s="53"/>
      <c r="E120" s="53"/>
      <c r="F120" s="38"/>
      <c r="G120" s="38"/>
      <c r="H120" s="38"/>
      <c r="I120" s="38"/>
      <c r="J120" s="38"/>
      <c r="K120" s="38"/>
      <c r="L120" s="38"/>
      <c r="M120" s="38"/>
      <c r="N120" s="37"/>
      <c r="O120" s="56"/>
      <c r="P120" s="37"/>
    </row>
    <row r="121" spans="1:16">
      <c r="A121" s="29"/>
      <c r="B121" s="54"/>
      <c r="C121" s="53"/>
      <c r="D121" s="53"/>
      <c r="E121" s="53"/>
      <c r="F121" s="29"/>
      <c r="G121" s="29"/>
      <c r="H121" s="29"/>
      <c r="I121" s="29"/>
      <c r="J121" s="29"/>
      <c r="K121" s="29"/>
      <c r="L121" s="29"/>
      <c r="M121" s="29"/>
      <c r="N121" s="37"/>
      <c r="O121" s="56"/>
      <c r="P121" s="37"/>
    </row>
    <row r="122" spans="1:16">
      <c r="A122" s="29"/>
      <c r="B122" s="54"/>
      <c r="C122" s="53"/>
      <c r="D122" s="53"/>
      <c r="E122" s="53"/>
      <c r="F122" s="29"/>
      <c r="G122" s="29"/>
      <c r="H122" s="29"/>
      <c r="I122" s="29"/>
      <c r="J122" s="29"/>
      <c r="K122" s="29"/>
      <c r="L122" s="29"/>
      <c r="M122" s="29"/>
      <c r="N122" s="37"/>
      <c r="O122" s="56"/>
      <c r="P122" s="37"/>
    </row>
    <row r="123" spans="1:16">
      <c r="A123" s="29"/>
      <c r="B123" s="54"/>
      <c r="C123" s="53"/>
      <c r="D123" s="53"/>
      <c r="E123" s="53"/>
      <c r="F123" s="29"/>
      <c r="G123" s="29"/>
      <c r="H123" s="29"/>
      <c r="I123" s="29"/>
      <c r="J123" s="29"/>
      <c r="K123" s="29"/>
      <c r="L123" s="29"/>
      <c r="M123" s="29"/>
      <c r="N123" s="37"/>
      <c r="O123" s="56"/>
      <c r="P123" s="37"/>
    </row>
    <row r="124" spans="1:16">
      <c r="A124" s="29"/>
      <c r="B124" s="54"/>
      <c r="C124" s="53"/>
      <c r="D124" s="53"/>
      <c r="E124" s="53"/>
      <c r="F124" s="29"/>
      <c r="G124" s="29"/>
      <c r="H124" s="29"/>
      <c r="I124" s="29"/>
      <c r="J124" s="29"/>
      <c r="K124" s="29"/>
      <c r="L124" s="29"/>
      <c r="M124" s="29"/>
      <c r="N124" s="37"/>
      <c r="O124" s="56"/>
      <c r="P124" s="37"/>
    </row>
    <row r="125" spans="1:16">
      <c r="A125" s="29"/>
      <c r="B125" s="54"/>
      <c r="C125" s="53"/>
      <c r="D125" s="53"/>
      <c r="E125" s="53"/>
      <c r="F125" s="29"/>
      <c r="G125" s="29"/>
      <c r="H125" s="29"/>
      <c r="I125" s="29"/>
      <c r="J125" s="29"/>
      <c r="K125" s="29"/>
      <c r="L125" s="29"/>
      <c r="M125" s="29"/>
      <c r="N125" s="37"/>
      <c r="O125" s="56"/>
      <c r="P125" s="37"/>
    </row>
    <row r="126" spans="1:16">
      <c r="A126" s="29"/>
      <c r="B126" s="54"/>
      <c r="C126" s="53"/>
      <c r="D126" s="53"/>
      <c r="E126" s="53"/>
      <c r="F126" s="29"/>
      <c r="G126" s="29"/>
      <c r="H126" s="29"/>
      <c r="I126" s="29"/>
      <c r="J126" s="29"/>
      <c r="K126" s="29"/>
      <c r="L126" s="29"/>
      <c r="M126" s="29"/>
      <c r="N126" s="37"/>
      <c r="O126" s="56"/>
      <c r="P126" s="37"/>
    </row>
    <row r="127" spans="1:16">
      <c r="A127" s="29"/>
      <c r="B127" s="54"/>
      <c r="C127" s="53"/>
      <c r="D127" s="53"/>
      <c r="E127" s="53"/>
      <c r="F127" s="29"/>
      <c r="G127" s="29"/>
      <c r="H127" s="29"/>
      <c r="I127" s="29"/>
      <c r="J127" s="29"/>
      <c r="K127" s="29"/>
      <c r="L127" s="29"/>
      <c r="M127" s="29"/>
      <c r="N127" s="37"/>
      <c r="O127" s="56"/>
      <c r="P127" s="37"/>
    </row>
    <row r="128" spans="1:16">
      <c r="A128" s="29"/>
      <c r="B128" s="54"/>
      <c r="C128" s="53"/>
      <c r="D128" s="53"/>
      <c r="E128" s="53"/>
      <c r="F128" s="29"/>
      <c r="G128" s="29"/>
      <c r="H128" s="29"/>
      <c r="I128" s="29"/>
      <c r="J128" s="29"/>
      <c r="K128" s="29"/>
      <c r="L128" s="29"/>
      <c r="M128" s="29"/>
      <c r="N128" s="37"/>
      <c r="O128" s="56"/>
      <c r="P128" s="37"/>
    </row>
    <row r="129" spans="1:16">
      <c r="A129" s="29"/>
      <c r="B129" s="54"/>
      <c r="C129" s="53"/>
      <c r="D129" s="53"/>
      <c r="E129" s="53"/>
      <c r="F129" s="29"/>
      <c r="G129" s="29"/>
      <c r="H129" s="29"/>
      <c r="I129" s="29"/>
      <c r="J129" s="29"/>
      <c r="K129" s="29"/>
      <c r="L129" s="29"/>
      <c r="M129" s="29"/>
      <c r="N129" s="37"/>
      <c r="O129" s="56"/>
      <c r="P129" s="37"/>
    </row>
    <row r="130" spans="1:16">
      <c r="A130" s="29"/>
      <c r="B130" s="54"/>
      <c r="C130" s="53"/>
      <c r="D130" s="53"/>
      <c r="E130" s="53"/>
      <c r="F130" s="29"/>
      <c r="G130" s="29"/>
      <c r="H130" s="29"/>
      <c r="I130" s="29"/>
      <c r="J130" s="29"/>
      <c r="K130" s="29"/>
      <c r="L130" s="29"/>
      <c r="M130" s="29"/>
      <c r="N130" s="37"/>
      <c r="O130" s="56"/>
      <c r="P130" s="37"/>
    </row>
    <row r="131" spans="1:16">
      <c r="A131" s="29"/>
      <c r="B131" s="54"/>
      <c r="C131" s="53"/>
      <c r="D131" s="53"/>
      <c r="E131" s="53"/>
      <c r="F131" s="29"/>
      <c r="G131" s="29"/>
      <c r="H131" s="29"/>
      <c r="I131" s="29"/>
      <c r="J131" s="29"/>
      <c r="K131" s="29"/>
      <c r="L131" s="29"/>
      <c r="M131" s="29"/>
      <c r="N131" s="37"/>
      <c r="O131" s="56"/>
      <c r="P131" s="37"/>
    </row>
    <row r="132" spans="1:16">
      <c r="A132" s="29"/>
      <c r="B132" s="54"/>
      <c r="C132" s="53"/>
      <c r="D132" s="53"/>
      <c r="E132" s="53"/>
      <c r="F132" s="29"/>
      <c r="G132" s="29"/>
      <c r="H132" s="29"/>
      <c r="I132" s="29"/>
      <c r="J132" s="29"/>
      <c r="K132" s="29"/>
      <c r="L132" s="29"/>
      <c r="M132" s="29"/>
      <c r="N132" s="37"/>
      <c r="O132" s="56"/>
      <c r="P132" s="37"/>
    </row>
    <row r="133" spans="1:16">
      <c r="A133" s="29"/>
      <c r="B133" s="54"/>
      <c r="C133" s="53"/>
      <c r="D133" s="53"/>
      <c r="E133" s="53"/>
      <c r="F133" s="29"/>
      <c r="G133" s="29"/>
      <c r="H133" s="29"/>
      <c r="I133" s="29"/>
      <c r="J133" s="29"/>
      <c r="K133" s="29"/>
      <c r="L133" s="29"/>
      <c r="M133" s="29"/>
      <c r="N133" s="37"/>
      <c r="O133" s="56"/>
      <c r="P133" s="37"/>
    </row>
    <row r="134" spans="1:16">
      <c r="A134" s="29"/>
      <c r="B134" s="54"/>
      <c r="C134" s="53"/>
      <c r="D134" s="53"/>
      <c r="E134" s="53"/>
      <c r="F134" s="29"/>
      <c r="G134" s="29"/>
      <c r="H134" s="29"/>
      <c r="I134" s="29"/>
      <c r="J134" s="29"/>
      <c r="K134" s="29"/>
      <c r="L134" s="29"/>
      <c r="M134" s="29"/>
      <c r="N134" s="37"/>
      <c r="O134" s="56"/>
      <c r="P134" s="37"/>
    </row>
    <row r="135" spans="1:16">
      <c r="A135" s="29"/>
      <c r="B135" s="54"/>
      <c r="C135" s="53"/>
      <c r="D135" s="53"/>
      <c r="E135" s="53"/>
      <c r="F135" s="29"/>
      <c r="G135" s="29"/>
      <c r="H135" s="29"/>
      <c r="I135" s="29"/>
      <c r="J135" s="29"/>
      <c r="K135" s="29"/>
      <c r="L135" s="29"/>
      <c r="M135" s="29"/>
      <c r="N135" s="37"/>
      <c r="O135" s="56"/>
      <c r="P135" s="37"/>
    </row>
    <row r="136" spans="1:16">
      <c r="A136" s="29"/>
      <c r="B136" s="54"/>
      <c r="C136" s="53"/>
      <c r="D136" s="53"/>
      <c r="E136" s="53"/>
      <c r="F136" s="29"/>
      <c r="G136" s="29"/>
      <c r="H136" s="29"/>
      <c r="I136" s="29"/>
      <c r="J136" s="29"/>
      <c r="K136" s="29"/>
      <c r="L136" s="29"/>
      <c r="M136" s="29"/>
      <c r="N136" s="37"/>
      <c r="O136" s="56"/>
      <c r="P136" s="37"/>
    </row>
    <row r="137" spans="1:16">
      <c r="A137" s="29"/>
      <c r="B137" s="54"/>
      <c r="C137" s="53"/>
      <c r="D137" s="53"/>
      <c r="E137" s="53"/>
      <c r="F137" s="29"/>
      <c r="G137" s="29"/>
      <c r="H137" s="29"/>
      <c r="I137" s="29"/>
      <c r="J137" s="29"/>
      <c r="K137" s="29"/>
      <c r="L137" s="29"/>
      <c r="M137" s="29"/>
      <c r="N137" s="37"/>
      <c r="O137" s="56"/>
      <c r="P137" s="37"/>
    </row>
    <row r="138" spans="1:16">
      <c r="A138" s="29"/>
      <c r="B138" s="54"/>
      <c r="C138" s="53"/>
      <c r="D138" s="53"/>
      <c r="E138" s="53"/>
      <c r="F138" s="29"/>
      <c r="G138" s="29"/>
      <c r="H138" s="29"/>
      <c r="I138" s="29"/>
      <c r="J138" s="29"/>
      <c r="K138" s="29"/>
      <c r="L138" s="29"/>
      <c r="M138" s="29"/>
      <c r="N138" s="37"/>
      <c r="O138" s="56"/>
      <c r="P138" s="37"/>
    </row>
    <row r="139" spans="1:16">
      <c r="A139" s="29"/>
      <c r="B139" s="54"/>
      <c r="C139" s="53"/>
      <c r="D139" s="53"/>
      <c r="E139" s="53"/>
      <c r="F139" s="29"/>
      <c r="G139" s="29"/>
      <c r="H139" s="29"/>
      <c r="I139" s="29"/>
      <c r="J139" s="29"/>
      <c r="K139" s="29"/>
      <c r="L139" s="29"/>
      <c r="M139" s="29"/>
      <c r="N139" s="37"/>
      <c r="O139" s="56"/>
      <c r="P139" s="37"/>
    </row>
    <row r="140" spans="1:16">
      <c r="A140" s="29"/>
      <c r="B140" s="54"/>
      <c r="C140" s="53"/>
      <c r="D140" s="53"/>
      <c r="E140" s="53"/>
      <c r="F140" s="29"/>
      <c r="G140" s="29"/>
      <c r="H140" s="29"/>
      <c r="I140" s="29"/>
      <c r="J140" s="29"/>
      <c r="K140" s="29"/>
      <c r="L140" s="29"/>
      <c r="M140" s="29"/>
      <c r="N140" s="37"/>
      <c r="O140" s="56"/>
      <c r="P140" s="37"/>
    </row>
    <row r="141" spans="1:16">
      <c r="A141" s="29"/>
      <c r="B141" s="54"/>
      <c r="C141" s="53"/>
      <c r="D141" s="53"/>
      <c r="E141" s="53"/>
      <c r="F141" s="29"/>
      <c r="G141" s="29"/>
      <c r="H141" s="29"/>
      <c r="I141" s="29"/>
      <c r="J141" s="29"/>
      <c r="K141" s="29"/>
      <c r="L141" s="29"/>
      <c r="M141" s="29"/>
      <c r="N141" s="37"/>
      <c r="O141" s="56"/>
      <c r="P141" s="37"/>
    </row>
    <row r="142" spans="1:16">
      <c r="A142" s="29"/>
      <c r="B142" s="54"/>
      <c r="C142" s="53"/>
      <c r="D142" s="53"/>
      <c r="E142" s="53"/>
      <c r="F142" s="29"/>
      <c r="G142" s="29"/>
      <c r="H142" s="29"/>
      <c r="I142" s="29"/>
      <c r="J142" s="29"/>
      <c r="K142" s="29"/>
      <c r="L142" s="29"/>
      <c r="M142" s="29"/>
      <c r="N142" s="37"/>
      <c r="O142" s="56"/>
      <c r="P142" s="37"/>
    </row>
    <row r="143" spans="1:16">
      <c r="A143" s="29"/>
      <c r="B143" s="54"/>
      <c r="C143" s="53"/>
      <c r="D143" s="53"/>
      <c r="E143" s="53"/>
      <c r="F143" s="29"/>
      <c r="G143" s="29"/>
      <c r="H143" s="29"/>
      <c r="I143" s="29"/>
      <c r="J143" s="29"/>
      <c r="K143" s="29"/>
      <c r="L143" s="29"/>
      <c r="M143" s="29"/>
      <c r="N143" s="37"/>
      <c r="O143" s="56"/>
      <c r="P143" s="37"/>
    </row>
    <row r="144" spans="1:16">
      <c r="A144" s="29"/>
      <c r="B144" s="54"/>
      <c r="C144" s="53"/>
      <c r="D144" s="53"/>
      <c r="E144" s="53"/>
      <c r="F144" s="29"/>
      <c r="G144" s="29"/>
      <c r="H144" s="29"/>
      <c r="I144" s="29"/>
      <c r="J144" s="29"/>
      <c r="K144" s="29"/>
      <c r="L144" s="29"/>
      <c r="M144" s="29"/>
      <c r="N144" s="37"/>
      <c r="O144" s="56"/>
      <c r="P144" s="37"/>
    </row>
    <row r="145" spans="1:16">
      <c r="A145" s="29"/>
      <c r="B145" s="54"/>
      <c r="C145" s="53"/>
      <c r="D145" s="53"/>
      <c r="E145" s="53"/>
      <c r="F145" s="29"/>
      <c r="G145" s="29"/>
      <c r="H145" s="29"/>
      <c r="I145" s="29"/>
      <c r="J145" s="29"/>
      <c r="K145" s="29"/>
      <c r="L145" s="29"/>
      <c r="M145" s="29"/>
      <c r="N145" s="37"/>
      <c r="O145" s="56"/>
      <c r="P145" s="37"/>
    </row>
    <row r="146" spans="1:16">
      <c r="A146" s="29"/>
      <c r="B146" s="54"/>
      <c r="C146" s="53"/>
      <c r="D146" s="53"/>
      <c r="E146" s="53"/>
      <c r="F146" s="29"/>
      <c r="G146" s="29"/>
      <c r="H146" s="29"/>
      <c r="I146" s="29"/>
      <c r="J146" s="29"/>
      <c r="K146" s="29"/>
      <c r="L146" s="29"/>
      <c r="M146" s="29"/>
      <c r="N146" s="37"/>
      <c r="O146" s="56"/>
      <c r="P146" s="37"/>
    </row>
    <row r="147" spans="1:16">
      <c r="A147" s="29"/>
      <c r="B147" s="54"/>
      <c r="C147" s="53"/>
      <c r="D147" s="53"/>
      <c r="E147" s="53"/>
      <c r="F147" s="29"/>
      <c r="G147" s="29"/>
      <c r="H147" s="29"/>
      <c r="I147" s="29"/>
      <c r="J147" s="29"/>
      <c r="K147" s="29"/>
      <c r="L147" s="29"/>
      <c r="M147" s="29"/>
      <c r="N147" s="37"/>
      <c r="O147" s="56"/>
      <c r="P147" s="37"/>
    </row>
    <row r="148" spans="1:16">
      <c r="A148" s="29"/>
      <c r="B148" s="54"/>
      <c r="C148" s="53"/>
      <c r="D148" s="53"/>
      <c r="E148" s="53"/>
      <c r="F148" s="29"/>
      <c r="G148" s="29"/>
      <c r="H148" s="29"/>
      <c r="I148" s="29"/>
      <c r="J148" s="29"/>
      <c r="K148" s="29"/>
      <c r="L148" s="29"/>
      <c r="M148" s="29"/>
      <c r="N148" s="37"/>
      <c r="O148" s="56"/>
      <c r="P148" s="37"/>
    </row>
    <row r="149" spans="1:16">
      <c r="A149" s="29"/>
      <c r="B149" s="54"/>
      <c r="C149" s="53"/>
      <c r="D149" s="53"/>
      <c r="E149" s="53"/>
      <c r="F149" s="29"/>
      <c r="G149" s="29"/>
      <c r="H149" s="29"/>
      <c r="I149" s="29"/>
      <c r="J149" s="29"/>
      <c r="K149" s="29"/>
      <c r="L149" s="29"/>
      <c r="M149" s="29"/>
      <c r="N149" s="37"/>
      <c r="O149" s="56"/>
      <c r="P149" s="37"/>
    </row>
    <row r="150" spans="1:16">
      <c r="A150" s="29"/>
      <c r="B150" s="54"/>
      <c r="C150" s="53"/>
      <c r="D150" s="53"/>
      <c r="E150" s="53"/>
      <c r="F150" s="29"/>
      <c r="G150" s="29"/>
      <c r="H150" s="29"/>
      <c r="I150" s="29"/>
      <c r="J150" s="29"/>
      <c r="K150" s="29"/>
      <c r="L150" s="29"/>
      <c r="M150" s="29"/>
      <c r="N150" s="37"/>
      <c r="O150" s="56"/>
      <c r="P150" s="37"/>
    </row>
    <row r="151" spans="1:16">
      <c r="A151" s="29"/>
      <c r="B151" s="54"/>
      <c r="C151" s="53"/>
      <c r="D151" s="53"/>
      <c r="E151" s="53"/>
      <c r="F151" s="29"/>
      <c r="G151" s="29"/>
      <c r="H151" s="29"/>
      <c r="I151" s="29"/>
      <c r="J151" s="29"/>
      <c r="K151" s="29"/>
      <c r="L151" s="29"/>
      <c r="M151" s="29"/>
      <c r="N151" s="37"/>
      <c r="O151" s="56"/>
      <c r="P151" s="37"/>
    </row>
    <row r="152" spans="1:16">
      <c r="A152" s="29"/>
      <c r="B152" s="54"/>
      <c r="C152" s="53"/>
      <c r="D152" s="53"/>
      <c r="E152" s="53"/>
      <c r="F152" s="29"/>
      <c r="G152" s="29"/>
      <c r="H152" s="29"/>
      <c r="I152" s="29"/>
      <c r="J152" s="29"/>
      <c r="K152" s="29"/>
      <c r="L152" s="29"/>
      <c r="M152" s="29"/>
      <c r="N152" s="37"/>
      <c r="O152" s="56"/>
      <c r="P152" s="37"/>
    </row>
    <row r="153" spans="1:16">
      <c r="A153" s="29"/>
      <c r="B153" s="54"/>
      <c r="C153" s="53"/>
      <c r="D153" s="53"/>
      <c r="E153" s="53"/>
      <c r="F153" s="29"/>
      <c r="G153" s="29"/>
      <c r="H153" s="29"/>
      <c r="I153" s="29"/>
      <c r="J153" s="29"/>
      <c r="K153" s="29"/>
      <c r="L153" s="29"/>
      <c r="M153" s="29"/>
      <c r="N153" s="37"/>
      <c r="O153" s="56"/>
      <c r="P153" s="37"/>
    </row>
    <row r="154" spans="1:16">
      <c r="A154" s="29"/>
      <c r="B154" s="54"/>
      <c r="C154" s="53"/>
      <c r="D154" s="53"/>
      <c r="E154" s="53"/>
      <c r="F154" s="29"/>
      <c r="G154" s="29"/>
      <c r="H154" s="29"/>
      <c r="I154" s="29"/>
      <c r="J154" s="29"/>
      <c r="K154" s="29"/>
      <c r="L154" s="29"/>
      <c r="M154" s="29"/>
      <c r="N154" s="37"/>
      <c r="O154" s="56"/>
      <c r="P154" s="37"/>
    </row>
    <row r="155" spans="1:16">
      <c r="A155" s="29"/>
      <c r="B155" s="54"/>
      <c r="C155" s="53"/>
      <c r="D155" s="53"/>
      <c r="E155" s="53"/>
      <c r="F155" s="29"/>
      <c r="G155" s="29"/>
      <c r="H155" s="29"/>
      <c r="I155" s="29"/>
      <c r="J155" s="29"/>
      <c r="K155" s="29"/>
      <c r="L155" s="29"/>
      <c r="M155" s="29"/>
      <c r="N155" s="37"/>
      <c r="O155" s="56"/>
      <c r="P155" s="37"/>
    </row>
    <row r="156" spans="1:16">
      <c r="A156" s="29"/>
      <c r="B156" s="54"/>
      <c r="C156" s="53"/>
      <c r="D156" s="53"/>
      <c r="E156" s="53"/>
      <c r="F156" s="29"/>
      <c r="G156" s="29"/>
      <c r="H156" s="29"/>
      <c r="I156" s="29"/>
      <c r="J156" s="29"/>
      <c r="K156" s="29"/>
      <c r="L156" s="29"/>
      <c r="M156" s="29"/>
      <c r="N156" s="37"/>
      <c r="O156" s="56"/>
      <c r="P156" s="37"/>
    </row>
    <row r="157" spans="1:16">
      <c r="A157" s="29"/>
      <c r="B157" s="54"/>
      <c r="C157" s="53"/>
      <c r="D157" s="53"/>
      <c r="E157" s="53"/>
      <c r="F157" s="29"/>
      <c r="G157" s="29"/>
      <c r="H157" s="29"/>
      <c r="I157" s="29"/>
      <c r="J157" s="29"/>
      <c r="K157" s="29"/>
      <c r="L157" s="29"/>
      <c r="M157" s="29"/>
      <c r="N157" s="37"/>
      <c r="O157" s="56"/>
      <c r="P157" s="37"/>
    </row>
    <row r="158" spans="1:16">
      <c r="A158" s="29"/>
      <c r="B158" s="54"/>
      <c r="C158" s="53"/>
      <c r="D158" s="53"/>
      <c r="E158" s="53"/>
      <c r="F158" s="29"/>
      <c r="G158" s="29"/>
      <c r="H158" s="29"/>
      <c r="I158" s="29"/>
      <c r="J158" s="29"/>
      <c r="K158" s="29"/>
      <c r="L158" s="29"/>
      <c r="M158" s="29"/>
      <c r="N158" s="37"/>
      <c r="O158" s="56"/>
      <c r="P158" s="37"/>
    </row>
    <row r="159" spans="1:16">
      <c r="A159" s="29"/>
      <c r="B159" s="54"/>
      <c r="C159" s="53"/>
      <c r="D159" s="53"/>
      <c r="E159" s="53"/>
      <c r="F159" s="29"/>
      <c r="G159" s="29"/>
      <c r="H159" s="29"/>
      <c r="I159" s="29"/>
      <c r="J159" s="29"/>
      <c r="K159" s="29"/>
      <c r="L159" s="29"/>
      <c r="M159" s="29"/>
      <c r="N159" s="37"/>
      <c r="O159" s="56"/>
      <c r="P159" s="37"/>
    </row>
    <row r="160" spans="1:16">
      <c r="A160" s="29"/>
      <c r="B160" s="54"/>
      <c r="C160" s="53"/>
      <c r="D160" s="53"/>
      <c r="E160" s="53"/>
      <c r="F160" s="29"/>
      <c r="G160" s="29"/>
      <c r="H160" s="29"/>
      <c r="I160" s="29"/>
      <c r="J160" s="29"/>
      <c r="K160" s="29"/>
      <c r="L160" s="29"/>
      <c r="M160" s="29"/>
      <c r="N160" s="37"/>
      <c r="O160" s="56"/>
      <c r="P160" s="37"/>
    </row>
    <row r="161" spans="1:16">
      <c r="A161" s="29"/>
      <c r="B161" s="54"/>
      <c r="C161" s="53"/>
      <c r="D161" s="53"/>
      <c r="E161" s="53"/>
      <c r="F161" s="29"/>
      <c r="G161" s="29"/>
      <c r="H161" s="29"/>
      <c r="I161" s="29"/>
      <c r="J161" s="29"/>
      <c r="K161" s="29"/>
      <c r="L161" s="29"/>
      <c r="M161" s="29"/>
      <c r="N161" s="37"/>
      <c r="O161" s="56"/>
      <c r="P161" s="37"/>
    </row>
    <row r="162" spans="1:16">
      <c r="A162" s="29"/>
      <c r="B162" s="54"/>
      <c r="C162" s="53"/>
      <c r="D162" s="53"/>
      <c r="E162" s="53"/>
      <c r="F162" s="29"/>
      <c r="G162" s="29"/>
      <c r="H162" s="29"/>
      <c r="I162" s="29"/>
      <c r="J162" s="29"/>
      <c r="K162" s="29"/>
      <c r="L162" s="29"/>
      <c r="M162" s="29"/>
      <c r="N162" s="37"/>
      <c r="O162" s="56"/>
      <c r="P162" s="37"/>
    </row>
    <row r="163" spans="1:16">
      <c r="A163" s="29"/>
      <c r="B163" s="54"/>
      <c r="C163" s="53"/>
      <c r="D163" s="53"/>
      <c r="E163" s="53"/>
      <c r="F163" s="29"/>
      <c r="G163" s="29"/>
      <c r="H163" s="29"/>
      <c r="I163" s="29"/>
      <c r="J163" s="29"/>
      <c r="K163" s="29"/>
      <c r="L163" s="29"/>
      <c r="M163" s="29"/>
      <c r="N163" s="37"/>
      <c r="O163" s="56"/>
      <c r="P163" s="37"/>
    </row>
    <row r="164" spans="1:16">
      <c r="A164" s="29"/>
      <c r="B164" s="54"/>
      <c r="C164" s="53"/>
      <c r="D164" s="53"/>
      <c r="E164" s="53"/>
      <c r="F164" s="29"/>
      <c r="G164" s="29"/>
      <c r="H164" s="29"/>
      <c r="I164" s="29"/>
      <c r="J164" s="29"/>
      <c r="K164" s="29"/>
      <c r="L164" s="29"/>
      <c r="M164" s="29"/>
      <c r="N164" s="37"/>
      <c r="O164" s="56"/>
      <c r="P164" s="37"/>
    </row>
    <row r="165" spans="1:16">
      <c r="A165" s="29"/>
      <c r="B165" s="54"/>
      <c r="C165" s="53"/>
      <c r="D165" s="53"/>
      <c r="E165" s="53"/>
      <c r="F165" s="29"/>
      <c r="G165" s="29"/>
      <c r="H165" s="29"/>
      <c r="I165" s="29"/>
      <c r="J165" s="29"/>
      <c r="K165" s="29"/>
      <c r="L165" s="29"/>
      <c r="M165" s="29"/>
      <c r="N165" s="37"/>
      <c r="O165" s="56"/>
      <c r="P165" s="37"/>
    </row>
    <row r="166" spans="1:16">
      <c r="A166" s="29"/>
      <c r="B166" s="54"/>
      <c r="C166" s="53"/>
      <c r="D166" s="53"/>
      <c r="E166" s="53"/>
      <c r="F166" s="29"/>
      <c r="G166" s="29"/>
      <c r="H166" s="29"/>
      <c r="I166" s="29"/>
      <c r="J166" s="29"/>
      <c r="K166" s="29"/>
      <c r="L166" s="29"/>
      <c r="M166" s="29"/>
      <c r="N166" s="37"/>
      <c r="O166" s="56"/>
      <c r="P166" s="37"/>
    </row>
    <row r="167" spans="1:16">
      <c r="A167" s="29"/>
      <c r="B167" s="54"/>
      <c r="C167" s="53"/>
      <c r="D167" s="53"/>
      <c r="E167" s="53"/>
      <c r="F167" s="29"/>
      <c r="G167" s="29"/>
      <c r="H167" s="29"/>
      <c r="I167" s="29"/>
      <c r="J167" s="29"/>
      <c r="K167" s="29"/>
      <c r="L167" s="29"/>
      <c r="M167" s="29"/>
      <c r="N167" s="37"/>
      <c r="O167" s="56"/>
      <c r="P167" s="37"/>
    </row>
    <row r="168" spans="1:16">
      <c r="A168" s="29"/>
      <c r="B168" s="54"/>
      <c r="C168" s="53"/>
      <c r="D168" s="53"/>
      <c r="E168" s="53"/>
      <c r="F168" s="29"/>
      <c r="G168" s="29"/>
      <c r="H168" s="29"/>
      <c r="I168" s="29"/>
      <c r="J168" s="29"/>
      <c r="K168" s="29"/>
      <c r="L168" s="29"/>
      <c r="M168" s="29"/>
      <c r="N168" s="37"/>
      <c r="O168" s="56"/>
      <c r="P168" s="37"/>
    </row>
    <row r="169" spans="1:16">
      <c r="A169" s="29"/>
      <c r="B169" s="54"/>
      <c r="C169" s="53"/>
      <c r="D169" s="53"/>
      <c r="E169" s="53"/>
      <c r="F169" s="29"/>
      <c r="G169" s="29"/>
      <c r="H169" s="29"/>
      <c r="I169" s="29"/>
      <c r="J169" s="29"/>
      <c r="K169" s="29"/>
      <c r="L169" s="29"/>
      <c r="M169" s="29"/>
      <c r="N169" s="37"/>
      <c r="O169" s="56"/>
      <c r="P169" s="37"/>
    </row>
    <row r="170" spans="1:16">
      <c r="A170" s="29"/>
      <c r="B170" s="54"/>
      <c r="C170" s="53"/>
      <c r="D170" s="53"/>
      <c r="E170" s="53"/>
      <c r="F170" s="29"/>
      <c r="G170" s="29"/>
      <c r="H170" s="29"/>
      <c r="I170" s="29"/>
      <c r="J170" s="29"/>
      <c r="K170" s="29"/>
      <c r="L170" s="29"/>
      <c r="M170" s="29"/>
      <c r="N170" s="37"/>
      <c r="O170" s="56"/>
      <c r="P170" s="37"/>
    </row>
    <row r="171" spans="1:16">
      <c r="A171" s="29"/>
      <c r="B171" s="54"/>
      <c r="C171" s="53"/>
      <c r="D171" s="53"/>
      <c r="E171" s="53"/>
      <c r="F171" s="29"/>
      <c r="G171" s="29"/>
      <c r="H171" s="29"/>
      <c r="I171" s="29"/>
      <c r="J171" s="29"/>
      <c r="K171" s="29"/>
      <c r="L171" s="29"/>
      <c r="M171" s="29"/>
      <c r="N171" s="37"/>
      <c r="O171" s="56"/>
      <c r="P171" s="37"/>
    </row>
    <row r="172" spans="1:16">
      <c r="A172" s="29"/>
      <c r="B172" s="54"/>
      <c r="C172" s="53"/>
      <c r="D172" s="53"/>
      <c r="E172" s="53"/>
      <c r="F172" s="29"/>
      <c r="G172" s="29"/>
      <c r="H172" s="29"/>
      <c r="I172" s="29"/>
      <c r="J172" s="29"/>
      <c r="K172" s="29"/>
      <c r="L172" s="29"/>
      <c r="M172" s="29"/>
      <c r="N172" s="37"/>
      <c r="O172" s="56"/>
      <c r="P172" s="37"/>
    </row>
    <row r="173" spans="1:16">
      <c r="A173" s="29"/>
      <c r="B173" s="54"/>
      <c r="C173" s="53"/>
      <c r="D173" s="53"/>
      <c r="E173" s="53"/>
      <c r="F173" s="29"/>
      <c r="G173" s="29"/>
      <c r="H173" s="29"/>
      <c r="I173" s="29"/>
      <c r="J173" s="29"/>
      <c r="K173" s="29"/>
      <c r="L173" s="29"/>
      <c r="M173" s="29"/>
      <c r="N173" s="37"/>
      <c r="O173" s="56"/>
      <c r="P173" s="37"/>
    </row>
    <row r="174" spans="1:16">
      <c r="A174" s="29"/>
      <c r="B174" s="54"/>
      <c r="C174" s="53"/>
      <c r="D174" s="53"/>
      <c r="E174" s="53"/>
      <c r="F174" s="29"/>
      <c r="G174" s="29"/>
      <c r="H174" s="29"/>
      <c r="I174" s="29"/>
      <c r="J174" s="29"/>
      <c r="K174" s="29"/>
      <c r="L174" s="29"/>
      <c r="M174" s="29"/>
      <c r="N174" s="37"/>
      <c r="O174" s="56"/>
      <c r="P174" s="37"/>
    </row>
    <row r="175" spans="1:16">
      <c r="A175" s="29"/>
      <c r="B175" s="54"/>
      <c r="C175" s="53"/>
      <c r="D175" s="53"/>
      <c r="E175" s="53"/>
      <c r="F175" s="29"/>
      <c r="G175" s="29"/>
      <c r="H175" s="29"/>
      <c r="I175" s="29"/>
      <c r="J175" s="29"/>
      <c r="K175" s="29"/>
      <c r="L175" s="29"/>
      <c r="M175" s="29"/>
      <c r="N175" s="37"/>
      <c r="O175" s="56"/>
      <c r="P175" s="37"/>
    </row>
    <row r="176" spans="1:16">
      <c r="A176" s="29"/>
      <c r="B176" s="54"/>
      <c r="C176" s="53"/>
      <c r="D176" s="53"/>
      <c r="E176" s="53"/>
      <c r="F176" s="29"/>
      <c r="G176" s="29"/>
      <c r="H176" s="29"/>
      <c r="I176" s="29"/>
      <c r="J176" s="29"/>
      <c r="K176" s="29"/>
      <c r="L176" s="29"/>
      <c r="M176" s="29"/>
      <c r="N176" s="37"/>
      <c r="O176" s="56"/>
      <c r="P176" s="37"/>
    </row>
    <row r="177" spans="1:16">
      <c r="A177" s="29"/>
      <c r="B177" s="54"/>
      <c r="C177" s="53"/>
      <c r="D177" s="53"/>
      <c r="E177" s="53"/>
      <c r="F177" s="29"/>
      <c r="G177" s="29"/>
      <c r="H177" s="29"/>
      <c r="I177" s="29"/>
      <c r="J177" s="29"/>
      <c r="K177" s="29"/>
      <c r="L177" s="29"/>
      <c r="M177" s="29"/>
      <c r="N177" s="37"/>
      <c r="O177" s="56"/>
      <c r="P177" s="37"/>
    </row>
    <row r="178" spans="1:16">
      <c r="A178" s="29"/>
      <c r="B178" s="54"/>
      <c r="C178" s="53"/>
      <c r="D178" s="53"/>
      <c r="E178" s="53"/>
      <c r="F178" s="29"/>
      <c r="G178" s="29"/>
      <c r="H178" s="29"/>
      <c r="I178" s="29"/>
      <c r="J178" s="29"/>
      <c r="K178" s="29"/>
      <c r="L178" s="29"/>
      <c r="M178" s="29"/>
      <c r="N178" s="37"/>
      <c r="O178" s="56"/>
      <c r="P178" s="37"/>
    </row>
    <row r="179" spans="1:16">
      <c r="A179" s="29"/>
      <c r="B179" s="54"/>
      <c r="C179" s="53"/>
      <c r="D179" s="53"/>
      <c r="E179" s="53"/>
      <c r="F179" s="29"/>
      <c r="G179" s="29"/>
      <c r="H179" s="29"/>
      <c r="I179" s="29"/>
      <c r="J179" s="29"/>
      <c r="K179" s="29"/>
      <c r="L179" s="29"/>
      <c r="M179" s="29"/>
      <c r="N179" s="37"/>
      <c r="O179" s="56"/>
      <c r="P179" s="37"/>
    </row>
    <row r="180" spans="1:16">
      <c r="A180" s="29"/>
      <c r="B180" s="54"/>
      <c r="C180" s="53"/>
      <c r="D180" s="53"/>
      <c r="E180" s="53"/>
      <c r="F180" s="29"/>
      <c r="G180" s="29"/>
      <c r="H180" s="29"/>
      <c r="I180" s="29"/>
      <c r="J180" s="29"/>
      <c r="K180" s="29"/>
      <c r="L180" s="29"/>
      <c r="M180" s="29"/>
      <c r="N180" s="37"/>
      <c r="O180" s="56"/>
      <c r="P180" s="37"/>
    </row>
    <row r="181" spans="1:16">
      <c r="A181" s="29"/>
      <c r="B181" s="54"/>
      <c r="C181" s="53"/>
      <c r="D181" s="53"/>
      <c r="E181" s="53"/>
      <c r="F181" s="29"/>
      <c r="G181" s="29"/>
      <c r="H181" s="29"/>
      <c r="I181" s="29"/>
      <c r="J181" s="29"/>
      <c r="K181" s="29"/>
      <c r="L181" s="29"/>
      <c r="M181" s="29"/>
      <c r="N181" s="37"/>
      <c r="O181" s="56"/>
      <c r="P181" s="37"/>
    </row>
    <row r="182" spans="1:16">
      <c r="A182" s="29"/>
      <c r="B182" s="54"/>
      <c r="C182" s="53"/>
      <c r="D182" s="53"/>
      <c r="E182" s="53"/>
      <c r="F182" s="29"/>
      <c r="G182" s="29"/>
      <c r="H182" s="29"/>
      <c r="I182" s="29"/>
      <c r="J182" s="29"/>
      <c r="K182" s="29"/>
      <c r="L182" s="29"/>
      <c r="M182" s="29"/>
      <c r="N182" s="37"/>
      <c r="O182" s="56"/>
      <c r="P182" s="37"/>
    </row>
    <row r="183" spans="1:16">
      <c r="A183" s="29"/>
      <c r="B183" s="54"/>
      <c r="C183" s="53"/>
      <c r="D183" s="53"/>
      <c r="E183" s="53"/>
      <c r="F183" s="29"/>
      <c r="G183" s="29"/>
      <c r="H183" s="29"/>
      <c r="I183" s="29"/>
      <c r="J183" s="29"/>
      <c r="K183" s="29"/>
      <c r="L183" s="29"/>
      <c r="M183" s="29"/>
      <c r="N183" s="37"/>
      <c r="O183" s="56"/>
      <c r="P183" s="37"/>
    </row>
    <row r="184" spans="1:16">
      <c r="A184" s="29"/>
      <c r="B184" s="54"/>
      <c r="C184" s="53"/>
      <c r="D184" s="53"/>
      <c r="E184" s="53"/>
      <c r="F184" s="29"/>
      <c r="G184" s="29"/>
      <c r="H184" s="29"/>
      <c r="I184" s="29"/>
      <c r="J184" s="29"/>
      <c r="K184" s="29"/>
      <c r="L184" s="29"/>
      <c r="M184" s="29"/>
      <c r="N184" s="37"/>
      <c r="O184" s="56"/>
      <c r="P184" s="37"/>
    </row>
    <row r="185" spans="1:16">
      <c r="A185" s="29"/>
      <c r="B185" s="54"/>
      <c r="C185" s="53"/>
      <c r="D185" s="53"/>
      <c r="E185" s="53"/>
      <c r="F185" s="29"/>
      <c r="G185" s="29"/>
      <c r="H185" s="29"/>
      <c r="I185" s="29"/>
      <c r="J185" s="29"/>
      <c r="K185" s="29"/>
      <c r="L185" s="29"/>
      <c r="M185" s="29"/>
      <c r="N185" s="37"/>
      <c r="O185" s="56"/>
      <c r="P185" s="37"/>
    </row>
    <row r="186" spans="1:16">
      <c r="A186" s="29"/>
      <c r="B186" s="54"/>
      <c r="C186" s="53"/>
      <c r="D186" s="53"/>
      <c r="E186" s="53"/>
      <c r="F186" s="29"/>
      <c r="G186" s="29"/>
      <c r="H186" s="29"/>
      <c r="I186" s="29"/>
      <c r="J186" s="29"/>
      <c r="K186" s="29"/>
      <c r="L186" s="29"/>
      <c r="M186" s="29"/>
      <c r="N186" s="37"/>
      <c r="O186" s="56"/>
      <c r="P186" s="37"/>
    </row>
    <row r="187" spans="1:16">
      <c r="A187" s="29"/>
      <c r="B187" s="54"/>
      <c r="C187" s="53"/>
      <c r="D187" s="53"/>
      <c r="E187" s="53"/>
      <c r="F187" s="29"/>
      <c r="G187" s="29"/>
      <c r="H187" s="29"/>
      <c r="I187" s="29"/>
      <c r="J187" s="29"/>
      <c r="K187" s="29"/>
      <c r="L187" s="29"/>
      <c r="M187" s="29"/>
      <c r="N187" s="37"/>
      <c r="O187" s="56"/>
      <c r="P187" s="37"/>
    </row>
    <row r="188" spans="1:16">
      <c r="A188" s="29"/>
      <c r="B188" s="54"/>
      <c r="C188" s="53"/>
      <c r="D188" s="53"/>
      <c r="E188" s="53"/>
      <c r="F188" s="29"/>
      <c r="G188" s="29"/>
      <c r="H188" s="29"/>
      <c r="I188" s="29"/>
      <c r="J188" s="29"/>
      <c r="K188" s="29"/>
      <c r="L188" s="29"/>
      <c r="M188" s="29"/>
      <c r="N188" s="37"/>
      <c r="O188" s="56"/>
      <c r="P188" s="37"/>
    </row>
    <row r="189" spans="1:16">
      <c r="A189" s="29"/>
      <c r="B189" s="54"/>
      <c r="C189" s="53"/>
      <c r="D189" s="53"/>
      <c r="E189" s="53"/>
      <c r="F189" s="29"/>
      <c r="G189" s="29"/>
      <c r="H189" s="29"/>
      <c r="I189" s="29"/>
      <c r="J189" s="29"/>
      <c r="K189" s="29"/>
      <c r="L189" s="29"/>
      <c r="M189" s="29"/>
      <c r="N189" s="37"/>
      <c r="O189" s="56"/>
      <c r="P189" s="37"/>
    </row>
    <row r="190" spans="1:16">
      <c r="A190" s="29"/>
      <c r="B190" s="54"/>
      <c r="C190" s="53"/>
      <c r="D190" s="53"/>
      <c r="E190" s="53"/>
      <c r="F190" s="29"/>
      <c r="G190" s="29"/>
      <c r="H190" s="29"/>
      <c r="I190" s="29"/>
      <c r="J190" s="29"/>
      <c r="K190" s="29"/>
      <c r="L190" s="29"/>
      <c r="M190" s="29"/>
      <c r="N190" s="37"/>
      <c r="O190" s="56"/>
      <c r="P190" s="37"/>
    </row>
    <row r="191" spans="1:16">
      <c r="A191" s="29"/>
      <c r="B191" s="54"/>
      <c r="C191" s="53"/>
      <c r="D191" s="53"/>
      <c r="E191" s="53"/>
      <c r="F191" s="29"/>
      <c r="G191" s="29"/>
      <c r="H191" s="29"/>
      <c r="I191" s="29"/>
      <c r="J191" s="29"/>
      <c r="K191" s="29"/>
      <c r="L191" s="29"/>
      <c r="M191" s="29"/>
      <c r="N191" s="37"/>
      <c r="O191" s="56"/>
      <c r="P191" s="37"/>
    </row>
    <row r="192" spans="1:16">
      <c r="A192" s="29"/>
      <c r="B192" s="54"/>
      <c r="C192" s="53"/>
      <c r="D192" s="53"/>
      <c r="E192" s="53"/>
      <c r="F192" s="29"/>
      <c r="G192" s="29"/>
      <c r="H192" s="29"/>
      <c r="I192" s="29"/>
      <c r="J192" s="29"/>
      <c r="K192" s="29"/>
      <c r="L192" s="29"/>
      <c r="M192" s="29"/>
      <c r="N192" s="37"/>
      <c r="O192" s="56"/>
      <c r="P192" s="37"/>
    </row>
    <row r="193" spans="1:16">
      <c r="A193" s="29"/>
      <c r="B193" s="54"/>
      <c r="C193" s="53"/>
      <c r="D193" s="53"/>
      <c r="E193" s="53"/>
      <c r="F193" s="29"/>
      <c r="G193" s="29"/>
      <c r="H193" s="29"/>
      <c r="I193" s="29"/>
      <c r="J193" s="29"/>
      <c r="K193" s="29"/>
      <c r="L193" s="29"/>
      <c r="M193" s="29"/>
      <c r="N193" s="37"/>
      <c r="O193" s="56"/>
      <c r="P193" s="37"/>
    </row>
    <row r="194" spans="1:16">
      <c r="A194" s="29"/>
      <c r="B194" s="54"/>
      <c r="C194" s="53"/>
      <c r="D194" s="53"/>
      <c r="E194" s="53"/>
      <c r="F194" s="29"/>
      <c r="G194" s="29"/>
      <c r="H194" s="29"/>
      <c r="I194" s="29"/>
      <c r="J194" s="29"/>
      <c r="K194" s="29"/>
      <c r="L194" s="29"/>
      <c r="M194" s="29"/>
      <c r="N194" s="37"/>
      <c r="O194" s="56"/>
      <c r="P194" s="37"/>
    </row>
    <row r="195" spans="1:16">
      <c r="A195" s="29"/>
      <c r="B195" s="54"/>
      <c r="C195" s="53"/>
      <c r="D195" s="53"/>
      <c r="E195" s="53"/>
      <c r="F195" s="29"/>
      <c r="G195" s="29"/>
      <c r="H195" s="29"/>
      <c r="I195" s="29"/>
      <c r="J195" s="29"/>
      <c r="K195" s="29"/>
      <c r="L195" s="29"/>
      <c r="M195" s="29"/>
      <c r="N195" s="37"/>
      <c r="O195" s="56"/>
      <c r="P195" s="37"/>
    </row>
    <row r="196" spans="1:16">
      <c r="A196" s="29"/>
      <c r="B196" s="54"/>
      <c r="C196" s="53"/>
      <c r="D196" s="53"/>
      <c r="E196" s="53"/>
      <c r="F196" s="29"/>
      <c r="G196" s="29"/>
      <c r="H196" s="29"/>
      <c r="I196" s="29"/>
      <c r="J196" s="29"/>
      <c r="K196" s="29"/>
      <c r="L196" s="29"/>
      <c r="M196" s="29"/>
      <c r="N196" s="37"/>
      <c r="O196" s="56"/>
      <c r="P196" s="37"/>
    </row>
    <row r="197" spans="1:16">
      <c r="A197" s="29"/>
      <c r="B197" s="54"/>
      <c r="C197" s="53"/>
      <c r="D197" s="53"/>
      <c r="E197" s="53"/>
      <c r="F197" s="29"/>
      <c r="G197" s="29"/>
      <c r="H197" s="29"/>
      <c r="I197" s="29"/>
      <c r="J197" s="29"/>
      <c r="K197" s="29"/>
      <c r="L197" s="29"/>
      <c r="M197" s="29"/>
      <c r="N197" s="37"/>
      <c r="O197" s="56"/>
      <c r="P197" s="37"/>
    </row>
    <row r="198" spans="1:16">
      <c r="A198" s="29"/>
      <c r="B198" s="54"/>
      <c r="C198" s="53"/>
      <c r="D198" s="53"/>
      <c r="E198" s="53"/>
      <c r="F198" s="29"/>
      <c r="G198" s="29"/>
      <c r="H198" s="29"/>
      <c r="I198" s="29"/>
      <c r="J198" s="29"/>
      <c r="K198" s="29"/>
      <c r="L198" s="29"/>
      <c r="M198" s="29"/>
      <c r="N198" s="37"/>
      <c r="O198" s="56"/>
      <c r="P198" s="37"/>
    </row>
    <row r="199" spans="1:16">
      <c r="A199" s="29"/>
      <c r="B199" s="54"/>
      <c r="C199" s="53"/>
      <c r="D199" s="53"/>
      <c r="E199" s="53"/>
      <c r="F199" s="29"/>
      <c r="G199" s="29"/>
      <c r="H199" s="29"/>
      <c r="I199" s="29"/>
      <c r="J199" s="29"/>
      <c r="K199" s="29"/>
      <c r="L199" s="29"/>
      <c r="M199" s="29"/>
      <c r="N199" s="37"/>
      <c r="O199" s="56"/>
      <c r="P199" s="37"/>
    </row>
    <row r="200" spans="1:16">
      <c r="A200" s="29"/>
      <c r="B200" s="54"/>
      <c r="C200" s="53"/>
      <c r="D200" s="53"/>
      <c r="E200" s="53"/>
      <c r="F200" s="29"/>
      <c r="G200" s="29"/>
      <c r="H200" s="29"/>
      <c r="I200" s="29"/>
      <c r="J200" s="29"/>
      <c r="K200" s="29"/>
      <c r="L200" s="29"/>
      <c r="M200" s="29"/>
      <c r="N200" s="37"/>
      <c r="O200" s="56"/>
      <c r="P200" s="37"/>
    </row>
    <row r="201" spans="1:16">
      <c r="A201" s="29"/>
      <c r="B201" s="54"/>
      <c r="C201" s="53"/>
      <c r="D201" s="53"/>
      <c r="E201" s="53"/>
      <c r="F201" s="29"/>
      <c r="G201" s="29"/>
      <c r="H201" s="29"/>
      <c r="I201" s="29"/>
      <c r="J201" s="29"/>
      <c r="K201" s="29"/>
      <c r="L201" s="29"/>
      <c r="M201" s="29"/>
      <c r="N201" s="37"/>
      <c r="O201" s="56"/>
      <c r="P201" s="37"/>
    </row>
    <row r="202" spans="1:16">
      <c r="A202" s="29"/>
      <c r="B202" s="54"/>
      <c r="C202" s="53"/>
      <c r="D202" s="53"/>
      <c r="E202" s="53"/>
      <c r="F202" s="29"/>
      <c r="G202" s="29"/>
      <c r="H202" s="29"/>
      <c r="I202" s="29"/>
      <c r="J202" s="29"/>
      <c r="K202" s="29"/>
      <c r="L202" s="29"/>
      <c r="M202" s="29"/>
      <c r="N202" s="37"/>
      <c r="O202" s="56"/>
      <c r="P202" s="37"/>
    </row>
    <row r="203" spans="1:16">
      <c r="A203" s="29"/>
      <c r="B203" s="54"/>
      <c r="C203" s="53"/>
      <c r="D203" s="53"/>
      <c r="E203" s="53"/>
      <c r="F203" s="29"/>
      <c r="G203" s="29"/>
      <c r="H203" s="29"/>
      <c r="I203" s="29"/>
      <c r="J203" s="29"/>
      <c r="K203" s="29"/>
      <c r="L203" s="29"/>
      <c r="M203" s="29"/>
      <c r="N203" s="37"/>
      <c r="O203" s="56"/>
      <c r="P203" s="37"/>
    </row>
    <row r="204" spans="1:16">
      <c r="A204" s="29"/>
      <c r="B204" s="54"/>
      <c r="C204" s="53"/>
      <c r="D204" s="53"/>
      <c r="E204" s="53"/>
      <c r="F204" s="29"/>
      <c r="G204" s="29"/>
      <c r="H204" s="29"/>
      <c r="I204" s="29"/>
      <c r="J204" s="29"/>
      <c r="K204" s="29"/>
      <c r="L204" s="29"/>
      <c r="M204" s="29"/>
      <c r="N204" s="37"/>
      <c r="O204" s="56"/>
      <c r="P204" s="37"/>
    </row>
    <row r="205" spans="1:16">
      <c r="A205" s="29"/>
      <c r="B205" s="54"/>
      <c r="C205" s="53"/>
      <c r="D205" s="53"/>
      <c r="E205" s="53"/>
      <c r="F205" s="29"/>
      <c r="G205" s="29"/>
      <c r="H205" s="29"/>
      <c r="I205" s="29"/>
      <c r="J205" s="29"/>
      <c r="K205" s="29"/>
      <c r="L205" s="29"/>
      <c r="M205" s="29"/>
      <c r="N205" s="37"/>
      <c r="O205" s="56"/>
      <c r="P205" s="37"/>
    </row>
    <row r="206" spans="1:16">
      <c r="A206" s="29"/>
      <c r="B206" s="54"/>
      <c r="C206" s="53"/>
      <c r="D206" s="53"/>
      <c r="E206" s="53"/>
      <c r="F206" s="29"/>
      <c r="G206" s="29"/>
      <c r="H206" s="29"/>
      <c r="I206" s="29"/>
      <c r="J206" s="29"/>
      <c r="K206" s="29"/>
      <c r="L206" s="29"/>
      <c r="M206" s="29"/>
      <c r="N206" s="37"/>
      <c r="O206" s="56"/>
      <c r="P206" s="37"/>
    </row>
    <row r="207" spans="1:16">
      <c r="A207" s="29"/>
      <c r="B207" s="54"/>
      <c r="C207" s="53"/>
      <c r="D207" s="53"/>
      <c r="E207" s="53"/>
      <c r="F207" s="29"/>
      <c r="G207" s="29"/>
      <c r="H207" s="29"/>
      <c r="I207" s="29"/>
      <c r="J207" s="29"/>
      <c r="K207" s="29"/>
      <c r="L207" s="29"/>
      <c r="M207" s="29"/>
      <c r="N207" s="37"/>
      <c r="O207" s="56"/>
      <c r="P207" s="37"/>
    </row>
    <row r="208" spans="1:16">
      <c r="A208" s="29"/>
      <c r="B208" s="54"/>
      <c r="C208" s="53"/>
      <c r="D208" s="53"/>
      <c r="E208" s="53"/>
      <c r="F208" s="29"/>
      <c r="G208" s="29"/>
      <c r="H208" s="29"/>
      <c r="I208" s="29"/>
      <c r="J208" s="29"/>
      <c r="K208" s="29"/>
      <c r="L208" s="29"/>
      <c r="M208" s="29"/>
      <c r="N208" s="37"/>
      <c r="O208" s="56"/>
      <c r="P208" s="37"/>
    </row>
    <row r="209" spans="1:16">
      <c r="A209" s="29"/>
      <c r="B209" s="54"/>
      <c r="C209" s="53"/>
      <c r="D209" s="53"/>
      <c r="E209" s="53"/>
      <c r="F209" s="29"/>
      <c r="G209" s="29"/>
      <c r="H209" s="29"/>
      <c r="I209" s="29"/>
      <c r="J209" s="29"/>
      <c r="K209" s="29"/>
      <c r="L209" s="29"/>
      <c r="M209" s="29"/>
      <c r="N209" s="37"/>
      <c r="O209" s="56"/>
      <c r="P209" s="37"/>
    </row>
    <row r="210" spans="1:16">
      <c r="A210" s="29"/>
      <c r="B210" s="54"/>
      <c r="C210" s="53"/>
      <c r="D210" s="53"/>
      <c r="E210" s="53"/>
      <c r="F210" s="29"/>
      <c r="G210" s="29"/>
      <c r="H210" s="29"/>
      <c r="I210" s="29"/>
      <c r="J210" s="29"/>
      <c r="K210" s="29"/>
      <c r="L210" s="29"/>
      <c r="M210" s="29"/>
      <c r="N210" s="37"/>
      <c r="O210" s="56"/>
      <c r="P210" s="37"/>
    </row>
    <row r="211" spans="1:16">
      <c r="A211" s="29"/>
      <c r="B211" s="54"/>
      <c r="C211" s="53"/>
      <c r="D211" s="53"/>
      <c r="E211" s="53"/>
      <c r="F211" s="29"/>
      <c r="G211" s="29"/>
      <c r="H211" s="29"/>
      <c r="I211" s="29"/>
      <c r="J211" s="29"/>
      <c r="K211" s="29"/>
      <c r="L211" s="29"/>
      <c r="M211" s="29"/>
      <c r="N211" s="37"/>
      <c r="O211" s="56"/>
      <c r="P211" s="37"/>
    </row>
  </sheetData>
  <mergeCells count="3">
    <mergeCell ref="N1:P2"/>
    <mergeCell ref="A1:I2"/>
    <mergeCell ref="J1:M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F78:F211</xm:sqref>
        </x14:dataValidation>
        <x14:dataValidation type="list" allowBlank="1" showInputMessage="1" showErrorMessage="1" xr:uid="{814046D8-0D01-4803-92BA-E5A904CCFC14}">
          <x14:formula1>
            <xm:f>'Validación datos NO BORRAR'!$F$4:$F$7</xm:f>
          </x14:formula1>
          <xm:sqref>G78:G211</xm:sqref>
        </x14:dataValidation>
        <x14:dataValidation type="list" allowBlank="1" showInputMessage="1" showErrorMessage="1" xr:uid="{EEE5D106-6DEF-4A5D-9A4C-E1CD814D0053}">
          <x14:formula1>
            <xm:f>'Validación datos NO BORRAR'!$G$4:$G$6</xm:f>
          </x14:formula1>
          <xm:sqref>I78:I154</xm:sqref>
        </x14:dataValidation>
        <x14:dataValidation type="list" allowBlank="1" showInputMessage="1" showErrorMessage="1" xr:uid="{5981835F-D36D-4992-9119-6192405E2844}">
          <x14:formula1>
            <xm:f>'Validación datos NO BORRAR'!$H$4:$H$7</xm:f>
          </x14:formula1>
          <xm:sqref>J78:M211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N4"/>
  <sheetViews>
    <sheetView workbookViewId="0">
      <selection activeCell="F6" sqref="F6"/>
    </sheetView>
  </sheetViews>
  <sheetFormatPr defaultColWidth="11.42578125" defaultRowHeight="15"/>
  <cols>
    <col min="1" max="1" width="18.85546875" customWidth="1"/>
    <col min="2" max="3" width="28.140625" customWidth="1"/>
    <col min="4" max="4" width="20.42578125" customWidth="1"/>
    <col min="5" max="5" width="20.140625" customWidth="1"/>
    <col min="6" max="6" width="20.7109375" customWidth="1"/>
    <col min="7" max="7" width="18.7109375" customWidth="1"/>
    <col min="8" max="10" width="14" customWidth="1"/>
  </cols>
  <sheetData>
    <row r="1" spans="1:14" ht="195" customHeight="1">
      <c r="D1" s="137" t="s">
        <v>257</v>
      </c>
      <c r="E1" s="138"/>
      <c r="F1" s="138"/>
      <c r="G1" s="139"/>
      <c r="H1" s="123" t="s">
        <v>258</v>
      </c>
      <c r="I1" s="123"/>
      <c r="J1" s="123"/>
    </row>
    <row r="2" spans="1:14" ht="75" customHeight="1">
      <c r="A2" s="84" t="s">
        <v>259</v>
      </c>
      <c r="B2" s="74" t="s">
        <v>260</v>
      </c>
      <c r="C2" s="74" t="s">
        <v>261</v>
      </c>
      <c r="D2" s="85" t="s">
        <v>54</v>
      </c>
      <c r="E2" s="85" t="s">
        <v>55</v>
      </c>
      <c r="F2" s="140" t="s">
        <v>262</v>
      </c>
      <c r="G2" s="141"/>
      <c r="H2" s="142"/>
      <c r="I2" s="140" t="s">
        <v>57</v>
      </c>
      <c r="J2" s="141"/>
      <c r="K2" s="142"/>
      <c r="L2" s="86" t="s">
        <v>263</v>
      </c>
      <c r="M2" s="86" t="s">
        <v>264</v>
      </c>
      <c r="N2" s="87" t="s">
        <v>265</v>
      </c>
    </row>
    <row r="3" spans="1:14">
      <c r="A3" s="143">
        <v>72</v>
      </c>
      <c r="B3" s="134">
        <v>71</v>
      </c>
      <c r="C3" s="145">
        <v>0.98599999999999999</v>
      </c>
      <c r="D3" s="134">
        <v>2</v>
      </c>
      <c r="E3" s="134">
        <v>2</v>
      </c>
      <c r="F3" s="65" t="s">
        <v>266</v>
      </c>
      <c r="G3" s="65" t="s">
        <v>267</v>
      </c>
      <c r="H3" s="65" t="s">
        <v>268</v>
      </c>
      <c r="I3" s="65" t="s">
        <v>266</v>
      </c>
      <c r="J3" s="65" t="s">
        <v>267</v>
      </c>
      <c r="K3" s="65" t="s">
        <v>268</v>
      </c>
      <c r="L3" s="134">
        <v>32</v>
      </c>
      <c r="M3" s="136">
        <v>0.34</v>
      </c>
      <c r="N3" s="88"/>
    </row>
    <row r="4" spans="1:14">
      <c r="A4" s="144"/>
      <c r="B4" s="135"/>
      <c r="C4" s="135"/>
      <c r="D4" s="135"/>
      <c r="E4" s="135"/>
      <c r="F4" s="65">
        <v>0</v>
      </c>
      <c r="G4" s="65">
        <v>0</v>
      </c>
      <c r="H4" s="65">
        <v>0</v>
      </c>
      <c r="I4" s="65">
        <v>1</v>
      </c>
      <c r="J4" s="65">
        <v>4</v>
      </c>
      <c r="K4" s="65">
        <v>2</v>
      </c>
      <c r="L4" s="135"/>
      <c r="M4" s="135"/>
      <c r="N4" s="89" t="s">
        <v>269</v>
      </c>
    </row>
  </sheetData>
  <mergeCells count="11">
    <mergeCell ref="A3:A4"/>
    <mergeCell ref="B3:B4"/>
    <mergeCell ref="C3:C4"/>
    <mergeCell ref="D3:D4"/>
    <mergeCell ref="E3:E4"/>
    <mergeCell ref="L3:L4"/>
    <mergeCell ref="M3:M4"/>
    <mergeCell ref="H1:J1"/>
    <mergeCell ref="D1:G1"/>
    <mergeCell ref="F2:H2"/>
    <mergeCell ref="I2:K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3EB831B7-BB0B-432A-A9C0-6CD005F75D2E}">
          <x14:formula1>
            <xm:f>'Validación datos NO BORRAR'!$H$4:$H$8</xm:f>
          </x14:formula1>
          <xm:sqref>A39:C203 D14:G203</xm:sqref>
        </x14:dataValidation>
        <x14:dataValidation type="list" allowBlank="1" showInputMessage="1" showErrorMessage="1" xr:uid="{9192FB3A-A021-42D8-866C-14A7817A528A}">
          <x14:formula1>
            <xm:f>'Validación datos NO BORRAR'!$H$4:$H12</xm:f>
          </x14:formula1>
          <xm:sqref>D9:G13</xm:sqref>
        </x14:dataValidation>
        <x14:dataValidation type="list" allowBlank="1" showInputMessage="1" showErrorMessage="1" xr:uid="{F17AE533-A72A-4732-9E4F-B84AD7827990}">
          <x14:formula1>
            <xm:f>'Validación datos NO BORRAR'!$H$4:$H9</xm:f>
          </x14:formula1>
          <xm:sqref>D5:G8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H15" sqref="H15"/>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46"/>
    </row>
    <row r="2" spans="5:8" ht="64.5" customHeight="1">
      <c r="H2" s="43"/>
    </row>
    <row r="3" spans="5:8">
      <c r="E3" s="30" t="s">
        <v>270</v>
      </c>
      <c r="F3" s="31" t="s">
        <v>51</v>
      </c>
      <c r="G3" s="31" t="s">
        <v>271</v>
      </c>
      <c r="H3" s="47" t="s">
        <v>272</v>
      </c>
    </row>
    <row r="4" spans="5:8">
      <c r="E4" s="29" t="s">
        <v>64</v>
      </c>
      <c r="F4" s="32" t="s">
        <v>273</v>
      </c>
      <c r="G4" s="29" t="s">
        <v>274</v>
      </c>
      <c r="H4" s="35">
        <v>1</v>
      </c>
    </row>
    <row r="5" spans="5:8">
      <c r="E5" s="29" t="s">
        <v>275</v>
      </c>
      <c r="F5" s="32" t="s">
        <v>127</v>
      </c>
      <c r="G5" s="29" t="s">
        <v>276</v>
      </c>
      <c r="H5" s="35">
        <v>2</v>
      </c>
    </row>
    <row r="6" spans="5:8">
      <c r="E6" s="29" t="s">
        <v>277</v>
      </c>
      <c r="F6" s="32" t="s">
        <v>278</v>
      </c>
      <c r="G6" s="29" t="s">
        <v>94</v>
      </c>
      <c r="H6" s="35">
        <v>3</v>
      </c>
    </row>
    <row r="7" spans="5:8">
      <c r="E7" s="29" t="s">
        <v>228</v>
      </c>
      <c r="F7" s="29" t="s">
        <v>94</v>
      </c>
      <c r="G7" s="29"/>
      <c r="H7" s="35">
        <v>4</v>
      </c>
    </row>
    <row r="8" spans="5:8">
      <c r="E8" s="29" t="s">
        <v>279</v>
      </c>
      <c r="F8" s="29"/>
      <c r="G8" s="29"/>
      <c r="H8" s="35">
        <v>0</v>
      </c>
    </row>
    <row r="9" spans="5:8">
      <c r="E9" s="29" t="s">
        <v>280</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281</v>
      </c>
      <c r="C1" t="s">
        <v>282</v>
      </c>
    </row>
    <row r="2" spans="1:3" ht="15.75">
      <c r="A2" s="4" t="s">
        <v>283</v>
      </c>
      <c r="C2" t="s">
        <v>284</v>
      </c>
    </row>
    <row r="3" spans="1:3" ht="15.75">
      <c r="A3" s="4" t="s">
        <v>285</v>
      </c>
    </row>
    <row r="4" spans="1:3" ht="15.75">
      <c r="A4" s="4" t="s">
        <v>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382B-0991-48D7-936B-7CECE9A45AE0}">
  <dimension ref="A1:L13"/>
  <sheetViews>
    <sheetView tabSelected="1" workbookViewId="0">
      <selection activeCell="D13" sqref="D13:K13"/>
    </sheetView>
  </sheetViews>
  <sheetFormatPr defaultRowHeight="15"/>
  <cols>
    <col min="2" max="2" width="48.140625" customWidth="1"/>
    <col min="3" max="3" width="44.7109375" customWidth="1"/>
    <col min="11" max="11" width="37.7109375" customWidth="1"/>
    <col min="12" max="12" width="62.85546875" customWidth="1"/>
  </cols>
  <sheetData>
    <row r="1" spans="1:12">
      <c r="A1" s="90"/>
      <c r="B1" s="149"/>
      <c r="C1" s="150"/>
      <c r="D1" s="150"/>
      <c r="E1" s="150"/>
      <c r="F1" s="150"/>
      <c r="G1" s="150"/>
      <c r="H1" s="150"/>
      <c r="I1" s="150"/>
      <c r="J1" s="150"/>
      <c r="K1" s="150"/>
      <c r="L1" s="151"/>
    </row>
    <row r="2" spans="1:12" s="59" customFormat="1">
      <c r="A2" s="91"/>
      <c r="B2" s="152" t="s">
        <v>287</v>
      </c>
      <c r="C2" s="153"/>
      <c r="D2" s="153"/>
      <c r="E2" s="153"/>
      <c r="F2" s="153"/>
      <c r="G2" s="153"/>
      <c r="H2" s="153"/>
      <c r="I2" s="153"/>
      <c r="J2" s="153"/>
      <c r="K2" s="153"/>
      <c r="L2" s="154"/>
    </row>
    <row r="3" spans="1:12" s="59" customFormat="1">
      <c r="A3" s="91"/>
      <c r="B3" s="152" t="s">
        <v>288</v>
      </c>
      <c r="C3" s="153"/>
      <c r="D3" s="153"/>
      <c r="E3" s="153"/>
      <c r="F3" s="153"/>
      <c r="G3" s="153"/>
      <c r="H3" s="153"/>
      <c r="I3" s="153"/>
      <c r="J3" s="153"/>
      <c r="K3" s="153"/>
      <c r="L3" s="154"/>
    </row>
    <row r="4" spans="1:12" s="59" customFormat="1">
      <c r="A4" s="91"/>
      <c r="B4" s="152" t="s">
        <v>289</v>
      </c>
      <c r="C4" s="153"/>
      <c r="D4" s="153"/>
      <c r="E4" s="153"/>
      <c r="F4" s="153"/>
      <c r="G4" s="153"/>
      <c r="H4" s="153"/>
      <c r="I4" s="153"/>
      <c r="J4" s="153"/>
      <c r="K4" s="153"/>
      <c r="L4" s="154"/>
    </row>
    <row r="5" spans="1:12">
      <c r="A5" s="91"/>
      <c r="B5" s="146"/>
      <c r="C5" s="147"/>
      <c r="D5" s="147"/>
      <c r="E5" s="147"/>
      <c r="F5" s="147"/>
      <c r="G5" s="147"/>
      <c r="H5" s="147"/>
      <c r="I5" s="147"/>
      <c r="J5" s="147"/>
      <c r="K5" s="147"/>
      <c r="L5" s="148"/>
    </row>
    <row r="6" spans="1:12">
      <c r="A6" s="91"/>
      <c r="B6" s="146"/>
      <c r="C6" s="147"/>
      <c r="D6" s="147"/>
      <c r="E6" s="147"/>
      <c r="F6" s="147"/>
      <c r="G6" s="147"/>
      <c r="H6" s="147"/>
      <c r="I6" s="147"/>
      <c r="J6" s="147"/>
      <c r="K6" s="147"/>
      <c r="L6" s="148"/>
    </row>
    <row r="7" spans="1:12">
      <c r="A7" s="91"/>
      <c r="B7" s="158" t="s">
        <v>290</v>
      </c>
      <c r="C7" s="159"/>
      <c r="D7" s="159"/>
      <c r="E7" s="159"/>
      <c r="F7" s="159"/>
      <c r="G7" s="159"/>
      <c r="H7" s="159"/>
      <c r="I7" s="159"/>
      <c r="J7" s="159"/>
      <c r="K7" s="159"/>
      <c r="L7" s="160"/>
    </row>
    <row r="8" spans="1:12">
      <c r="A8" s="92"/>
      <c r="B8" s="161" t="s">
        <v>291</v>
      </c>
      <c r="C8" s="162"/>
      <c r="D8" s="162"/>
      <c r="E8" s="162"/>
      <c r="F8" s="162"/>
      <c r="G8" s="162"/>
      <c r="H8" s="162"/>
      <c r="I8" s="162"/>
      <c r="J8" s="162"/>
      <c r="K8" s="162"/>
      <c r="L8" s="163"/>
    </row>
    <row r="9" spans="1:12">
      <c r="A9" s="92"/>
      <c r="B9" s="164" t="s">
        <v>292</v>
      </c>
      <c r="C9" s="165"/>
      <c r="D9" s="165"/>
      <c r="E9" s="165"/>
      <c r="F9" s="165"/>
      <c r="G9" s="165"/>
      <c r="H9" s="165"/>
      <c r="I9" s="165"/>
      <c r="J9" s="165"/>
      <c r="K9" s="165"/>
      <c r="L9" s="166"/>
    </row>
    <row r="10" spans="1:12">
      <c r="A10" s="92"/>
      <c r="B10" s="93" t="s">
        <v>293</v>
      </c>
      <c r="C10" s="93" t="s">
        <v>294</v>
      </c>
      <c r="D10" s="161" t="s">
        <v>295</v>
      </c>
      <c r="E10" s="162"/>
      <c r="F10" s="162"/>
      <c r="G10" s="162"/>
      <c r="H10" s="162"/>
      <c r="I10" s="162"/>
      <c r="J10" s="162"/>
      <c r="K10" s="163"/>
      <c r="L10" s="93" t="s">
        <v>296</v>
      </c>
    </row>
    <row r="11" spans="1:12" ht="94.5" customHeight="1">
      <c r="A11" s="92"/>
      <c r="B11" s="93" t="s">
        <v>297</v>
      </c>
      <c r="C11" s="93" t="s">
        <v>298</v>
      </c>
      <c r="D11" s="167" t="s">
        <v>299</v>
      </c>
      <c r="E11" s="156"/>
      <c r="F11" s="156"/>
      <c r="G11" s="156"/>
      <c r="H11" s="156"/>
      <c r="I11" s="156"/>
      <c r="J11" s="156"/>
      <c r="K11" s="157"/>
      <c r="L11" s="94" t="s">
        <v>300</v>
      </c>
    </row>
    <row r="12" spans="1:12" ht="60" customHeight="1">
      <c r="A12" s="92"/>
      <c r="B12" s="93" t="s">
        <v>301</v>
      </c>
      <c r="C12" s="93" t="s">
        <v>302</v>
      </c>
      <c r="D12" s="155" t="s">
        <v>303</v>
      </c>
      <c r="E12" s="156"/>
      <c r="F12" s="156"/>
      <c r="G12" s="156"/>
      <c r="H12" s="156"/>
      <c r="I12" s="156"/>
      <c r="J12" s="156"/>
      <c r="K12" s="157"/>
      <c r="L12" s="94" t="s">
        <v>304</v>
      </c>
    </row>
    <row r="13" spans="1:12" ht="45" customHeight="1">
      <c r="A13" s="62"/>
      <c r="B13" s="93" t="s">
        <v>305</v>
      </c>
      <c r="C13" s="93" t="s">
        <v>306</v>
      </c>
      <c r="D13" s="155" t="s">
        <v>307</v>
      </c>
      <c r="E13" s="156"/>
      <c r="F13" s="156"/>
      <c r="G13" s="156"/>
      <c r="H13" s="156"/>
      <c r="I13" s="156"/>
      <c r="J13" s="156"/>
      <c r="K13" s="157"/>
      <c r="L13" s="95" t="s">
        <v>308</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CENTRO DE EVALUACION PARA LA FORMACION ACADEMICA</cp:lastModifiedBy>
  <cp:revision/>
  <dcterms:created xsi:type="dcterms:W3CDTF">2024-06-12T20:22:02Z</dcterms:created>
  <dcterms:modified xsi:type="dcterms:W3CDTF">2025-07-18T20:54:16Z</dcterms:modified>
  <cp:category/>
  <cp:contentStatus/>
</cp:coreProperties>
</file>