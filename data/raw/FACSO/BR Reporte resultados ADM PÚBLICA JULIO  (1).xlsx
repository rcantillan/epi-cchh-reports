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2"/>
  <workbookPr/>
  <mc:AlternateContent xmlns:mc="http://schemas.openxmlformats.org/markup-compatibility/2006">
    <mc:Choice Requires="x15">
      <x15ac:absPath xmlns:x15ac="http://schemas.microsoft.com/office/spreadsheetml/2010/11/ac" url="C:\Users\vubal\Dropbox\UAH 2025\EPI 2025\Formatos excel result por carrera\FACSO\"/>
    </mc:Choice>
  </mc:AlternateContent>
  <xr:revisionPtr revIDLastSave="33" documentId="8_{D559FE5E-20D3-4714-96CB-DF7F144422A6}" xr6:coauthVersionLast="47" xr6:coauthVersionMax="47" xr10:uidLastSave="{9AB6193B-BE20-427A-9752-A3126B744DBF}"/>
  <bookViews>
    <workbookView xWindow="28680" yWindow="-120" windowWidth="24240" windowHeight="13140" firstSheet="2"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HOJA 6" sheetId="7" r:id="rId6"/>
    <sheet name="Hoja1" sheetId="3" state="hidden" r:id="rId7"/>
  </sheets>
  <definedNames>
    <definedName name="_xlnm._FilterDatabase" localSheetId="2" hidden="1">'Resultados Individuales'!$A$3:$S$118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4" i="2" l="1"/>
  <c r="K5" i="4"/>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82" i="2"/>
  <c r="Q81" i="2"/>
  <c r="Q80" i="2"/>
  <c r="Q79" i="2"/>
  <c r="Q78" i="2"/>
  <c r="Q77" i="2"/>
  <c r="Q76" i="2"/>
  <c r="Q75" i="2"/>
  <c r="Q74" i="2"/>
  <c r="Q73" i="2"/>
  <c r="Q72" i="2"/>
  <c r="Q71" i="2"/>
  <c r="Q70" i="2"/>
  <c r="Q69" i="2"/>
  <c r="Q68" i="2"/>
  <c r="Q67" i="2"/>
  <c r="Q66" i="2"/>
  <c r="Q65" i="2"/>
  <c r="K4" i="4"/>
  <c r="Q58" i="2"/>
  <c r="Q61" i="2"/>
  <c r="Q64" i="2"/>
  <c r="Q63" i="2"/>
  <c r="Q62" i="2"/>
  <c r="Q60" i="2"/>
  <c r="Q59" i="2"/>
  <c r="Q57" i="2"/>
  <c r="Q56" i="2"/>
  <c r="Q55" i="2"/>
  <c r="Q52" i="2"/>
  <c r="Q51" i="2"/>
  <c r="Q50" i="2"/>
  <c r="Q49" i="2"/>
  <c r="Q48" i="2"/>
  <c r="Q47" i="2"/>
  <c r="Q46" i="2"/>
  <c r="Q45" i="2"/>
  <c r="Q44" i="2"/>
  <c r="Q42" i="2"/>
  <c r="Q40" i="2"/>
  <c r="Q38" i="2"/>
  <c r="Q37" i="2"/>
  <c r="Q36" i="2"/>
  <c r="Q35" i="2"/>
  <c r="Q33" i="2"/>
  <c r="Q32" i="2"/>
  <c r="Q31" i="2"/>
  <c r="Q30" i="2"/>
  <c r="Q29" i="2"/>
  <c r="Q27" i="2"/>
  <c r="Q25" i="2"/>
  <c r="Q24" i="2"/>
  <c r="Q22" i="2"/>
  <c r="Q21" i="2"/>
  <c r="Q20" i="2"/>
  <c r="Q19" i="2"/>
  <c r="Q18" i="2"/>
  <c r="Q16" i="2"/>
  <c r="Q14" i="2"/>
  <c r="Q13" i="2"/>
  <c r="Q11" i="2"/>
  <c r="Q9" i="2"/>
  <c r="Q8" i="2"/>
  <c r="Q7" i="2"/>
  <c r="Q6" i="2"/>
  <c r="Q54" i="2"/>
  <c r="Q53" i="2"/>
  <c r="Q43" i="2"/>
  <c r="Q41" i="2"/>
  <c r="Q39" i="2"/>
  <c r="Q28" i="2"/>
  <c r="Q26" i="2"/>
  <c r="Q23" i="2"/>
  <c r="Q17" i="2"/>
  <c r="Q15" i="2"/>
  <c r="Q12" i="2"/>
  <c r="Q10" i="2"/>
  <c r="Q5" i="2"/>
  <c r="Q4" i="2"/>
</calcChain>
</file>

<file path=xl/sharedStrings.xml><?xml version="1.0" encoding="utf-8"?>
<sst xmlns="http://schemas.openxmlformats.org/spreadsheetml/2006/main" count="1297" uniqueCount="636">
  <si>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</si>
  <si>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</si>
  <si>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</si>
  <si>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</si>
  <si>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</si>
  <si>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</si>
  <si>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</si>
  <si>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</si>
  <si>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</si>
  <si>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</si>
  <si>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</si>
  <si>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</si>
  <si>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</si>
  <si>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</si>
  <si>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</si>
  <si>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</si>
  <si>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</si>
  <si>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</si>
  <si>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</si>
  <si>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</si>
  <si>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</si>
  <si>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</si>
  <si>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</si>
  <si>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</si>
  <si>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</si>
  <si>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</si>
  <si>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</si>
  <si>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</si>
  <si>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</si>
  <si>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</si>
  <si>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</si>
  <si>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</si>
  <si>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</si>
  <si>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</si>
  <si>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</si>
  <si>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</si>
  <si>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</si>
  <si>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</si>
  <si>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</si>
  <si>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</si>
  <si>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</si>
  <si>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</si>
  <si>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r>
      <rPr>
        <b/>
        <u/>
        <sz val="11"/>
        <color theme="1"/>
        <rFont val="Aptos Narrow"/>
        <family val="2"/>
        <scheme val="minor"/>
      </rPr>
      <t xml:space="preserve">
</t>
    </r>
    <r>
      <rPr>
        <b/>
        <u/>
        <sz val="12"/>
        <color theme="1"/>
        <rFont val="Aptos Narrow"/>
        <family val="2"/>
        <scheme val="minor"/>
      </rPr>
      <t xml:space="preserve">Actividad problema </t>
    </r>
    <r>
      <rPr>
        <sz val="11"/>
        <color theme="1"/>
        <rFont val="Aptos Narrow"/>
        <family val="2"/>
        <scheme val="minor"/>
      </rPr>
      <t xml:space="preserve">
</t>
    </r>
    <r>
      <rPr>
        <i/>
        <sz val="11"/>
        <color theme="1"/>
        <rFont val="Aptos Narrow"/>
        <family val="2"/>
        <scheme val="minor"/>
      </rPr>
      <t xml:space="preserve">En la situación de evaluación 
No registra/ausencia: 0 puntos
Bajo: 1 puntos
Medio: 2 puntos
Satisfactorio: 3 puntos
</t>
    </r>
  </si>
  <si>
    <t>Resultado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</si>
  <si>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</si>
  <si>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</si>
  <si>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</si>
  <si>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</si>
  <si>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</si>
  <si>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</si>
  <si>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</si>
  <si>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</si>
  <si>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</si>
  <si>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</si>
  <si>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r>
      <rPr>
        <b/>
        <u/>
        <sz val="11"/>
        <color theme="1"/>
        <rFont val="Aptos Narrow"/>
        <family val="2"/>
        <scheme val="minor"/>
      </rPr>
      <t xml:space="preserve"> Dimensión 1</t>
    </r>
    <r>
      <rPr>
        <b/>
        <sz val="11"/>
        <color theme="1"/>
        <rFont val="Aptos Narrow"/>
        <family val="2"/>
        <scheme val="minor"/>
      </rPr>
      <t xml:space="preserve">
Reconocimiento de los contextos políticos </t>
    </r>
  </si>
  <si>
    <r>
      <rPr>
        <b/>
        <u/>
        <sz val="11"/>
        <color theme="1"/>
        <rFont val="Aptos Narrow"/>
        <family val="2"/>
        <scheme val="minor"/>
      </rPr>
      <t>Dimensión 2</t>
    </r>
    <r>
      <rPr>
        <b/>
        <sz val="11"/>
        <color theme="1"/>
        <rFont val="Aptos Narrow"/>
        <family val="2"/>
        <scheme val="minor"/>
      </rPr>
      <t xml:space="preserve"> Argumentación autónoma </t>
    </r>
  </si>
  <si>
    <r>
      <rPr>
        <b/>
        <u/>
        <sz val="11"/>
        <color theme="1"/>
        <rFont val="Aptos Narrow"/>
        <family val="2"/>
        <scheme val="minor"/>
      </rPr>
      <t>Dimensión  3</t>
    </r>
    <r>
      <rPr>
        <b/>
        <sz val="11"/>
        <color theme="1"/>
        <rFont val="Aptos Narrow"/>
        <family val="2"/>
        <scheme val="minor"/>
      </rPr>
      <t xml:space="preserve">
Identificar las dimensiones del Estado</t>
    </r>
  </si>
  <si>
    <r>
      <rPr>
        <b/>
        <u/>
        <sz val="11"/>
        <color theme="1"/>
        <rFont val="Aptos Narrow"/>
        <family val="2"/>
        <scheme val="minor"/>
      </rPr>
      <t>Dimensión 4</t>
    </r>
    <r>
      <rPr>
        <b/>
        <sz val="11"/>
        <color theme="1"/>
        <rFont val="Aptos Narrow"/>
        <family val="2"/>
        <scheme val="minor"/>
      </rPr>
      <t xml:space="preserve">
Uso de recursos</t>
    </r>
  </si>
  <si>
    <r>
      <rPr>
        <b/>
        <u/>
        <sz val="11"/>
        <color theme="1"/>
        <rFont val="Aptos Narrow"/>
        <family val="2"/>
        <scheme val="minor"/>
      </rPr>
      <t>Dimensión 5</t>
    </r>
    <r>
      <rPr>
        <b/>
        <sz val="11"/>
        <color theme="1"/>
        <rFont val="Aptos Narrow"/>
        <family val="2"/>
        <scheme val="minor"/>
      </rPr>
      <t xml:space="preserve">
Viablidad administrativa legal</t>
    </r>
  </si>
  <si>
    <r>
      <rPr>
        <b/>
        <u/>
        <sz val="11"/>
        <color theme="1"/>
        <rFont val="Aptos Narrow"/>
        <family val="2"/>
        <scheme val="minor"/>
      </rPr>
      <t>Dimensión 6</t>
    </r>
    <r>
      <rPr>
        <b/>
        <sz val="11"/>
        <color theme="1"/>
        <rFont val="Aptos Narrow"/>
        <family val="2"/>
        <scheme val="minor"/>
      </rPr>
      <t xml:space="preserve">
Aspectos formales</t>
    </r>
  </si>
  <si>
    <t>PUNTAJE TOTAL ESTUDIANTE</t>
  </si>
  <si>
    <t>PORCENTAJE DE LOGRO</t>
  </si>
  <si>
    <t>CATEGORÍA RESULTADO GLOBAL ESTUDIANTE</t>
  </si>
  <si>
    <t>20119806</t>
  </si>
  <si>
    <t>2</t>
  </si>
  <si>
    <t>PABLO ERNESTO  ARRIAGADA</t>
  </si>
  <si>
    <t>ARRIAGADA</t>
  </si>
  <si>
    <t>PABLO ERNESTO</t>
  </si>
  <si>
    <t>Retracto</t>
  </si>
  <si>
    <t>No aplica</t>
  </si>
  <si>
    <t>No registra</t>
  </si>
  <si>
    <t>20679778</t>
  </si>
  <si>
    <t>9</t>
  </si>
  <si>
    <t>VALENTINA PAZ AGUILERA SÁNCHEZ</t>
  </si>
  <si>
    <t>AGUILERA</t>
  </si>
  <si>
    <t>SÁNCHEZ</t>
  </si>
  <si>
    <t>VALENTINA PAZ</t>
  </si>
  <si>
    <t>20879442</t>
  </si>
  <si>
    <t>6</t>
  </si>
  <si>
    <t>FERNANDA DENISSE ALVARADO CARREÑO</t>
  </si>
  <si>
    <t>ALVARADO</t>
  </si>
  <si>
    <t>CARREÑO</t>
  </si>
  <si>
    <t>FERNANDA DENISSE</t>
  </si>
  <si>
    <t>Avance curricular suficiente o adecuado para evaluar ciclo básico</t>
  </si>
  <si>
    <t xml:space="preserve">Rendida </t>
  </si>
  <si>
    <t>OPTIMO</t>
  </si>
  <si>
    <t>21155128</t>
  </si>
  <si>
    <t>3</t>
  </si>
  <si>
    <t>VICENTE ANTONIO ARÉVALO GARCÍA</t>
  </si>
  <si>
    <t>ARÉVALO</t>
  </si>
  <si>
    <t>GARCÍA</t>
  </si>
  <si>
    <t>VICENTE ANTONIO</t>
  </si>
  <si>
    <t>SATISFACTORIO</t>
  </si>
  <si>
    <t>20418129</t>
  </si>
  <si>
    <t>NATALIA SOFIA AVILEZ LABRA</t>
  </si>
  <si>
    <t>AVILEZ</t>
  </si>
  <si>
    <t>LABRA</t>
  </si>
  <si>
    <t>NATALIA SOFIA</t>
  </si>
  <si>
    <t>18738604</t>
  </si>
  <si>
    <t>7</t>
  </si>
  <si>
    <t>DAVID ANDRÉS AYALA MUÑOZ</t>
  </si>
  <si>
    <t>AYALA</t>
  </si>
  <si>
    <t>MUÑOZ</t>
  </si>
  <si>
    <t>DAVID ANDRÉS</t>
  </si>
  <si>
    <t>20473257</t>
  </si>
  <si>
    <t>4</t>
  </si>
  <si>
    <t>DIEGO ALONSO BIGNON ABARCIA</t>
  </si>
  <si>
    <t>BIGNON</t>
  </si>
  <si>
    <t>ABARCIA</t>
  </si>
  <si>
    <t>DIEGO ALONSO</t>
  </si>
  <si>
    <t>21492583</t>
  </si>
  <si>
    <t>CAMILA FERNANDA CABALLERO MORALES</t>
  </si>
  <si>
    <t>CABALLERO</t>
  </si>
  <si>
    <t>MORALES</t>
  </si>
  <si>
    <t>CAMILA FERNANDA</t>
  </si>
  <si>
    <t>21302994</t>
  </si>
  <si>
    <t>0</t>
  </si>
  <si>
    <t>CRISTIAN IGNACIO CABRERA LÓPEZ</t>
  </si>
  <si>
    <t>CABRERA</t>
  </si>
  <si>
    <t>LÓPEZ</t>
  </si>
  <si>
    <t>CRISTIAN IGNACIO</t>
  </si>
  <si>
    <t>26050065</t>
  </si>
  <si>
    <t>1</t>
  </si>
  <si>
    <t>MAITA ANDRA CALIXTE .</t>
  </si>
  <si>
    <t>CALIXTE</t>
  </si>
  <si>
    <t>.</t>
  </si>
  <si>
    <t>MAITA ANDRA</t>
  </si>
  <si>
    <t>BASE</t>
  </si>
  <si>
    <t>21503369</t>
  </si>
  <si>
    <t>TOMÁS ISRAEL CISTERNAS MONTANÉ</t>
  </si>
  <si>
    <t>CISTERNAS</t>
  </si>
  <si>
    <t>MONTANÉ</t>
  </si>
  <si>
    <t>TOMÁS ISRAEL</t>
  </si>
  <si>
    <t>21519185</t>
  </si>
  <si>
    <t>LORNA ESPERANZA CUBILLOS SILVA</t>
  </si>
  <si>
    <t>CUBILLOS</t>
  </si>
  <si>
    <t>SILVA</t>
  </si>
  <si>
    <t>LORNA ESPERANZA</t>
  </si>
  <si>
    <t>20443055</t>
  </si>
  <si>
    <t>CARLOS GUILLERMO DÍAZ GÓMEZ</t>
  </si>
  <si>
    <t>DÍAZ</t>
  </si>
  <si>
    <t>GÓMEZ</t>
  </si>
  <si>
    <t>CARLOS GUILLERMO</t>
  </si>
  <si>
    <t>21082373</t>
  </si>
  <si>
    <t>5</t>
  </si>
  <si>
    <t>CAMILO EDUARDO DONATI SILVA</t>
  </si>
  <si>
    <t>DONATI</t>
  </si>
  <si>
    <t>CAMILO EDUARDO</t>
  </si>
  <si>
    <t>21193097</t>
  </si>
  <si>
    <t>DANIELA ANTONIA DONOSO FUENTES</t>
  </si>
  <si>
    <t>DONOSO</t>
  </si>
  <si>
    <t>FUENTES</t>
  </si>
  <si>
    <t>DANIELA ANTONIA</t>
  </si>
  <si>
    <t>21167983</t>
  </si>
  <si>
    <t>NORMA PAOLA ESCOBAR PÉREZ</t>
  </si>
  <si>
    <t>ESCOBAR</t>
  </si>
  <si>
    <t>PÉREZ</t>
  </si>
  <si>
    <t>NORMA PAOLA</t>
  </si>
  <si>
    <t>21485171</t>
  </si>
  <si>
    <t>DIEGO JOAQUÍN ESCOBAR PÉREZ</t>
  </si>
  <si>
    <t>DIEGO JOAQUÍN</t>
  </si>
  <si>
    <t>21325743</t>
  </si>
  <si>
    <t>LUCIANO ANDRE FERNÁNDEZ CAIANI</t>
  </si>
  <si>
    <t>FERNÁNDEZ</t>
  </si>
  <si>
    <t>CAIANI</t>
  </si>
  <si>
    <t>LUCIANO ANDRE</t>
  </si>
  <si>
    <t>21479590</t>
  </si>
  <si>
    <t>BENJAMÍN BERNABÉ FERNÁNDEZ TAPIA</t>
  </si>
  <si>
    <t>TAPIA</t>
  </si>
  <si>
    <t>BENJAMÍN BERNABÉ</t>
  </si>
  <si>
    <t>20879461</t>
  </si>
  <si>
    <t>DARINKA SCARLETT FIGUEROA NÚÑEZ</t>
  </si>
  <si>
    <t>FIGUEROA</t>
  </si>
  <si>
    <t>NÚÑEZ</t>
  </si>
  <si>
    <t>DARINKA SCARLETT</t>
  </si>
  <si>
    <t>Expulsión</t>
  </si>
  <si>
    <t>21278763</t>
  </si>
  <si>
    <t>PÍA IGNACIA GALLARDO CASTRO</t>
  </si>
  <si>
    <t>GALLARDO</t>
  </si>
  <si>
    <t>CASTRO</t>
  </si>
  <si>
    <t>PÍA IGNACIA</t>
  </si>
  <si>
    <t>21573550</t>
  </si>
  <si>
    <t>8</t>
  </si>
  <si>
    <t>SOFIA ANDREA GONZALEZ GARRIDO</t>
  </si>
  <si>
    <t>GONZALEZ</t>
  </si>
  <si>
    <t>GARRIDO</t>
  </si>
  <si>
    <t>SOFIA ANDREA</t>
  </si>
  <si>
    <t>21011385</t>
  </si>
  <si>
    <t>GONZALO ANDRÉS LEIVA DÍAZ</t>
  </si>
  <si>
    <t>LEIVA</t>
  </si>
  <si>
    <t>GONZALO ANDRÉS</t>
  </si>
  <si>
    <t>21421189</t>
  </si>
  <si>
    <t>SERGIO ANTONIO LEIVA LEHUE</t>
  </si>
  <si>
    <t>LEHUE</t>
  </si>
  <si>
    <t>SERGIO ANTONIO</t>
  </si>
  <si>
    <t>21320813</t>
  </si>
  <si>
    <t>ENRIQUE ANDRÉS LIRA ÁLVAREZ</t>
  </si>
  <si>
    <t>LIRA</t>
  </si>
  <si>
    <t>ÁLVAREZ</t>
  </si>
  <si>
    <t>ENRIQUE ANDRÉS</t>
  </si>
  <si>
    <t>22309293</t>
  </si>
  <si>
    <t>JUAN CRISTÓBAL LLANTÉN CARRASCO</t>
  </si>
  <si>
    <t>LLANTÉN</t>
  </si>
  <si>
    <t>CARRASCO</t>
  </si>
  <si>
    <t>JUAN CRISTÓBAL</t>
  </si>
  <si>
    <t>21024698</t>
  </si>
  <si>
    <t>LENGEN OTILIA LUTTECKE LUTTECKE</t>
  </si>
  <si>
    <t>LUTTECKE</t>
  </si>
  <si>
    <t>LENGEN OTILIA</t>
  </si>
  <si>
    <t>21192270</t>
  </si>
  <si>
    <t>ALEXEI IGNACIO MARÍN PUNOY</t>
  </si>
  <si>
    <t>MARÍN</t>
  </si>
  <si>
    <t>PUNOY</t>
  </si>
  <si>
    <t>ALEXEI IGNACIO</t>
  </si>
  <si>
    <t>18045244</t>
  </si>
  <si>
    <t>LOURDES DEL PILAR MENDEZ GARCIA</t>
  </si>
  <si>
    <t>MENDEZ</t>
  </si>
  <si>
    <t>GARCIA</t>
  </si>
  <si>
    <t>LOURDES DEL PILAR</t>
  </si>
  <si>
    <t>21052232</t>
  </si>
  <si>
    <t>AGATHA BELEN MENESES MADRID</t>
  </si>
  <si>
    <t>MENESES</t>
  </si>
  <si>
    <t>MADRID</t>
  </si>
  <si>
    <t>AGATHA BELEN</t>
  </si>
  <si>
    <t>20665855</t>
  </si>
  <si>
    <t>K</t>
  </si>
  <si>
    <t>DIEGO AMATO MEZA ROJAS</t>
  </si>
  <si>
    <t>MEZA</t>
  </si>
  <si>
    <t>ROJAS</t>
  </si>
  <si>
    <t>DIEGO AMATO</t>
  </si>
  <si>
    <t>21283101</t>
  </si>
  <si>
    <t>OCTAVIO IGNACIO MIRANDA FLORES</t>
  </si>
  <si>
    <t>MIRANDA</t>
  </si>
  <si>
    <t>FLORES</t>
  </si>
  <si>
    <t>OCTAVIO IGNACIO</t>
  </si>
  <si>
    <t>21539938</t>
  </si>
  <si>
    <t>MARIA  IGNACIA MIRANDA DUARTE</t>
  </si>
  <si>
    <t>DUARTE</t>
  </si>
  <si>
    <t>MARIA  IGNACIA</t>
  </si>
  <si>
    <t>19829669</t>
  </si>
  <si>
    <t>GUSTAVO ALONSO MORALES HERNANDEZ</t>
  </si>
  <si>
    <t>HERNANDEZ</t>
  </si>
  <si>
    <t>GUSTAVO ALONSO</t>
  </si>
  <si>
    <t>21082213</t>
  </si>
  <si>
    <t>DIEGO IGNACIO MOREIRA MIRANDA</t>
  </si>
  <si>
    <t>MOREIRA</t>
  </si>
  <si>
    <t>DIEGO IGNACIO</t>
  </si>
  <si>
    <t>20921056</t>
  </si>
  <si>
    <t>JEREMÍAS ALONSO NEIRA CHÁVEZ</t>
  </si>
  <si>
    <t>NEIRA</t>
  </si>
  <si>
    <t>CHÁVEZ</t>
  </si>
  <si>
    <t>JEREMÍAS ALONSO</t>
  </si>
  <si>
    <t>21455773</t>
  </si>
  <si>
    <t>MATÍAS PATRICIO OLAVE VALDEBENITO</t>
  </si>
  <si>
    <t>OLAVE</t>
  </si>
  <si>
    <t>VALDEBENITO</t>
  </si>
  <si>
    <t>MATÍAS PATRICIO</t>
  </si>
  <si>
    <t>21234146</t>
  </si>
  <si>
    <t>CRISTOPHER OLGUIN SEPULVEDA</t>
  </si>
  <si>
    <t>OLGUIN</t>
  </si>
  <si>
    <t>SEPULVEDA</t>
  </si>
  <si>
    <t>CRISTOPHER</t>
  </si>
  <si>
    <t>20950404</t>
  </si>
  <si>
    <t>JAVIERA MARISOL ORTIZ MEZA</t>
  </si>
  <si>
    <t>ORTIZ</t>
  </si>
  <si>
    <t>JAVIERA MARISOL</t>
  </si>
  <si>
    <t>21283034</t>
  </si>
  <si>
    <t>RAFAEL BENJAMIN OSORIO VARAS</t>
  </si>
  <si>
    <t>OSORIO</t>
  </si>
  <si>
    <t>VARAS</t>
  </si>
  <si>
    <t>RAFAEL BENJAMIN</t>
  </si>
  <si>
    <t>20957386</t>
  </si>
  <si>
    <t>VALENTINA DANNAE PEREIRA VÁSQUEZ</t>
  </si>
  <si>
    <t>PEREIRA</t>
  </si>
  <si>
    <t>VÁSQUEZ</t>
  </si>
  <si>
    <t>VALENTINA DANNAE</t>
  </si>
  <si>
    <t>21440499</t>
  </si>
  <si>
    <t>GUSTAVO ALONSO PRADENAS IRIARTE</t>
  </si>
  <si>
    <t>PRADENAS</t>
  </si>
  <si>
    <t>IRIARTE</t>
  </si>
  <si>
    <t>18634227</t>
  </si>
  <si>
    <t>YARITZA ALEJANDRA QUIJADA ADASME</t>
  </si>
  <si>
    <t>QUIJADA</t>
  </si>
  <si>
    <t>ADASME</t>
  </si>
  <si>
    <t>YARITZA ALEJANDRA</t>
  </si>
  <si>
    <t>19857826</t>
  </si>
  <si>
    <t>ERICK RAMÍREZ SANDOVAL</t>
  </si>
  <si>
    <t>RAMÍREZ</t>
  </si>
  <si>
    <t>SANDOVAL</t>
  </si>
  <si>
    <t>ERICK</t>
  </si>
  <si>
    <t>21054242</t>
  </si>
  <si>
    <t>DARLYN ALEJANDRA RAMOS GONZALEZ</t>
  </si>
  <si>
    <t>RAMOS</t>
  </si>
  <si>
    <t>DARLYN ALEJANDRA</t>
  </si>
  <si>
    <t>21231879</t>
  </si>
  <si>
    <t>SOFÍA ANDREA ROJO CORNEJO</t>
  </si>
  <si>
    <t>ROJO</t>
  </si>
  <si>
    <t>CORNEJO</t>
  </si>
  <si>
    <t>SOFÍA ANDREA</t>
  </si>
  <si>
    <t>20631765</t>
  </si>
  <si>
    <t>MARÍA BELÉN ROZAS AVELLO</t>
  </si>
  <si>
    <t>ROZAS</t>
  </si>
  <si>
    <t>AVELLO</t>
  </si>
  <si>
    <t>MARÍA BELÉN</t>
  </si>
  <si>
    <t>21380009</t>
  </si>
  <si>
    <t>ALEXANDRA SCARLETH RUZ MÉNDEZ</t>
  </si>
  <si>
    <t>RUZ</t>
  </si>
  <si>
    <t>MÉNDEZ</t>
  </si>
  <si>
    <t>ALEXANDRA SCARLETH</t>
  </si>
  <si>
    <t>20888197</t>
  </si>
  <si>
    <t>OLGA DEL PILAR SÁEZ LOBOS</t>
  </si>
  <si>
    <t>SÁEZ</t>
  </si>
  <si>
    <t>LOBOS</t>
  </si>
  <si>
    <t>OLGA DEL PILAR</t>
  </si>
  <si>
    <t>20098925</t>
  </si>
  <si>
    <t>IGNACIO ESTEBAN SCROGGIE CORREA</t>
  </si>
  <si>
    <t>SCROGGIE</t>
  </si>
  <si>
    <t>CORREA</t>
  </si>
  <si>
    <t>IGNACIO ESTEBAN</t>
  </si>
  <si>
    <t>21150190</t>
  </si>
  <si>
    <t>CRISTÓBAL MAURICIO SILVA PAREDES</t>
  </si>
  <si>
    <t>PAREDES</t>
  </si>
  <si>
    <t>CRISTÓBAL MAURICIO</t>
  </si>
  <si>
    <t>20750713</t>
  </si>
  <si>
    <t>KRISTIN ESPERANZA SOLIS NAVIA</t>
  </si>
  <si>
    <t>SOLIS</t>
  </si>
  <si>
    <t>NAVIA</t>
  </si>
  <si>
    <t>KRISTIN ESPERANZA</t>
  </si>
  <si>
    <t>21368229</t>
  </si>
  <si>
    <t>ANTONIA ZHAILEED SOTO HIDALGO</t>
  </si>
  <si>
    <t>SOTO</t>
  </si>
  <si>
    <t>HIDALGO</t>
  </si>
  <si>
    <t>ANTONIA ZHAILEED</t>
  </si>
  <si>
    <t>20835908</t>
  </si>
  <si>
    <t>LETICIA BELEN TRECANAO NORAMBUENA</t>
  </si>
  <si>
    <t>TRECANAO</t>
  </si>
  <si>
    <t>NORAMBUENA</t>
  </si>
  <si>
    <t>LETICIA BELEN</t>
  </si>
  <si>
    <t>POR MEJORAR</t>
  </si>
  <si>
    <t>21516456</t>
  </si>
  <si>
    <t>FRANCISCO ALEXANDER VALDIVIA MOLINA</t>
  </si>
  <si>
    <t>VALDIVIA</t>
  </si>
  <si>
    <t>MOLINA</t>
  </si>
  <si>
    <t>FRANCISCO ALEXANDER</t>
  </si>
  <si>
    <t>20244810</t>
  </si>
  <si>
    <t>ELÍAS EXZEQUIEL VARGAS MENARES</t>
  </si>
  <si>
    <t>VARGAS</t>
  </si>
  <si>
    <t>MENARES</t>
  </si>
  <si>
    <t>ELÍAS EXZEQUIEL</t>
  </si>
  <si>
    <t>21275876</t>
  </si>
  <si>
    <t>JAVIER ANDRÉS VASQUEZ VEGA</t>
  </si>
  <si>
    <t>VASQUEZ</t>
  </si>
  <si>
    <t>VEGA</t>
  </si>
  <si>
    <t>JAVIER ANDRÉS</t>
  </si>
  <si>
    <t>21162837</t>
  </si>
  <si>
    <t>JAVIER EDUARDO VILLARROEL ZUÑIGA</t>
  </si>
  <si>
    <t>VILLARROEL</t>
  </si>
  <si>
    <t>ZUÑIGA</t>
  </si>
  <si>
    <t>JAVIER EDUARDO</t>
  </si>
  <si>
    <t>20985345</t>
  </si>
  <si>
    <t>ISIDORA PAZ VILLEGAS AYALA</t>
  </si>
  <si>
    <t>VILLEGAS</t>
  </si>
  <si>
    <t>ISIDORA PAZ</t>
  </si>
  <si>
    <t>21547983</t>
  </si>
  <si>
    <t>MARTINA ANTONIA WERCHES PÉREZ</t>
  </si>
  <si>
    <t>WERCHES</t>
  </si>
  <si>
    <t>MARTINA ANTONIA</t>
  </si>
  <si>
    <t>21000470</t>
  </si>
  <si>
    <t>PAULA NAYELI ZÁRATE CABRERA</t>
  </si>
  <si>
    <t>ZÁRATE</t>
  </si>
  <si>
    <t>PAULA NAYELI</t>
  </si>
  <si>
    <t>21865770</t>
  </si>
  <si>
    <t>MANUEL GERARDO ACEITUNO RUBIO</t>
  </si>
  <si>
    <t>ACEITUNO</t>
  </si>
  <si>
    <t>RUBIO</t>
  </si>
  <si>
    <t>MANUEL GERARDO</t>
  </si>
  <si>
    <t>21270423</t>
  </si>
  <si>
    <t>LUIS FELIPE ANDRÉS ALEGRÍA HUARACÁN</t>
  </si>
  <si>
    <t>ALEGRÍA</t>
  </si>
  <si>
    <t>HUARACÁN</t>
  </si>
  <si>
    <t>LUIS FELIPE ANDRÉS</t>
  </si>
  <si>
    <t>21675447</t>
  </si>
  <si>
    <t>BASTIÁN ISAIAS ALFARO VENEGAS</t>
  </si>
  <si>
    <t>ALFARO</t>
  </si>
  <si>
    <t>VENEGAS</t>
  </si>
  <si>
    <t>BASTIÁN ISAIAS</t>
  </si>
  <si>
    <t>18466948</t>
  </si>
  <si>
    <t>RODRIGO FELIPE ARAGONESE RAMIREZ</t>
  </si>
  <si>
    <t>ARAGONESE</t>
  </si>
  <si>
    <t>RAMIREZ</t>
  </si>
  <si>
    <t>RODRIGO FELIPE</t>
  </si>
  <si>
    <t>21693058</t>
  </si>
  <si>
    <t>JAVIERA BELÉN ARANCIBIA ALEGRÍA</t>
  </si>
  <si>
    <t>ARANCIBIA</t>
  </si>
  <si>
    <t>JAVIERA BELÉN</t>
  </si>
  <si>
    <t>21720599</t>
  </si>
  <si>
    <t>DIEGO ROMÁN ARAYA CISTERNAS</t>
  </si>
  <si>
    <t>ARAYA</t>
  </si>
  <si>
    <t>DIEGO ROMÁN</t>
  </si>
  <si>
    <t>21551249</t>
  </si>
  <si>
    <t>PALOMA ESPERANZA ARENAS SÁNCHEZ</t>
  </si>
  <si>
    <t>ARENAS</t>
  </si>
  <si>
    <t>PALOMA ESPERANZA</t>
  </si>
  <si>
    <t>21302424</t>
  </si>
  <si>
    <t>JAVIERA ALEXANDRA BARRIGA PARRA</t>
  </si>
  <si>
    <t>BARRIGA</t>
  </si>
  <si>
    <t>PARRA</t>
  </si>
  <si>
    <t>JAVIERA ALEXANDRA</t>
  </si>
  <si>
    <t>16072059</t>
  </si>
  <si>
    <t>CAROLINE ANDREA BOCCA BAEZA</t>
  </si>
  <si>
    <t>BOCCA</t>
  </si>
  <si>
    <t>BAEZA</t>
  </si>
  <si>
    <t>CAROLINE ANDREA</t>
  </si>
  <si>
    <t>21474076</t>
  </si>
  <si>
    <t>LUCAS BENJAMÍN BUSTOS BRAVO</t>
  </si>
  <si>
    <t>BUSTOS</t>
  </si>
  <si>
    <t>BRAVO</t>
  </si>
  <si>
    <t>LUCAS BENJAMÍN</t>
  </si>
  <si>
    <t>18880881</t>
  </si>
  <si>
    <t>PAOLA DEL CARMEN CANIULLAN GOMEZ</t>
  </si>
  <si>
    <t>CANIULLAN</t>
  </si>
  <si>
    <t>GOMEZ</t>
  </si>
  <si>
    <t>PAOLA DEL CARMEN</t>
  </si>
  <si>
    <t>21387472</t>
  </si>
  <si>
    <t>VICENTE CARAVANTES SALAS</t>
  </si>
  <si>
    <t>CARAVANTES</t>
  </si>
  <si>
    <t>SALAS</t>
  </si>
  <si>
    <t>VICENTE</t>
  </si>
  <si>
    <t>20827655</t>
  </si>
  <si>
    <t>MATIAS ALEJANDRO CARRASCO MARTINEZ</t>
  </si>
  <si>
    <t>MARTINEZ</t>
  </si>
  <si>
    <t>MATIAS ALEJANDRO</t>
  </si>
  <si>
    <t>27006159</t>
  </si>
  <si>
    <t>ALEXANDRA VALENTINA CEGARRA FRANCIS</t>
  </si>
  <si>
    <t>CEGARRA</t>
  </si>
  <si>
    <t>FRANCIS</t>
  </si>
  <si>
    <t>ALEXANDRA VALENTINA</t>
  </si>
  <si>
    <t>21324213</t>
  </si>
  <si>
    <t>BRYAN RODRIGO CISTERNAS GONZÁLEZ</t>
  </si>
  <si>
    <t>GONZÁLEZ</t>
  </si>
  <si>
    <t>BRYAN RODRIGO</t>
  </si>
  <si>
    <t>20828855</t>
  </si>
  <si>
    <t>PAOOLO IGNACIO CORTÉS LÓPEZ</t>
  </si>
  <si>
    <t>CORTÉS</t>
  </si>
  <si>
    <t>PAOOLO IGNACIO</t>
  </si>
  <si>
    <t>21519102</t>
  </si>
  <si>
    <t>BENJAMIN ALONSO ESPINOZA CRUCES</t>
  </si>
  <si>
    <t>ESPINOZA</t>
  </si>
  <si>
    <t>CRUCES</t>
  </si>
  <si>
    <t>BENJAMIN ALONSO</t>
  </si>
  <si>
    <t>20837184</t>
  </si>
  <si>
    <t>MARTÍN ISRAEL GARCÉS BUSTOS</t>
  </si>
  <si>
    <t>GARCÉS</t>
  </si>
  <si>
    <t>MARTÍN ISRAEL</t>
  </si>
  <si>
    <t>24047859</t>
  </si>
  <si>
    <t>SOFIA LUZ GARCIA GONZALEZ</t>
  </si>
  <si>
    <t>SOFIA LUZ</t>
  </si>
  <si>
    <t>20986738</t>
  </si>
  <si>
    <t>JOSEFINA AMADA GARCÍA SAN CRISTÓBAL</t>
  </si>
  <si>
    <t>SAN CRISTÓBAL</t>
  </si>
  <si>
    <t>JOSEFINA AMADA</t>
  </si>
  <si>
    <t>21758128</t>
  </si>
  <si>
    <t>DIEGO ANTONIO GÓMEZ CARRASCO</t>
  </si>
  <si>
    <t>DIEGO ANTONIO</t>
  </si>
  <si>
    <t>21146728</t>
  </si>
  <si>
    <t>VALENTINA ALEJANDRA HENRÍQUEZ AGUILAR</t>
  </si>
  <si>
    <t>HENRÍQUEZ</t>
  </si>
  <si>
    <t>AGUILAR</t>
  </si>
  <si>
    <t>VALENTINA ALEJANDRA</t>
  </si>
  <si>
    <t>21151001</t>
  </si>
  <si>
    <t>CRISTIAN JEREMÍAS HERNÁNDEZ ÁLVAREZ</t>
  </si>
  <si>
    <t>HERNÁNDEZ</t>
  </si>
  <si>
    <t>CRISTIAN JEREMÍAS</t>
  </si>
  <si>
    <t>21594799</t>
  </si>
  <si>
    <t>GÉNESIS ELIZABETH HERNÁNDEZ PÉREZ</t>
  </si>
  <si>
    <t>GÉNESIS ELIZABETH</t>
  </si>
  <si>
    <t>21465805</t>
  </si>
  <si>
    <t>ABDUL HAMMED HOSSIP ALFARO</t>
  </si>
  <si>
    <t>HOSSIP</t>
  </si>
  <si>
    <t>ABDUL HAMMED</t>
  </si>
  <si>
    <t>21162360</t>
  </si>
  <si>
    <t>BELÉN MILLARAY ITURRIAGA SANHUEZA</t>
  </si>
  <si>
    <t>ITURRIAGA</t>
  </si>
  <si>
    <t>SANHUEZA</t>
  </si>
  <si>
    <t>BELÉN MILLARAY</t>
  </si>
  <si>
    <t>21042664</t>
  </si>
  <si>
    <t>MAXIMILIANO VÍCTOR JARA VEGA</t>
  </si>
  <si>
    <t>JARA</t>
  </si>
  <si>
    <t>MAXIMILIANO VÍCTOR</t>
  </si>
  <si>
    <t>21119888</t>
  </si>
  <si>
    <t>ANAHIS BELÉN JOPIA LARENAS</t>
  </si>
  <si>
    <t>JOPIA</t>
  </si>
  <si>
    <t>LARENAS</t>
  </si>
  <si>
    <t>ANAHIS BELÉN</t>
  </si>
  <si>
    <t>21806240</t>
  </si>
  <si>
    <t>STEFANIA IGNACIA LARENAS  MOREIRA</t>
  </si>
  <si>
    <t xml:space="preserve">LARENAS </t>
  </si>
  <si>
    <t>STEFANIA IGNACIA</t>
  </si>
  <si>
    <t>21243200</t>
  </si>
  <si>
    <t>VALENTINA MIYARAI MARTÍNEZ SEPÚLVEDA</t>
  </si>
  <si>
    <t>MARTÍNEZ</t>
  </si>
  <si>
    <t>SEPÚLVEDA</t>
  </si>
  <si>
    <t>VALENTINA MIYARAI</t>
  </si>
  <si>
    <t>21081869</t>
  </si>
  <si>
    <t>MARÍA JOSÉ MOLINA MARÍN</t>
  </si>
  <si>
    <t>MARÍA JOSÉ</t>
  </si>
  <si>
    <t>21302113</t>
  </si>
  <si>
    <t>EMILIO GONZALO JORGE MONJE CÁRDENAS</t>
  </si>
  <si>
    <t>MONJE</t>
  </si>
  <si>
    <t>CÁRDENAS</t>
  </si>
  <si>
    <t>EMILIO GONZALO JORGE</t>
  </si>
  <si>
    <t>21055230</t>
  </si>
  <si>
    <t>FERNANDO IGNACIO MORALES PACHECO</t>
  </si>
  <si>
    <t>PACHECO</t>
  </si>
  <si>
    <t>FERNANDO IGNACIO</t>
  </si>
  <si>
    <t>21292206</t>
  </si>
  <si>
    <t>PAULA ARACELI MORÁN FLORES</t>
  </si>
  <si>
    <t>MORÁN</t>
  </si>
  <si>
    <t>PAULA ARACELI</t>
  </si>
  <si>
    <t>21803742</t>
  </si>
  <si>
    <t>BENJAMÍN MATEO ANTONIO MUÑOZ DÍAZ</t>
  </si>
  <si>
    <t>BENJAMÍN MATEO ANTONIO</t>
  </si>
  <si>
    <t>25069561</t>
  </si>
  <si>
    <t>MICHAEL OSWALDO MURILLO HUAMANI</t>
  </si>
  <si>
    <t>MURILLO</t>
  </si>
  <si>
    <t>HUAMANI</t>
  </si>
  <si>
    <t>MICHAEL OSWALDO</t>
  </si>
  <si>
    <t>20988871</t>
  </si>
  <si>
    <t>MARÍA JOSÉ ORTIZ PÉREZ</t>
  </si>
  <si>
    <t>21261183</t>
  </si>
  <si>
    <t>CARLA BELEN ORTIZ CARDENAS</t>
  </si>
  <si>
    <t>CARDENAS</t>
  </si>
  <si>
    <t>CARLA BELEN</t>
  </si>
  <si>
    <t>21737879</t>
  </si>
  <si>
    <t>NICOLETTE SCARLETTE PEREZ HURTADO</t>
  </si>
  <si>
    <t>PEREZ</t>
  </si>
  <si>
    <t>HURTADO</t>
  </si>
  <si>
    <t>NICOLETTE SCARLETTE</t>
  </si>
  <si>
    <t>21359972</t>
  </si>
  <si>
    <t>RENATO IGNACIO PLAZA PARADA</t>
  </si>
  <si>
    <t>PLAZA</t>
  </si>
  <si>
    <t>PARADA</t>
  </si>
  <si>
    <t>RENATO IGNACIO</t>
  </si>
  <si>
    <t>21125188</t>
  </si>
  <si>
    <t>BENJAMÍN IGNACIO POZO CONTRERAS</t>
  </si>
  <si>
    <t>POZO</t>
  </si>
  <si>
    <t>CONTRERAS</t>
  </si>
  <si>
    <t>BENJAMÍN IGNACIO</t>
  </si>
  <si>
    <t>21714778</t>
  </si>
  <si>
    <t>FRANCO PAOLO RAMÍREZ NÚÑEZ</t>
  </si>
  <si>
    <t>FRANCO PAOLO</t>
  </si>
  <si>
    <t>20418187</t>
  </si>
  <si>
    <t>FELIPE  IGNACIO RIFO SOTO</t>
  </si>
  <si>
    <t>RIFO</t>
  </si>
  <si>
    <t>FELIPE  IGNACIO</t>
  </si>
  <si>
    <t>20060315</t>
  </si>
  <si>
    <t>CAMILA PAZ ISABEL RODRIGUEZ ESPINOZA</t>
  </si>
  <si>
    <t>RODRIGUEZ</t>
  </si>
  <si>
    <t>CAMILA PAZ ISABEL</t>
  </si>
  <si>
    <t>21489120</t>
  </si>
  <si>
    <t>CRISTIAN JAVIER RODRÍGUEZ PEZO</t>
  </si>
  <si>
    <t>RODRÍGUEZ</t>
  </si>
  <si>
    <t>PEZO</t>
  </si>
  <si>
    <t>CRISTIAN JAVIER</t>
  </si>
  <si>
    <t>21350076</t>
  </si>
  <si>
    <t>KENETT ALEXANDER SEPÚLVEDA RIVERA</t>
  </si>
  <si>
    <t>RIVERA</t>
  </si>
  <si>
    <t>KENETT ALEXANDER</t>
  </si>
  <si>
    <t>20831576</t>
  </si>
  <si>
    <t>JORGE LUIS TAPIA CANALES</t>
  </si>
  <si>
    <t>CANALES</t>
  </si>
  <si>
    <t>JORGE LUIS</t>
  </si>
  <si>
    <t>21434489</t>
  </si>
  <si>
    <t>LUCAS MAURICIO URRIA PINTO</t>
  </si>
  <si>
    <t>URRIA</t>
  </si>
  <si>
    <t>PINTO</t>
  </si>
  <si>
    <t>LUCAS MAURICIO</t>
  </si>
  <si>
    <t>21592835</t>
  </si>
  <si>
    <t>MANUEL ALEXANDER URRUTIA HORMAZÁBAL</t>
  </si>
  <si>
    <t>URRUTIA</t>
  </si>
  <si>
    <t>HORMAZÁBAL</t>
  </si>
  <si>
    <t>MANUEL ALEXANDER</t>
  </si>
  <si>
    <t>20590288</t>
  </si>
  <si>
    <t>KASANDRA MICHELLE VALDES SALFATE</t>
  </si>
  <si>
    <t>VALDES</t>
  </si>
  <si>
    <t>SALFATE</t>
  </si>
  <si>
    <t>KASANDRA MICHELLE</t>
  </si>
  <si>
    <t>21324490</t>
  </si>
  <si>
    <t>ANTONIA MONSERRAT VALDÉS AGUILAR</t>
  </si>
  <si>
    <t>VALDÉS</t>
  </si>
  <si>
    <t>ANTONIA MONSERRAT</t>
  </si>
  <si>
    <t>21517446</t>
  </si>
  <si>
    <t>AYLIN ANTONIA VERDUGO GUZMÁN</t>
  </si>
  <si>
    <t>VERDUGO</t>
  </si>
  <si>
    <t>GUZMÁN</t>
  </si>
  <si>
    <t>AYLIN ANTONIA</t>
  </si>
  <si>
    <t>23472299</t>
  </si>
  <si>
    <t>ADELAIDA JUBIRITH VERGARA PLAZA</t>
  </si>
  <si>
    <t>VERGARA</t>
  </si>
  <si>
    <t>ADELAIDA JUBIRITH</t>
  </si>
  <si>
    <t>21705970</t>
  </si>
  <si>
    <t>MIHAEL KARIM ZEGERS RETAMAL</t>
  </si>
  <si>
    <t>ZEGERS</t>
  </si>
  <si>
    <t>RETAMAL</t>
  </si>
  <si>
    <t>MIHAEL KARIM</t>
  </si>
  <si>
    <t>Resultados Generales Cohorte</t>
  </si>
  <si>
    <t xml:space="preserve"> N Estudiantes habilitados para rendir</t>
  </si>
  <si>
    <t xml:space="preserve"> N Estudiantes que rindieron</t>
  </si>
  <si>
    <t xml:space="preserve">Porcentaje de cobertura EPI </t>
  </si>
  <si>
    <t xml:space="preserve">Reconocimiento de los contextos políticos </t>
  </si>
  <si>
    <t xml:space="preserve">Argumentación autónoma </t>
  </si>
  <si>
    <t>Identificar las dimensiones del Estado</t>
  </si>
  <si>
    <t>Uso de recursos</t>
  </si>
  <si>
    <t>Viablidad administrativa legal</t>
  </si>
  <si>
    <t>Aspectos formales</t>
  </si>
  <si>
    <t>PORCENTAJE DE LOGRO EPI 2025</t>
  </si>
  <si>
    <t>COHORTE 2022</t>
  </si>
  <si>
    <t>COHORTE 2023</t>
  </si>
  <si>
    <r>
      <rPr>
        <b/>
        <u/>
        <sz val="11"/>
        <color theme="1"/>
        <rFont val="Aptos Narrow"/>
        <family val="2"/>
        <scheme val="minor"/>
      </rPr>
      <t>Competencia 1</t>
    </r>
    <r>
      <rPr>
        <sz val="11"/>
        <color theme="1"/>
        <rFont val="Aptos Narrow"/>
        <family val="2"/>
        <scheme val="minor"/>
      </rPr>
      <t xml:space="preserve">
</t>
    </r>
  </si>
  <si>
    <t>Estado de Habilitación para rendir</t>
  </si>
  <si>
    <t>JUSTIFICATIVO DE NO RENDICIÓN</t>
  </si>
  <si>
    <t>Justifica</t>
  </si>
  <si>
    <t>Avance curricular insuficiente para evaluar ciclo básico (no rinde EPI 2025)</t>
  </si>
  <si>
    <t>No rendida</t>
  </si>
  <si>
    <t>No justifica</t>
  </si>
  <si>
    <t>EPI pendiente periodo anterior</t>
  </si>
  <si>
    <t>Rendida no válida</t>
  </si>
  <si>
    <t>Interrupción voluntaria (no rinde EPI 2025)</t>
  </si>
  <si>
    <t xml:space="preserve">En base a los resultados grupales obtenidos, ubicados entre el rando de los óptimo y satisfactorio, no resulta esencial para la carrera realizar algún tipo de intervención particular. Ahora bien, como acciones complementarias para seguir fortaleciendo las trayectorias de los y las estudiantes, se encuentran </t>
  </si>
  <si>
    <t xml:space="preserve">A corto plazo, reunirse con docentes de los ejes más deficientes y recalcar la importancia de repasar contenidos esenciales de los cursos </t>
  </si>
  <si>
    <t>A mediano plazo, revisar programas y programaciones de cursos, con el fin de asegurar que los contenidos esenciales de los cursos están siendo consdierados en su totalidad</t>
  </si>
  <si>
    <t>A largo plazo, realizar una actualización de los ejes y distribución de cursos y contenidos, apuntando a una mejora de los resultados esperados en la EPI</t>
  </si>
  <si>
    <t>RINDE</t>
  </si>
  <si>
    <t>SUFICIENTE</t>
  </si>
  <si>
    <t>NO RINDE</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</si>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</sst>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b/>
      <u/>
      <sz val="11"/>
      <color theme="1"/>
      <name val="Aptos Narrow"/>
      <family val="2"/>
      <scheme val="minor"/>
    </font>
    <font>
      <i/>
      <sz val="11"/>
      <color theme="1"/>
      <name val="Aptos Narrow"/>
      <family val="2"/>
      <scheme val="minor"/>
    </font>
    <font>
      <b/>
      <u/>
      <sz val="12"/>
      <color theme="1"/>
      <name val="Aptos Narrow"/>
      <family val="2"/>
      <scheme val="minor"/>
    </font>
    <font>
      <sz val="11"/>
      <color theme="1"/>
      <name val="Calibri"/>
      <family val="2"/>
    </font>
    <font>
      <sz val="8"/>
      <color theme="1"/>
      <name val="Calibri"/>
      <family val="2"/>
    </font>
    <font>
      <sz val="8"/>
      <name val="Calibri"/>
      <family val="2"/>
    </font>
  </fonts>
  <fills count="7">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indexed="64"/>
      </bottom>
      <diagonal/>
    </border>
    <border>
      <left/>
      <right/>
      <top style="thin">
        <color indexed="64"/>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diagonal/>
    </border>
    <border>
      <left/>
      <right style="thin">
        <color indexed="64"/>
      </right>
      <top style="thin">
        <color indexed="64"/>
      </top>
      <bottom style="thin">
        <color indexed="64"/>
      </bottom>
      <diagonal/>
    </border>
  </borders>
  <cellStyleXfs count="1">
    <xf numFmtId="0" fontId="0" fillId="0" borderId="0"/>
  </cellStyleXfs>
  <cellXfs count="131">
    <xf numFmtId="0" fontId="0" fillId="0" borderId="0" xfId="0"/>
    <xf numFmtId="0" fontId="3" fillId="0" borderId="0" xfId="0" applyFont="1" applyAlignment="1">
      <alignment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xf numFmtId="0" fontId="4" fillId="0" borderId="16" xfId="0" applyFont="1" applyBorder="1" applyAlignment="1">
      <alignment horizontal="center"/>
    </xf>
    <xf numFmtId="0" fontId="2" fillId="0" borderId="33" xfId="0" applyFont="1" applyBorder="1" applyAlignment="1">
      <alignment horizontal="center" vertical="center" wrapText="1"/>
    </xf>
    <xf numFmtId="0" fontId="0" fillId="0" borderId="1" xfId="0" applyBorder="1" applyAlignment="1">
      <alignment wrapText="1"/>
    </xf>
    <xf numFmtId="1" fontId="0" fillId="0" borderId="16" xfId="0" applyNumberFormat="1" applyBorder="1"/>
    <xf numFmtId="0" fontId="1" fillId="0" borderId="0" xfId="0" applyFont="1" applyAlignment="1">
      <alignment wrapText="1"/>
    </xf>
    <xf numFmtId="0" fontId="2" fillId="0" borderId="16" xfId="0" applyFont="1" applyBorder="1" applyAlignment="1">
      <alignment horizontal="center" vertical="center" wrapText="1"/>
    </xf>
    <xf numFmtId="0" fontId="4" fillId="2" borderId="2" xfId="0" applyFont="1" applyFill="1"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0" fillId="0" borderId="0" xfId="0" applyAlignment="1">
      <alignment horizontal="center" vertical="center"/>
    </xf>
    <xf numFmtId="0" fontId="12" fillId="0" borderId="0" xfId="0" applyFont="1"/>
    <xf numFmtId="0" fontId="0" fillId="0" borderId="0" xfId="0" applyAlignment="1">
      <alignment wrapText="1"/>
    </xf>
    <xf numFmtId="0" fontId="4" fillId="2" borderId="16" xfId="0" applyFont="1" applyFill="1" applyBorder="1" applyAlignment="1">
      <alignment horizontal="center" vertical="center" wrapText="1"/>
    </xf>
    <xf numFmtId="0" fontId="12" fillId="0" borderId="16" xfId="0" applyFont="1" applyBorder="1" applyAlignment="1">
      <alignment horizontal="center" vertical="center"/>
    </xf>
    <xf numFmtId="0" fontId="2" fillId="6" borderId="16" xfId="0" applyFont="1" applyFill="1" applyBorder="1" applyAlignment="1">
      <alignment horizontal="center" vertical="center" wrapText="1"/>
    </xf>
    <xf numFmtId="9" fontId="13" fillId="0" borderId="16" xfId="0" applyNumberFormat="1" applyFont="1" applyBorder="1" applyAlignment="1">
      <alignment horizontal="center" vertical="center" wrapText="1"/>
    </xf>
    <xf numFmtId="0" fontId="13" fillId="0" borderId="16" xfId="0" applyFont="1" applyBorder="1" applyAlignment="1">
      <alignment horizontal="center" vertical="center" wrapText="1"/>
    </xf>
    <xf numFmtId="0" fontId="13" fillId="0" borderId="16" xfId="0" applyFont="1" applyBorder="1" applyAlignment="1">
      <alignment horizontal="center" vertical="center"/>
    </xf>
    <xf numFmtId="9" fontId="13" fillId="0" borderId="16" xfId="0" applyNumberFormat="1" applyFont="1" applyBorder="1" applyAlignment="1">
      <alignment horizontal="center" vertical="center"/>
    </xf>
    <xf numFmtId="0" fontId="13" fillId="0" borderId="42" xfId="0" applyFont="1" applyBorder="1" applyAlignment="1">
      <alignment horizontal="center" vertical="center"/>
    </xf>
    <xf numFmtId="0" fontId="13" fillId="0" borderId="34" xfId="0" applyFont="1" applyBorder="1" applyAlignment="1">
      <alignment horizontal="center" vertical="center"/>
    </xf>
    <xf numFmtId="164" fontId="13" fillId="0" borderId="34" xfId="0" applyNumberFormat="1" applyFont="1" applyBorder="1" applyAlignment="1">
      <alignment horizontal="center" vertical="center"/>
    </xf>
    <xf numFmtId="0" fontId="13" fillId="0" borderId="36" xfId="0" applyFont="1" applyBorder="1" applyAlignment="1">
      <alignment horizontal="center" vertical="center"/>
    </xf>
    <xf numFmtId="0" fontId="13" fillId="0" borderId="2" xfId="0" applyFont="1" applyBorder="1" applyAlignment="1">
      <alignment horizontal="center" vertical="center"/>
    </xf>
    <xf numFmtId="164" fontId="13" fillId="0" borderId="2" xfId="0" applyNumberFormat="1" applyFont="1" applyBorder="1" applyAlignment="1">
      <alignment horizontal="center" vertical="center"/>
    </xf>
    <xf numFmtId="0" fontId="13" fillId="0" borderId="39" xfId="0" applyFont="1" applyBorder="1" applyAlignment="1">
      <alignment horizontal="center" vertical="center"/>
    </xf>
    <xf numFmtId="0" fontId="13" fillId="0" borderId="33" xfId="0" applyFont="1" applyBorder="1" applyAlignment="1">
      <alignment horizontal="center" vertical="center"/>
    </xf>
    <xf numFmtId="164" fontId="13" fillId="0" borderId="33" xfId="0" applyNumberFormat="1" applyFont="1" applyBorder="1" applyAlignment="1">
      <alignment horizontal="center" vertical="center"/>
    </xf>
    <xf numFmtId="0" fontId="13" fillId="0" borderId="29" xfId="0" applyFont="1" applyBorder="1" applyAlignment="1">
      <alignment horizontal="center" vertical="center"/>
    </xf>
    <xf numFmtId="0" fontId="13" fillId="0" borderId="0" xfId="0" applyFont="1" applyAlignment="1">
      <alignment horizontal="center" vertical="center"/>
    </xf>
    <xf numFmtId="0" fontId="13" fillId="0" borderId="21" xfId="0" applyFont="1" applyBorder="1" applyAlignment="1">
      <alignment horizontal="center" vertical="center"/>
    </xf>
    <xf numFmtId="0" fontId="13" fillId="0" borderId="37" xfId="0" applyFont="1" applyBorder="1" applyAlignment="1">
      <alignment horizontal="center" vertical="center"/>
    </xf>
    <xf numFmtId="0" fontId="13" fillId="0" borderId="27" xfId="0" applyFont="1" applyBorder="1" applyAlignment="1">
      <alignment horizontal="center" vertical="center"/>
    </xf>
    <xf numFmtId="0" fontId="13" fillId="0" borderId="38" xfId="0" applyFont="1" applyBorder="1" applyAlignment="1">
      <alignment horizontal="center" vertical="center"/>
    </xf>
    <xf numFmtId="0" fontId="13" fillId="0" borderId="29" xfId="0" applyFont="1" applyBorder="1" applyAlignment="1">
      <alignment horizontal="center" vertical="center" wrapText="1"/>
    </xf>
    <xf numFmtId="0" fontId="2" fillId="0" borderId="0" xfId="0" applyFont="1" applyAlignment="1">
      <alignment horizontal="center" vertical="center" wrapText="1"/>
    </xf>
    <xf numFmtId="1" fontId="12" fillId="0" borderId="2" xfId="0" applyNumberFormat="1" applyFont="1" applyBorder="1" applyAlignment="1">
      <alignment horizontal="center" vertical="center" wrapText="1"/>
    </xf>
    <xf numFmtId="0" fontId="13" fillId="0" borderId="40" xfId="0" applyFont="1" applyBorder="1" applyAlignment="1">
      <alignment horizontal="center" vertical="center"/>
    </xf>
    <xf numFmtId="1" fontId="12" fillId="0" borderId="33" xfId="0" applyNumberFormat="1" applyFont="1" applyBorder="1" applyAlignment="1">
      <alignment horizontal="center" vertical="center" wrapText="1"/>
    </xf>
    <xf numFmtId="0" fontId="13" fillId="0" borderId="35" xfId="0" applyFont="1" applyBorder="1" applyAlignment="1">
      <alignment horizontal="center" vertical="center" wrapText="1"/>
    </xf>
    <xf numFmtId="1" fontId="12" fillId="0" borderId="16" xfId="0" applyNumberFormat="1" applyFont="1" applyBorder="1" applyAlignment="1">
      <alignment horizontal="center" vertical="center" wrapText="1"/>
    </xf>
    <xf numFmtId="0" fontId="12" fillId="0" borderId="16" xfId="0" applyFont="1" applyBorder="1" applyAlignment="1">
      <alignment horizontal="center" vertical="center" wrapText="1"/>
    </xf>
    <xf numFmtId="1" fontId="12" fillId="0" borderId="34" xfId="0" applyNumberFormat="1" applyFont="1" applyBorder="1" applyAlignment="1">
      <alignment horizontal="center" vertical="center" wrapText="1"/>
    </xf>
    <xf numFmtId="0" fontId="13" fillId="0" borderId="41" xfId="0" applyFont="1" applyBorder="1" applyAlignment="1">
      <alignment horizontal="center" vertical="center"/>
    </xf>
    <xf numFmtId="0" fontId="13" fillId="0" borderId="34" xfId="0" applyFont="1" applyBorder="1" applyAlignment="1">
      <alignment horizontal="center" vertical="center" wrapText="1"/>
    </xf>
    <xf numFmtId="0" fontId="12" fillId="0" borderId="41" xfId="0" applyFont="1" applyBorder="1" applyAlignment="1">
      <alignment horizontal="center" vertical="center" wrapText="1"/>
    </xf>
    <xf numFmtId="0" fontId="12" fillId="0" borderId="41" xfId="0" applyFont="1" applyBorder="1" applyAlignment="1">
      <alignment horizontal="center" vertical="center"/>
    </xf>
    <xf numFmtId="0" fontId="12" fillId="0" borderId="40" xfId="0" applyFont="1" applyBorder="1" applyAlignment="1">
      <alignment horizontal="center" vertical="center" wrapText="1"/>
    </xf>
    <xf numFmtId="0" fontId="12" fillId="0" borderId="35" xfId="0" applyFont="1" applyBorder="1" applyAlignment="1">
      <alignment horizontal="center" vertical="center" wrapText="1"/>
    </xf>
    <xf numFmtId="0" fontId="11" fillId="0" borderId="0" xfId="0" applyFont="1" applyAlignment="1">
      <alignment horizontal="center" vertical="center"/>
    </xf>
    <xf numFmtId="0" fontId="1" fillId="0" borderId="0" xfId="0" applyFont="1" applyAlignment="1">
      <alignment horizontal="center" vertical="center" wrapText="1"/>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0" borderId="16" xfId="0" applyFont="1" applyBorder="1" applyAlignment="1">
      <alignment horizontal="center" vertical="center"/>
    </xf>
    <xf numFmtId="0" fontId="4" fillId="6" borderId="16" xfId="0" applyFont="1" applyFill="1" applyBorder="1" applyAlignment="1">
      <alignment horizontal="center" vertical="center" wrapText="1"/>
    </xf>
    <xf numFmtId="0" fontId="0" fillId="5" borderId="16" xfId="0" applyFill="1" applyBorder="1" applyAlignment="1">
      <alignment horizontal="center" vertical="center" wrapText="1"/>
    </xf>
    <xf numFmtId="0" fontId="4" fillId="0" borderId="8"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xf>
    <xf numFmtId="0" fontId="0" fillId="0" borderId="32" xfId="0" applyBorder="1" applyAlignment="1">
      <alignment horizontal="center" vertical="center"/>
    </xf>
    <xf numFmtId="0" fontId="0" fillId="5" borderId="8" xfId="0" applyFill="1" applyBorder="1" applyAlignment="1">
      <alignment horizontal="center" vertical="top" wrapText="1"/>
    </xf>
    <xf numFmtId="0" fontId="0" fillId="5" borderId="30" xfId="0" applyFill="1" applyBorder="1" applyAlignment="1">
      <alignment horizontal="center" vertical="top" wrapText="1"/>
    </xf>
    <xf numFmtId="0" fontId="0" fillId="5" borderId="31" xfId="0" applyFill="1" applyBorder="1" applyAlignment="1">
      <alignment horizontal="center" vertical="top" wrapText="1"/>
    </xf>
    <xf numFmtId="0" fontId="0" fillId="5" borderId="0" xfId="0" applyFill="1" applyAlignment="1">
      <alignment horizontal="center" vertical="top" wrapText="1"/>
    </xf>
    <xf numFmtId="0" fontId="0" fillId="5" borderId="30" xfId="0" applyFill="1" applyBorder="1" applyAlignment="1">
      <alignment horizontal="center" vertical="center" wrapText="1"/>
    </xf>
    <xf numFmtId="0" fontId="0" fillId="5" borderId="30" xfId="0" applyFill="1" applyBorder="1" applyAlignment="1">
      <alignment horizontal="center" vertical="center"/>
    </xf>
    <xf numFmtId="0" fontId="0" fillId="0" borderId="16" xfId="0" applyBorder="1" applyAlignment="1">
      <alignment horizontal="center"/>
    </xf>
    <xf numFmtId="0" fontId="7" fillId="4" borderId="16" xfId="0" applyFont="1" applyFill="1" applyBorder="1" applyAlignment="1">
      <alignment horizontal="center" vertical="center"/>
    </xf>
    <xf numFmtId="0" fontId="12" fillId="0" borderId="1" xfId="0" applyFont="1" applyBorder="1" applyAlignment="1">
      <alignment horizontal="center" vertical="center"/>
    </xf>
    <xf numFmtId="1" fontId="12" fillId="0" borderId="40" xfId="0" applyNumberFormat="1" applyFont="1" applyBorder="1" applyAlignment="1">
      <alignment horizontal="center" vertical="center" wrapText="1"/>
    </xf>
    <xf numFmtId="1" fontId="12" fillId="0" borderId="36" xfId="0" applyNumberFormat="1" applyFont="1" applyBorder="1" applyAlignment="1">
      <alignment horizontal="center" vertical="center" wrapText="1"/>
    </xf>
    <xf numFmtId="1" fontId="12" fillId="0" borderId="39" xfId="0" applyNumberFormat="1" applyFont="1" applyBorder="1" applyAlignment="1">
      <alignment horizontal="center" vertical="center" wrapText="1"/>
    </xf>
    <xf numFmtId="1" fontId="12" fillId="0" borderId="43" xfId="0" applyNumberFormat="1" applyFont="1" applyBorder="1" applyAlignment="1">
      <alignment horizontal="center" vertical="center" wrapText="1"/>
    </xf>
    <xf numFmtId="1" fontId="12" fillId="0" borderId="42" xfId="0" applyNumberFormat="1" applyFont="1" applyBorder="1" applyAlignment="1">
      <alignment horizontal="center" vertical="center" wrapText="1"/>
    </xf>
    <xf numFmtId="0" fontId="12" fillId="0" borderId="43" xfId="0" applyFont="1" applyBorder="1" applyAlignment="1">
      <alignment horizontal="center" vertical="center"/>
    </xf>
    <xf numFmtId="0" fontId="2" fillId="6" borderId="27" xfId="0" applyFont="1" applyFill="1" applyBorder="1" applyAlignment="1">
      <alignment horizontal="center" vertical="center" wrapText="1"/>
    </xf>
    <xf numFmtId="0" fontId="12" fillId="0" borderId="36" xfId="0" applyFont="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209550</xdr:colOff>
      <xdr:row>0</xdr:row>
      <xdr:rowOff>0</xdr:rowOff>
    </xdr:from>
    <xdr:to>
      <xdr:col>16</xdr:col>
      <xdr:colOff>211127</xdr:colOff>
      <xdr:row>40</xdr:row>
      <xdr:rowOff>161774</xdr:rowOff>
    </xdr:to>
    <xdr:pic>
      <xdr:nvPicPr>
        <xdr:cNvPr id="2" name="Imagen 1">
          <a:extLst>
            <a:ext uri="{FF2B5EF4-FFF2-40B4-BE49-F238E27FC236}">
              <a16:creationId xmlns:a16="http://schemas.microsoft.com/office/drawing/2014/main" id="{59F7473C-39F9-1EE7-EB5E-BEC54BCE5335}"/>
            </a:ext>
          </a:extLst>
        </xdr:cNvPr>
        <xdr:cNvPicPr>
          <a:picLocks noChangeAspect="1"/>
        </xdr:cNvPicPr>
      </xdr:nvPicPr>
      <xdr:blipFill>
        <a:blip xmlns:r="http://schemas.openxmlformats.org/officeDocument/2006/relationships" r:embed="rId1"/>
        <a:stretch>
          <a:fillRect/>
        </a:stretch>
      </xdr:blipFill>
      <xdr:spPr>
        <a:xfrm>
          <a:off x="1733550" y="0"/>
          <a:ext cx="10669577" cy="7781774"/>
        </a:xfrm>
        <a:prstGeom prst="rect">
          <a:avLst/>
        </a:prstGeom>
      </xdr:spPr>
    </xdr:pic>
    <xdr:clientData/>
  </xdr:twoCellAnchor>
  <xdr:twoCellAnchor editAs="oneCell">
    <xdr:from>
      <xdr:col>4</xdr:col>
      <xdr:colOff>0</xdr:colOff>
      <xdr:row>43</xdr:row>
      <xdr:rowOff>0</xdr:rowOff>
    </xdr:from>
    <xdr:to>
      <xdr:col>16</xdr:col>
      <xdr:colOff>172750</xdr:colOff>
      <xdr:row>72</xdr:row>
      <xdr:rowOff>19824</xdr:rowOff>
    </xdr:to>
    <xdr:pic>
      <xdr:nvPicPr>
        <xdr:cNvPr id="3" name="Imagen 2">
          <a:extLst>
            <a:ext uri="{FF2B5EF4-FFF2-40B4-BE49-F238E27FC236}">
              <a16:creationId xmlns:a16="http://schemas.microsoft.com/office/drawing/2014/main" id="{B14121E2-B6D2-3FEF-A8C3-8676C41AC71D}"/>
            </a:ext>
          </a:extLst>
        </xdr:cNvPr>
        <xdr:cNvPicPr>
          <a:picLocks noChangeAspect="1"/>
        </xdr:cNvPicPr>
      </xdr:nvPicPr>
      <xdr:blipFill>
        <a:blip xmlns:r="http://schemas.openxmlformats.org/officeDocument/2006/relationships" r:embed="rId2"/>
        <a:stretch>
          <a:fillRect/>
        </a:stretch>
      </xdr:blipFill>
      <xdr:spPr>
        <a:xfrm>
          <a:off x="3048000" y="8191500"/>
          <a:ext cx="9316750" cy="5544324"/>
        </a:xfrm>
        <a:prstGeom prst="rect">
          <a:avLst/>
        </a:prstGeom>
      </xdr:spPr>
    </xdr:pic>
    <xdr:clientData/>
  </xdr:twoCellAnchor>
  <xdr:twoCellAnchor editAs="oneCell">
    <xdr:from>
      <xdr:col>4</xdr:col>
      <xdr:colOff>504825</xdr:colOff>
      <xdr:row>71</xdr:row>
      <xdr:rowOff>47625</xdr:rowOff>
    </xdr:from>
    <xdr:to>
      <xdr:col>15</xdr:col>
      <xdr:colOff>182100</xdr:colOff>
      <xdr:row>94</xdr:row>
      <xdr:rowOff>57763</xdr:rowOff>
    </xdr:to>
    <xdr:pic>
      <xdr:nvPicPr>
        <xdr:cNvPr id="4" name="Imagen 3">
          <a:extLst>
            <a:ext uri="{FF2B5EF4-FFF2-40B4-BE49-F238E27FC236}">
              <a16:creationId xmlns:a16="http://schemas.microsoft.com/office/drawing/2014/main" id="{B4809D53-83E9-177A-13A7-E7C174A877A7}"/>
            </a:ext>
          </a:extLst>
        </xdr:cNvPr>
        <xdr:cNvPicPr>
          <a:picLocks noChangeAspect="1"/>
        </xdr:cNvPicPr>
      </xdr:nvPicPr>
      <xdr:blipFill>
        <a:blip xmlns:r="http://schemas.openxmlformats.org/officeDocument/2006/relationships" r:embed="rId3"/>
        <a:stretch>
          <a:fillRect/>
        </a:stretch>
      </xdr:blipFill>
      <xdr:spPr>
        <a:xfrm>
          <a:off x="3552825" y="13573125"/>
          <a:ext cx="8059275" cy="4391638"/>
        </a:xfrm>
        <a:prstGeom prst="rect">
          <a:avLst/>
        </a:prstGeom>
      </xdr:spPr>
    </xdr:pic>
    <xdr:clientData/>
  </xdr:twoCellAnchor>
  <xdr:twoCellAnchor editAs="oneCell">
    <xdr:from>
      <xdr:col>4</xdr:col>
      <xdr:colOff>752475</xdr:colOff>
      <xdr:row>91</xdr:row>
      <xdr:rowOff>180975</xdr:rowOff>
    </xdr:from>
    <xdr:to>
      <xdr:col>15</xdr:col>
      <xdr:colOff>86802</xdr:colOff>
      <xdr:row>131</xdr:row>
      <xdr:rowOff>162986</xdr:rowOff>
    </xdr:to>
    <xdr:pic>
      <xdr:nvPicPr>
        <xdr:cNvPr id="6" name="Imagen 5">
          <a:extLst>
            <a:ext uri="{FF2B5EF4-FFF2-40B4-BE49-F238E27FC236}">
              <a16:creationId xmlns:a16="http://schemas.microsoft.com/office/drawing/2014/main" id="{9D1B91F0-645B-7324-5BB8-58E1BFFC11F0}"/>
            </a:ext>
          </a:extLst>
        </xdr:cNvPr>
        <xdr:cNvPicPr>
          <a:picLocks noChangeAspect="1"/>
        </xdr:cNvPicPr>
      </xdr:nvPicPr>
      <xdr:blipFill>
        <a:blip xmlns:r="http://schemas.openxmlformats.org/officeDocument/2006/relationships" r:embed="rId4"/>
        <a:stretch>
          <a:fillRect/>
        </a:stretch>
      </xdr:blipFill>
      <xdr:spPr>
        <a:xfrm>
          <a:off x="3800475" y="17516475"/>
          <a:ext cx="7716327" cy="7602011"/>
        </a:xfrm>
        <a:prstGeom prst="rect">
          <a:avLst/>
        </a:prstGeom>
      </xdr:spPr>
    </xdr:pic>
    <xdr:clientData/>
  </xdr:twoCellAnchor>
  <xdr:twoCellAnchor editAs="oneCell">
    <xdr:from>
      <xdr:col>5</xdr:col>
      <xdr:colOff>161925</xdr:colOff>
      <xdr:row>132</xdr:row>
      <xdr:rowOff>142875</xdr:rowOff>
    </xdr:from>
    <xdr:to>
      <xdr:col>14</xdr:col>
      <xdr:colOff>362935</xdr:colOff>
      <xdr:row>138</xdr:row>
      <xdr:rowOff>123982</xdr:rowOff>
    </xdr:to>
    <xdr:pic>
      <xdr:nvPicPr>
        <xdr:cNvPr id="14" name="Imagen 13">
          <a:extLst>
            <a:ext uri="{FF2B5EF4-FFF2-40B4-BE49-F238E27FC236}">
              <a16:creationId xmlns:a16="http://schemas.microsoft.com/office/drawing/2014/main" id="{6A8E5271-CD97-0C59-376A-B90950BD5D3B}"/>
            </a:ext>
          </a:extLst>
        </xdr:cNvPr>
        <xdr:cNvPicPr>
          <a:picLocks noChangeAspect="1"/>
        </xdr:cNvPicPr>
      </xdr:nvPicPr>
      <xdr:blipFill>
        <a:blip xmlns:r="http://schemas.openxmlformats.org/officeDocument/2006/relationships" r:embed="rId5"/>
        <a:stretch>
          <a:fillRect/>
        </a:stretch>
      </xdr:blipFill>
      <xdr:spPr>
        <a:xfrm>
          <a:off x="3971925" y="25288875"/>
          <a:ext cx="7059010" cy="1124107"/>
        </a:xfrm>
        <a:prstGeom prst="rect">
          <a:avLst/>
        </a:prstGeom>
      </xdr:spPr>
    </xdr:pic>
    <xdr:clientData/>
  </xdr:twoCellAnchor>
  <xdr:twoCellAnchor editAs="oneCell">
    <xdr:from>
      <xdr:col>5</xdr:col>
      <xdr:colOff>0</xdr:colOff>
      <xdr:row>139</xdr:row>
      <xdr:rowOff>0</xdr:rowOff>
    </xdr:from>
    <xdr:to>
      <xdr:col>16</xdr:col>
      <xdr:colOff>629908</xdr:colOff>
      <xdr:row>163</xdr:row>
      <xdr:rowOff>105428</xdr:rowOff>
    </xdr:to>
    <xdr:pic>
      <xdr:nvPicPr>
        <xdr:cNvPr id="15" name="Imagen 14">
          <a:extLst>
            <a:ext uri="{FF2B5EF4-FFF2-40B4-BE49-F238E27FC236}">
              <a16:creationId xmlns:a16="http://schemas.microsoft.com/office/drawing/2014/main" id="{AD5BA99D-B8FD-D769-2D05-5E3BBA99FCEC}"/>
            </a:ext>
          </a:extLst>
        </xdr:cNvPr>
        <xdr:cNvPicPr>
          <a:picLocks noChangeAspect="1"/>
        </xdr:cNvPicPr>
      </xdr:nvPicPr>
      <xdr:blipFill>
        <a:blip xmlns:r="http://schemas.openxmlformats.org/officeDocument/2006/relationships" r:embed="rId6"/>
        <a:stretch>
          <a:fillRect/>
        </a:stretch>
      </xdr:blipFill>
      <xdr:spPr>
        <a:xfrm>
          <a:off x="3810000" y="26479500"/>
          <a:ext cx="9011908" cy="46774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workbookViewId="0">
      <selection activeCell="C14" sqref="A14:C14"/>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78" t="s">
        <v>2</v>
      </c>
      <c r="D4" s="79"/>
      <c r="E4" s="79"/>
      <c r="F4" s="79"/>
      <c r="G4" s="80"/>
    </row>
    <row r="5" spans="1:8">
      <c r="C5" s="2" t="s">
        <v>3</v>
      </c>
      <c r="D5" s="2" t="s">
        <v>4</v>
      </c>
      <c r="E5" s="3" t="s">
        <v>5</v>
      </c>
      <c r="F5" s="2" t="s">
        <v>6</v>
      </c>
      <c r="G5" s="4" t="s">
        <v>7</v>
      </c>
    </row>
    <row r="6" spans="1:8" ht="15.75" thickBot="1">
      <c r="C6" s="5" t="s">
        <v>8</v>
      </c>
      <c r="D6" s="5" t="s">
        <v>9</v>
      </c>
      <c r="E6" s="6" t="s">
        <v>10</v>
      </c>
      <c r="F6" s="5" t="s">
        <v>11</v>
      </c>
      <c r="G6" s="7" t="s">
        <v>12</v>
      </c>
    </row>
    <row r="7" spans="1:8" ht="45.75" thickBot="1">
      <c r="C7" s="8" t="s">
        <v>13</v>
      </c>
      <c r="D7" s="9" t="s">
        <v>14</v>
      </c>
      <c r="E7" s="9" t="s">
        <v>15</v>
      </c>
      <c r="F7" s="9" t="s">
        <v>16</v>
      </c>
      <c r="G7" s="10" t="s">
        <v>17</v>
      </c>
    </row>
    <row r="8" spans="1:8">
      <c r="C8" s="11"/>
      <c r="D8" s="11"/>
      <c r="E8" s="11"/>
      <c r="F8" s="11"/>
      <c r="G8" s="12"/>
    </row>
    <row r="9" spans="1:8">
      <c r="A9" t="s">
        <v>18</v>
      </c>
      <c r="B9" s="13" t="s">
        <v>19</v>
      </c>
    </row>
    <row r="10" spans="1:8">
      <c r="B10" s="81" t="s">
        <v>20</v>
      </c>
      <c r="C10" s="82"/>
      <c r="D10" s="82"/>
      <c r="E10" s="82"/>
      <c r="F10" s="82"/>
      <c r="G10" s="82"/>
    </row>
    <row r="11" spans="1:8">
      <c r="B11" s="82"/>
      <c r="C11" s="82"/>
      <c r="D11" s="82"/>
      <c r="E11" s="82"/>
      <c r="F11" s="82"/>
      <c r="G11" s="82"/>
    </row>
    <row r="12" spans="1:8">
      <c r="B12" s="82"/>
      <c r="C12" s="82"/>
      <c r="D12" s="82"/>
      <c r="E12" s="82"/>
      <c r="F12" s="82"/>
      <c r="G12" s="82"/>
    </row>
    <row r="14" spans="1:8" ht="15.75" thickBot="1"/>
    <row r="15" spans="1:8" ht="15.75" thickBot="1">
      <c r="C15" s="78" t="s">
        <v>21</v>
      </c>
      <c r="D15" s="79"/>
      <c r="E15" s="79"/>
      <c r="F15" s="79"/>
      <c r="G15" s="80"/>
    </row>
    <row r="16" spans="1:8" ht="15.75" thickBot="1">
      <c r="B16" s="14"/>
      <c r="C16" s="15" t="s">
        <v>3</v>
      </c>
      <c r="D16" s="16" t="s">
        <v>4</v>
      </c>
      <c r="E16" s="17" t="s">
        <v>5</v>
      </c>
      <c r="F16" s="83" t="s">
        <v>22</v>
      </c>
      <c r="G16" s="84"/>
      <c r="H16" s="18"/>
    </row>
    <row r="17" spans="2:8" ht="15.75" thickBot="1">
      <c r="B17" s="19" t="s">
        <v>23</v>
      </c>
      <c r="C17" s="20" t="s">
        <v>24</v>
      </c>
      <c r="D17" s="21" t="s">
        <v>25</v>
      </c>
      <c r="E17" s="22" t="s">
        <v>26</v>
      </c>
      <c r="F17" s="85" t="s">
        <v>27</v>
      </c>
      <c r="G17" s="86"/>
      <c r="H17" s="18"/>
    </row>
    <row r="18" spans="2:8" ht="165.75" thickBot="1">
      <c r="B18" s="87" t="s">
        <v>28</v>
      </c>
      <c r="C18" s="23" t="s">
        <v>29</v>
      </c>
      <c r="D18" s="23" t="s">
        <v>30</v>
      </c>
      <c r="E18" s="23" t="s">
        <v>31</v>
      </c>
      <c r="F18" s="90" t="s">
        <v>32</v>
      </c>
      <c r="G18" s="91"/>
      <c r="H18" s="24" t="s">
        <v>33</v>
      </c>
    </row>
    <row r="19" spans="2:8">
      <c r="B19" s="88"/>
      <c r="C19" s="92" t="s">
        <v>34</v>
      </c>
      <c r="D19" s="92"/>
      <c r="E19" s="92" t="s">
        <v>35</v>
      </c>
      <c r="F19" s="92"/>
      <c r="G19" s="93"/>
      <c r="H19" s="18"/>
    </row>
    <row r="20" spans="2:8">
      <c r="B20" s="89"/>
      <c r="C20" s="94" t="s">
        <v>36</v>
      </c>
      <c r="D20" s="94"/>
      <c r="E20" s="94"/>
      <c r="F20" s="94"/>
      <c r="G20" s="95"/>
      <c r="H20" s="18"/>
    </row>
    <row r="21" spans="2:8" ht="15" customHeight="1">
      <c r="B21" s="96" t="s">
        <v>37</v>
      </c>
      <c r="C21" s="99" t="s">
        <v>38</v>
      </c>
      <c r="D21" s="100" t="s">
        <v>39</v>
      </c>
      <c r="E21" s="100" t="s">
        <v>40</v>
      </c>
      <c r="F21" s="103" t="s">
        <v>41</v>
      </c>
      <c r="G21" s="77"/>
    </row>
    <row r="22" spans="2:8">
      <c r="B22" s="97"/>
      <c r="C22" s="97"/>
      <c r="D22" s="97"/>
      <c r="E22" s="101"/>
      <c r="F22" s="104"/>
      <c r="G22" s="77"/>
    </row>
    <row r="23" spans="2:8">
      <c r="B23" s="97"/>
      <c r="C23" s="97"/>
      <c r="D23" s="97"/>
      <c r="E23" s="101"/>
      <c r="F23" s="104"/>
      <c r="G23" s="77"/>
    </row>
    <row r="24" spans="2:8">
      <c r="B24" s="97"/>
      <c r="C24" s="97"/>
      <c r="D24" s="97"/>
      <c r="E24" s="101"/>
      <c r="F24" s="104"/>
      <c r="G24" s="77"/>
    </row>
    <row r="25" spans="2:8">
      <c r="B25" s="97"/>
      <c r="C25" s="97"/>
      <c r="D25" s="97"/>
      <c r="E25" s="101"/>
      <c r="F25" s="104"/>
      <c r="G25" s="77"/>
    </row>
    <row r="26" spans="2:8">
      <c r="B26" s="97"/>
      <c r="C26" s="97"/>
      <c r="D26" s="97"/>
      <c r="E26" s="101"/>
      <c r="F26" s="104"/>
      <c r="G26" s="77"/>
    </row>
    <row r="27" spans="2:8">
      <c r="B27" s="97"/>
      <c r="C27" s="97"/>
      <c r="D27" s="97"/>
      <c r="E27" s="101"/>
      <c r="F27" s="104"/>
      <c r="G27" s="77"/>
    </row>
    <row r="28" spans="2:8">
      <c r="B28" s="97"/>
      <c r="C28" s="97"/>
      <c r="D28" s="97"/>
      <c r="E28" s="101"/>
      <c r="F28" s="104"/>
      <c r="G28" s="77"/>
    </row>
    <row r="29" spans="2:8">
      <c r="B29" s="97"/>
      <c r="C29" s="97"/>
      <c r="D29" s="97"/>
      <c r="E29" s="101"/>
      <c r="F29" s="104"/>
      <c r="G29" s="77"/>
    </row>
    <row r="30" spans="2:8">
      <c r="B30" s="97"/>
      <c r="C30" s="97"/>
      <c r="D30" s="97"/>
      <c r="E30" s="101"/>
      <c r="F30" s="104"/>
      <c r="G30" s="77"/>
    </row>
    <row r="31" spans="2:8">
      <c r="B31" s="97"/>
      <c r="C31" s="97"/>
      <c r="D31" s="97"/>
      <c r="E31" s="101"/>
      <c r="F31" s="104"/>
      <c r="G31" s="77"/>
    </row>
    <row r="32" spans="2:8">
      <c r="B32" s="97"/>
      <c r="C32" s="97"/>
      <c r="D32" s="97"/>
      <c r="E32" s="101"/>
      <c r="F32" s="104"/>
      <c r="G32" s="77"/>
    </row>
    <row r="33" spans="2:7">
      <c r="B33" s="97"/>
      <c r="C33" s="97"/>
      <c r="D33" s="97"/>
      <c r="E33" s="101"/>
      <c r="F33" s="104"/>
      <c r="G33" s="77"/>
    </row>
    <row r="34" spans="2:7">
      <c r="B34" s="98"/>
      <c r="C34" s="98"/>
      <c r="D34" s="98"/>
      <c r="E34" s="102"/>
      <c r="F34" s="104"/>
      <c r="G34" s="77"/>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39" workbookViewId="0">
      <selection activeCell="I173" sqref="I173"/>
    </sheetView>
  </sheetViews>
  <sheetFormatPr defaultColWidth="11.42578125"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20"/>
  <sheetViews>
    <sheetView tabSelected="1" workbookViewId="0">
      <selection activeCell="D10" sqref="D10"/>
    </sheetView>
  </sheetViews>
  <sheetFormatPr defaultColWidth="9.140625" defaultRowHeight="15"/>
  <cols>
    <col min="1" max="1" width="14.140625" style="35" customWidth="1"/>
    <col min="2" max="2" width="7.140625" style="35" bestFit="1" customWidth="1"/>
    <col min="3" max="3" width="46.140625" style="35" customWidth="1"/>
    <col min="4" max="4" width="21.140625" style="35" customWidth="1"/>
    <col min="5" max="5" width="21.5703125" style="35" customWidth="1"/>
    <col min="6" max="6" width="16.5703125" style="35" bestFit="1" customWidth="1"/>
    <col min="7" max="7" width="54.85546875" style="35" customWidth="1"/>
    <col min="8" max="8" width="15" style="35" bestFit="1" customWidth="1"/>
    <col min="9" max="9" width="13.7109375" style="35" bestFit="1" customWidth="1"/>
    <col min="10" max="10" width="23.42578125" style="35" bestFit="1" customWidth="1"/>
    <col min="11" max="11" width="22.140625" style="35" bestFit="1" customWidth="1"/>
    <col min="12" max="12" width="18.140625" style="35" bestFit="1" customWidth="1"/>
    <col min="13" max="14" width="19.42578125" style="35" bestFit="1" customWidth="1"/>
    <col min="15" max="15" width="17.28515625" style="35" bestFit="1" customWidth="1"/>
    <col min="16" max="16" width="15.7109375" style="35" bestFit="1" customWidth="1"/>
    <col min="17" max="17" width="18.140625" style="35" bestFit="1" customWidth="1"/>
    <col min="18" max="18" width="18.28515625" style="35" bestFit="1" customWidth="1"/>
    <col min="19" max="19" width="15.42578125" style="35" bestFit="1" customWidth="1"/>
    <col min="20" max="16384" width="9.140625" style="35"/>
  </cols>
  <sheetData>
    <row r="1" spans="1:19" ht="93" customHeight="1">
      <c r="A1" s="106"/>
      <c r="B1" s="106"/>
      <c r="C1" s="106"/>
      <c r="D1" s="106"/>
      <c r="E1" s="106"/>
      <c r="F1" s="106"/>
      <c r="G1" s="106"/>
      <c r="H1" s="106"/>
      <c r="I1" s="106"/>
      <c r="J1" s="106"/>
      <c r="K1" s="107" t="s">
        <v>42</v>
      </c>
      <c r="L1" s="107"/>
      <c r="M1" s="107"/>
      <c r="N1" s="107"/>
      <c r="O1" s="107"/>
      <c r="P1" s="107"/>
      <c r="Q1" s="105" t="s">
        <v>43</v>
      </c>
      <c r="R1" s="104"/>
      <c r="S1" s="104"/>
    </row>
    <row r="2" spans="1:19" ht="93" customHeight="1">
      <c r="A2" s="106"/>
      <c r="B2" s="106"/>
      <c r="C2" s="106"/>
      <c r="D2" s="106"/>
      <c r="E2" s="106"/>
      <c r="F2" s="106"/>
      <c r="G2" s="106"/>
      <c r="H2" s="106"/>
      <c r="I2" s="106"/>
      <c r="J2" s="106"/>
      <c r="K2" s="107"/>
      <c r="L2" s="107"/>
      <c r="M2" s="107"/>
      <c r="N2" s="107"/>
      <c r="O2" s="107"/>
      <c r="P2" s="107"/>
      <c r="Q2" s="104"/>
      <c r="R2" s="104"/>
      <c r="S2" s="104"/>
    </row>
    <row r="3" spans="1:19" s="61" customFormat="1" ht="121.5" customHeight="1">
      <c r="A3" s="129" t="s">
        <v>44</v>
      </c>
      <c r="B3" s="129" t="s">
        <v>45</v>
      </c>
      <c r="C3" s="129" t="s">
        <v>46</v>
      </c>
      <c r="D3" s="40" t="s">
        <v>47</v>
      </c>
      <c r="E3" s="40" t="s">
        <v>48</v>
      </c>
      <c r="F3" s="40" t="s">
        <v>49</v>
      </c>
      <c r="G3" s="40" t="s">
        <v>50</v>
      </c>
      <c r="H3" s="40" t="s">
        <v>51</v>
      </c>
      <c r="I3" s="40" t="s">
        <v>52</v>
      </c>
      <c r="J3" s="40" t="s">
        <v>53</v>
      </c>
      <c r="K3" s="38" t="s">
        <v>54</v>
      </c>
      <c r="L3" s="38" t="s">
        <v>55</v>
      </c>
      <c r="M3" s="38" t="s">
        <v>56</v>
      </c>
      <c r="N3" s="38" t="s">
        <v>57</v>
      </c>
      <c r="O3" s="38" t="s">
        <v>58</v>
      </c>
      <c r="P3" s="38" t="s">
        <v>59</v>
      </c>
      <c r="Q3" s="31" t="s">
        <v>60</v>
      </c>
      <c r="R3" s="31" t="s">
        <v>61</v>
      </c>
      <c r="S3" s="31" t="s">
        <v>62</v>
      </c>
    </row>
    <row r="4" spans="1:19">
      <c r="A4" s="123" t="s">
        <v>63</v>
      </c>
      <c r="B4" s="122" t="s">
        <v>64</v>
      </c>
      <c r="C4" s="130" t="s">
        <v>65</v>
      </c>
      <c r="D4" s="130"/>
      <c r="E4" s="62" t="s">
        <v>66</v>
      </c>
      <c r="F4" s="62" t="s">
        <v>67</v>
      </c>
      <c r="G4" s="63" t="s">
        <v>68</v>
      </c>
      <c r="H4" s="56" t="s">
        <v>69</v>
      </c>
      <c r="I4" s="57" t="s">
        <v>69</v>
      </c>
      <c r="J4" s="56" t="s">
        <v>69</v>
      </c>
      <c r="K4" s="48">
        <v>0</v>
      </c>
      <c r="L4" s="49">
        <v>0</v>
      </c>
      <c r="M4" s="49">
        <v>0</v>
      </c>
      <c r="N4" s="49">
        <v>0</v>
      </c>
      <c r="O4" s="49">
        <v>0</v>
      </c>
      <c r="P4" s="49">
        <v>0</v>
      </c>
      <c r="Q4" s="49">
        <f>SUM(K4:P4)</f>
        <v>0</v>
      </c>
      <c r="R4" s="50" t="s">
        <v>7</v>
      </c>
      <c r="S4" s="49" t="s">
        <v>70</v>
      </c>
    </row>
    <row r="5" spans="1:19">
      <c r="A5" s="123" t="s">
        <v>71</v>
      </c>
      <c r="B5" s="122" t="s">
        <v>72</v>
      </c>
      <c r="C5" s="130" t="s">
        <v>73</v>
      </c>
      <c r="D5" s="125" t="s">
        <v>74</v>
      </c>
      <c r="E5" s="64" t="s">
        <v>75</v>
      </c>
      <c r="F5" s="64" t="s">
        <v>76</v>
      </c>
      <c r="G5" s="65" t="s">
        <v>68</v>
      </c>
      <c r="H5" s="58" t="s">
        <v>69</v>
      </c>
      <c r="I5" s="59" t="s">
        <v>69</v>
      </c>
      <c r="J5" s="58" t="s">
        <v>69</v>
      </c>
      <c r="K5" s="51">
        <v>0</v>
      </c>
      <c r="L5" s="52">
        <v>0</v>
      </c>
      <c r="M5" s="52">
        <v>0</v>
      </c>
      <c r="N5" s="52">
        <v>0</v>
      </c>
      <c r="O5" s="52">
        <v>0</v>
      </c>
      <c r="P5" s="52">
        <v>0</v>
      </c>
      <c r="Q5" s="52">
        <f>SUM(K5:P5)</f>
        <v>0</v>
      </c>
      <c r="R5" s="53" t="s">
        <v>7</v>
      </c>
      <c r="S5" s="52" t="s">
        <v>70</v>
      </c>
    </row>
    <row r="6" spans="1:19">
      <c r="A6" s="123" t="s">
        <v>77</v>
      </c>
      <c r="B6" s="122" t="s">
        <v>78</v>
      </c>
      <c r="C6" s="130" t="s">
        <v>79</v>
      </c>
      <c r="D6" s="126" t="s">
        <v>80</v>
      </c>
      <c r="E6" s="66" t="s">
        <v>81</v>
      </c>
      <c r="F6" s="66" t="s">
        <v>82</v>
      </c>
      <c r="G6" s="42" t="s">
        <v>83</v>
      </c>
      <c r="H6" s="42" t="s">
        <v>84</v>
      </c>
      <c r="I6" s="43">
        <v>2024</v>
      </c>
      <c r="J6" s="42" t="s">
        <v>69</v>
      </c>
      <c r="K6" s="42">
        <v>3</v>
      </c>
      <c r="L6" s="42">
        <v>3</v>
      </c>
      <c r="M6" s="42">
        <v>2</v>
      </c>
      <c r="N6" s="42">
        <v>3</v>
      </c>
      <c r="O6" s="42">
        <v>3</v>
      </c>
      <c r="P6" s="42">
        <v>3</v>
      </c>
      <c r="Q6" s="42">
        <f>SUM(K6:P6)</f>
        <v>17</v>
      </c>
      <c r="R6" s="41">
        <v>0.94</v>
      </c>
      <c r="S6" s="42" t="s">
        <v>85</v>
      </c>
    </row>
    <row r="7" spans="1:19">
      <c r="A7" s="123" t="s">
        <v>86</v>
      </c>
      <c r="B7" s="122" t="s">
        <v>87</v>
      </c>
      <c r="C7" s="130" t="s">
        <v>88</v>
      </c>
      <c r="D7" s="126" t="s">
        <v>89</v>
      </c>
      <c r="E7" s="66" t="s">
        <v>90</v>
      </c>
      <c r="F7" s="66" t="s">
        <v>91</v>
      </c>
      <c r="G7" s="42" t="s">
        <v>83</v>
      </c>
      <c r="H7" s="42" t="s">
        <v>84</v>
      </c>
      <c r="I7" s="43">
        <v>2024</v>
      </c>
      <c r="J7" s="42" t="s">
        <v>69</v>
      </c>
      <c r="K7" s="42">
        <v>2</v>
      </c>
      <c r="L7" s="42">
        <v>3</v>
      </c>
      <c r="M7" s="42">
        <v>2</v>
      </c>
      <c r="N7" s="42">
        <v>2</v>
      </c>
      <c r="O7" s="42">
        <v>1</v>
      </c>
      <c r="P7" s="42">
        <v>2</v>
      </c>
      <c r="Q7" s="42">
        <f t="shared" ref="Q7:Q9" si="0">SUM(K7:P7)</f>
        <v>12</v>
      </c>
      <c r="R7" s="41">
        <v>0.66</v>
      </c>
      <c r="S7" s="42" t="s">
        <v>92</v>
      </c>
    </row>
    <row r="8" spans="1:19">
      <c r="A8" s="123" t="s">
        <v>93</v>
      </c>
      <c r="B8" s="122" t="s">
        <v>64</v>
      </c>
      <c r="C8" s="130" t="s">
        <v>94</v>
      </c>
      <c r="D8" s="126" t="s">
        <v>95</v>
      </c>
      <c r="E8" s="66" t="s">
        <v>96</v>
      </c>
      <c r="F8" s="66" t="s">
        <v>97</v>
      </c>
      <c r="G8" s="67" t="s">
        <v>83</v>
      </c>
      <c r="H8" s="42" t="s">
        <v>84</v>
      </c>
      <c r="I8" s="43">
        <v>2024</v>
      </c>
      <c r="J8" s="42" t="s">
        <v>69</v>
      </c>
      <c r="K8" s="42">
        <v>3</v>
      </c>
      <c r="L8" s="42">
        <v>3</v>
      </c>
      <c r="M8" s="42">
        <v>2</v>
      </c>
      <c r="N8" s="42">
        <v>3</v>
      </c>
      <c r="O8" s="42">
        <v>3</v>
      </c>
      <c r="P8" s="42">
        <v>3</v>
      </c>
      <c r="Q8" s="42">
        <f t="shared" si="0"/>
        <v>17</v>
      </c>
      <c r="R8" s="41">
        <v>0.94</v>
      </c>
      <c r="S8" s="42" t="s">
        <v>85</v>
      </c>
    </row>
    <row r="9" spans="1:19">
      <c r="A9" s="123" t="s">
        <v>98</v>
      </c>
      <c r="B9" s="122" t="s">
        <v>99</v>
      </c>
      <c r="C9" s="130" t="s">
        <v>100</v>
      </c>
      <c r="D9" s="126" t="s">
        <v>101</v>
      </c>
      <c r="E9" s="66" t="s">
        <v>102</v>
      </c>
      <c r="F9" s="66" t="s">
        <v>103</v>
      </c>
      <c r="G9" s="67" t="s">
        <v>83</v>
      </c>
      <c r="H9" s="42" t="s">
        <v>84</v>
      </c>
      <c r="I9" s="43">
        <v>2024</v>
      </c>
      <c r="J9" s="42" t="s">
        <v>69</v>
      </c>
      <c r="K9" s="42">
        <v>3</v>
      </c>
      <c r="L9" s="42">
        <v>3</v>
      </c>
      <c r="M9" s="42">
        <v>2</v>
      </c>
      <c r="N9" s="42">
        <v>3</v>
      </c>
      <c r="O9" s="42">
        <v>3</v>
      </c>
      <c r="P9" s="42">
        <v>3</v>
      </c>
      <c r="Q9" s="42">
        <f t="shared" si="0"/>
        <v>17</v>
      </c>
      <c r="R9" s="41">
        <v>0.94</v>
      </c>
      <c r="S9" s="42" t="s">
        <v>85</v>
      </c>
    </row>
    <row r="10" spans="1:19">
      <c r="A10" s="123" t="s">
        <v>104</v>
      </c>
      <c r="B10" s="122" t="s">
        <v>105</v>
      </c>
      <c r="C10" s="130" t="s">
        <v>106</v>
      </c>
      <c r="D10" s="127" t="s">
        <v>107</v>
      </c>
      <c r="E10" s="68" t="s">
        <v>108</v>
      </c>
      <c r="F10" s="68" t="s">
        <v>109</v>
      </c>
      <c r="G10" s="69" t="s">
        <v>68</v>
      </c>
      <c r="H10" s="54" t="s">
        <v>69</v>
      </c>
      <c r="I10" s="55" t="s">
        <v>69</v>
      </c>
      <c r="J10" s="54" t="s">
        <v>69</v>
      </c>
      <c r="K10" s="45">
        <v>0</v>
      </c>
      <c r="L10" s="46">
        <v>0</v>
      </c>
      <c r="M10" s="46">
        <v>0</v>
      </c>
      <c r="N10" s="46">
        <v>0</v>
      </c>
      <c r="O10" s="46">
        <v>0</v>
      </c>
      <c r="P10" s="46">
        <v>0</v>
      </c>
      <c r="Q10" s="46">
        <f>SUM(K10:P10)</f>
        <v>0</v>
      </c>
      <c r="R10" s="47" t="s">
        <v>7</v>
      </c>
      <c r="S10" s="70" t="s">
        <v>92</v>
      </c>
    </row>
    <row r="11" spans="1:19">
      <c r="A11" s="123" t="s">
        <v>110</v>
      </c>
      <c r="B11" s="122" t="s">
        <v>105</v>
      </c>
      <c r="C11" s="130" t="s">
        <v>111</v>
      </c>
      <c r="D11" s="126" t="s">
        <v>112</v>
      </c>
      <c r="E11" s="66" t="s">
        <v>113</v>
      </c>
      <c r="F11" s="66" t="s">
        <v>114</v>
      </c>
      <c r="G11" s="67" t="s">
        <v>83</v>
      </c>
      <c r="H11" s="42" t="s">
        <v>84</v>
      </c>
      <c r="I11" s="43">
        <v>2024</v>
      </c>
      <c r="J11" s="42" t="s">
        <v>69</v>
      </c>
      <c r="K11" s="42">
        <v>3</v>
      </c>
      <c r="L11" s="42">
        <v>2</v>
      </c>
      <c r="M11" s="42">
        <v>2</v>
      </c>
      <c r="N11" s="42">
        <v>3</v>
      </c>
      <c r="O11" s="42">
        <v>3</v>
      </c>
      <c r="P11" s="42">
        <v>2</v>
      </c>
      <c r="Q11" s="42">
        <f>SUM(K11:P11)</f>
        <v>15</v>
      </c>
      <c r="R11" s="41">
        <v>0.83</v>
      </c>
      <c r="S11" s="42" t="s">
        <v>92</v>
      </c>
    </row>
    <row r="12" spans="1:19">
      <c r="A12" s="123" t="s">
        <v>115</v>
      </c>
      <c r="B12" s="122" t="s">
        <v>116</v>
      </c>
      <c r="C12" s="130" t="s">
        <v>117</v>
      </c>
      <c r="D12" s="127" t="s">
        <v>118</v>
      </c>
      <c r="E12" s="68" t="s">
        <v>119</v>
      </c>
      <c r="F12" s="68" t="s">
        <v>120</v>
      </c>
      <c r="G12" s="69" t="s">
        <v>68</v>
      </c>
      <c r="H12" s="54" t="s">
        <v>69</v>
      </c>
      <c r="I12" s="55" t="s">
        <v>69</v>
      </c>
      <c r="J12" s="54" t="s">
        <v>69</v>
      </c>
      <c r="K12" s="45">
        <v>0</v>
      </c>
      <c r="L12" s="46">
        <v>0</v>
      </c>
      <c r="M12" s="46">
        <v>0</v>
      </c>
      <c r="N12" s="46">
        <v>0</v>
      </c>
      <c r="O12" s="46">
        <v>0</v>
      </c>
      <c r="P12" s="46">
        <v>0</v>
      </c>
      <c r="Q12" s="46">
        <f>SUM(K12:P12)</f>
        <v>0</v>
      </c>
      <c r="R12" s="47" t="s">
        <v>7</v>
      </c>
      <c r="S12" s="70" t="s">
        <v>70</v>
      </c>
    </row>
    <row r="13" spans="1:19">
      <c r="A13" s="123" t="s">
        <v>121</v>
      </c>
      <c r="B13" s="122" t="s">
        <v>122</v>
      </c>
      <c r="C13" s="130" t="s">
        <v>123</v>
      </c>
      <c r="D13" s="126" t="s">
        <v>124</v>
      </c>
      <c r="E13" s="66" t="s">
        <v>125</v>
      </c>
      <c r="F13" s="66" t="s">
        <v>126</v>
      </c>
      <c r="G13" s="67" t="s">
        <v>83</v>
      </c>
      <c r="H13" s="42" t="s">
        <v>84</v>
      </c>
      <c r="I13" s="43">
        <v>2024</v>
      </c>
      <c r="J13" s="42" t="s">
        <v>69</v>
      </c>
      <c r="K13" s="42">
        <v>1</v>
      </c>
      <c r="L13" s="42">
        <v>3</v>
      </c>
      <c r="M13" s="42">
        <v>1</v>
      </c>
      <c r="N13" s="42">
        <v>1</v>
      </c>
      <c r="O13" s="42">
        <v>1</v>
      </c>
      <c r="P13" s="42">
        <v>2</v>
      </c>
      <c r="Q13" s="42">
        <f t="shared" ref="Q13:Q14" si="1">SUM(K13:P13)</f>
        <v>9</v>
      </c>
      <c r="R13" s="41">
        <v>0.5</v>
      </c>
      <c r="S13" s="42" t="s">
        <v>127</v>
      </c>
    </row>
    <row r="14" spans="1:19">
      <c r="A14" s="123" t="s">
        <v>128</v>
      </c>
      <c r="B14" s="122" t="s">
        <v>105</v>
      </c>
      <c r="C14" s="130" t="s">
        <v>129</v>
      </c>
      <c r="D14" s="126" t="s">
        <v>130</v>
      </c>
      <c r="E14" s="66" t="s">
        <v>131</v>
      </c>
      <c r="F14" s="66" t="s">
        <v>132</v>
      </c>
      <c r="G14" s="67" t="s">
        <v>83</v>
      </c>
      <c r="H14" s="42" t="s">
        <v>84</v>
      </c>
      <c r="I14" s="43">
        <v>2024</v>
      </c>
      <c r="J14" s="42" t="s">
        <v>69</v>
      </c>
      <c r="K14" s="42">
        <v>2</v>
      </c>
      <c r="L14" s="42">
        <v>2</v>
      </c>
      <c r="M14" s="42">
        <v>1</v>
      </c>
      <c r="N14" s="42">
        <v>2</v>
      </c>
      <c r="O14" s="42">
        <v>1</v>
      </c>
      <c r="P14" s="42">
        <v>1</v>
      </c>
      <c r="Q14" s="42">
        <f t="shared" si="1"/>
        <v>9</v>
      </c>
      <c r="R14" s="41">
        <v>0.5</v>
      </c>
      <c r="S14" s="42" t="s">
        <v>127</v>
      </c>
    </row>
    <row r="15" spans="1:19">
      <c r="A15" s="123" t="s">
        <v>133</v>
      </c>
      <c r="B15" s="122" t="s">
        <v>116</v>
      </c>
      <c r="C15" s="130" t="s">
        <v>134</v>
      </c>
      <c r="D15" s="127" t="s">
        <v>135</v>
      </c>
      <c r="E15" s="68" t="s">
        <v>136</v>
      </c>
      <c r="F15" s="68" t="s">
        <v>137</v>
      </c>
      <c r="G15" s="69" t="s">
        <v>68</v>
      </c>
      <c r="H15" s="54" t="s">
        <v>69</v>
      </c>
      <c r="I15" s="55" t="s">
        <v>69</v>
      </c>
      <c r="J15" s="54" t="s">
        <v>69</v>
      </c>
      <c r="K15" s="45">
        <v>0</v>
      </c>
      <c r="L15" s="46">
        <v>0</v>
      </c>
      <c r="M15" s="46">
        <v>0</v>
      </c>
      <c r="N15" s="46">
        <v>0</v>
      </c>
      <c r="O15" s="46">
        <v>0</v>
      </c>
      <c r="P15" s="46">
        <v>0</v>
      </c>
      <c r="Q15" s="46">
        <f>SUM(K15:P15)</f>
        <v>0</v>
      </c>
      <c r="R15" s="47" t="s">
        <v>7</v>
      </c>
      <c r="S15" s="46" t="s">
        <v>70</v>
      </c>
    </row>
    <row r="16" spans="1:19">
      <c r="A16" s="123" t="s">
        <v>138</v>
      </c>
      <c r="B16" s="122" t="s">
        <v>122</v>
      </c>
      <c r="C16" s="130" t="s">
        <v>139</v>
      </c>
      <c r="D16" s="126" t="s">
        <v>140</v>
      </c>
      <c r="E16" s="66" t="s">
        <v>141</v>
      </c>
      <c r="F16" s="66" t="s">
        <v>142</v>
      </c>
      <c r="G16" s="67" t="s">
        <v>83</v>
      </c>
      <c r="H16" s="42" t="s">
        <v>84</v>
      </c>
      <c r="I16" s="43">
        <v>2024</v>
      </c>
      <c r="J16" s="42" t="s">
        <v>69</v>
      </c>
      <c r="K16" s="42">
        <v>1</v>
      </c>
      <c r="L16" s="42">
        <v>1</v>
      </c>
      <c r="M16" s="42">
        <v>2</v>
      </c>
      <c r="N16" s="42">
        <v>3</v>
      </c>
      <c r="O16" s="42">
        <v>2</v>
      </c>
      <c r="P16" s="42">
        <v>2</v>
      </c>
      <c r="Q16" s="42">
        <f>SUM(K16:P16)</f>
        <v>11</v>
      </c>
      <c r="R16" s="41">
        <v>0.61</v>
      </c>
      <c r="S16" s="42" t="s">
        <v>127</v>
      </c>
    </row>
    <row r="17" spans="1:19">
      <c r="A17" s="123" t="s">
        <v>143</v>
      </c>
      <c r="B17" s="122" t="s">
        <v>144</v>
      </c>
      <c r="C17" s="130" t="s">
        <v>145</v>
      </c>
      <c r="D17" s="127" t="s">
        <v>146</v>
      </c>
      <c r="E17" s="68" t="s">
        <v>136</v>
      </c>
      <c r="F17" s="68" t="s">
        <v>147</v>
      </c>
      <c r="G17" s="69" t="s">
        <v>68</v>
      </c>
      <c r="H17" s="54" t="s">
        <v>69</v>
      </c>
      <c r="I17" s="55" t="s">
        <v>69</v>
      </c>
      <c r="J17" s="54" t="s">
        <v>69</v>
      </c>
      <c r="K17" s="45">
        <v>0</v>
      </c>
      <c r="L17" s="46">
        <v>0</v>
      </c>
      <c r="M17" s="46">
        <v>0</v>
      </c>
      <c r="N17" s="46">
        <v>0</v>
      </c>
      <c r="O17" s="46">
        <v>0</v>
      </c>
      <c r="P17" s="46">
        <v>0</v>
      </c>
      <c r="Q17" s="46">
        <f>SUM(K17:P17)</f>
        <v>0</v>
      </c>
      <c r="R17" s="47" t="s">
        <v>7</v>
      </c>
      <c r="S17" s="46" t="s">
        <v>70</v>
      </c>
    </row>
    <row r="18" spans="1:19">
      <c r="A18" s="123" t="s">
        <v>148</v>
      </c>
      <c r="B18" s="122" t="s">
        <v>99</v>
      </c>
      <c r="C18" s="130" t="s">
        <v>149</v>
      </c>
      <c r="D18" s="126" t="s">
        <v>150</v>
      </c>
      <c r="E18" s="66" t="s">
        <v>151</v>
      </c>
      <c r="F18" s="66" t="s">
        <v>152</v>
      </c>
      <c r="G18" s="67" t="s">
        <v>83</v>
      </c>
      <c r="H18" s="42" t="s">
        <v>84</v>
      </c>
      <c r="I18" s="43">
        <v>2024</v>
      </c>
      <c r="J18" s="42" t="s">
        <v>69</v>
      </c>
      <c r="K18" s="42">
        <v>2</v>
      </c>
      <c r="L18" s="42">
        <v>3</v>
      </c>
      <c r="M18" s="42">
        <v>1</v>
      </c>
      <c r="N18" s="42">
        <v>2</v>
      </c>
      <c r="O18" s="42">
        <v>3</v>
      </c>
      <c r="P18" s="42">
        <v>3</v>
      </c>
      <c r="Q18" s="42">
        <f t="shared" ref="Q18:Q22" si="2">SUM(K18:P18)</f>
        <v>14</v>
      </c>
      <c r="R18" s="41">
        <v>0.78</v>
      </c>
      <c r="S18" s="42" t="s">
        <v>92</v>
      </c>
    </row>
    <row r="19" spans="1:19">
      <c r="A19" s="123" t="s">
        <v>153</v>
      </c>
      <c r="B19" s="122" t="s">
        <v>64</v>
      </c>
      <c r="C19" s="130" t="s">
        <v>154</v>
      </c>
      <c r="D19" s="126" t="s">
        <v>155</v>
      </c>
      <c r="E19" s="66" t="s">
        <v>156</v>
      </c>
      <c r="F19" s="66" t="s">
        <v>157</v>
      </c>
      <c r="G19" s="67" t="s">
        <v>83</v>
      </c>
      <c r="H19" s="42" t="s">
        <v>84</v>
      </c>
      <c r="I19" s="43">
        <v>2024</v>
      </c>
      <c r="J19" s="42" t="s">
        <v>69</v>
      </c>
      <c r="K19" s="42">
        <v>3</v>
      </c>
      <c r="L19" s="42">
        <v>3</v>
      </c>
      <c r="M19" s="42">
        <v>3</v>
      </c>
      <c r="N19" s="42">
        <v>3</v>
      </c>
      <c r="O19" s="42">
        <v>3</v>
      </c>
      <c r="P19" s="42">
        <v>3</v>
      </c>
      <c r="Q19" s="42">
        <f t="shared" si="2"/>
        <v>18</v>
      </c>
      <c r="R19" s="41">
        <v>1</v>
      </c>
      <c r="S19" s="42" t="s">
        <v>85</v>
      </c>
    </row>
    <row r="20" spans="1:19">
      <c r="A20" s="123" t="s">
        <v>158</v>
      </c>
      <c r="B20" s="122" t="s">
        <v>99</v>
      </c>
      <c r="C20" s="130" t="s">
        <v>159</v>
      </c>
      <c r="D20" s="126" t="s">
        <v>155</v>
      </c>
      <c r="E20" s="66" t="s">
        <v>156</v>
      </c>
      <c r="F20" s="66" t="s">
        <v>160</v>
      </c>
      <c r="G20" s="67" t="s">
        <v>83</v>
      </c>
      <c r="H20" s="42" t="s">
        <v>84</v>
      </c>
      <c r="I20" s="43">
        <v>2024</v>
      </c>
      <c r="J20" s="42" t="s">
        <v>69</v>
      </c>
      <c r="K20" s="42">
        <v>3</v>
      </c>
      <c r="L20" s="42">
        <v>3</v>
      </c>
      <c r="M20" s="42">
        <v>1</v>
      </c>
      <c r="N20" s="42">
        <v>1</v>
      </c>
      <c r="O20" s="42">
        <v>2</v>
      </c>
      <c r="P20" s="42">
        <v>2</v>
      </c>
      <c r="Q20" s="42">
        <f t="shared" si="2"/>
        <v>12</v>
      </c>
      <c r="R20" s="41">
        <v>0.67</v>
      </c>
      <c r="S20" s="42" t="s">
        <v>92</v>
      </c>
    </row>
    <row r="21" spans="1:19">
      <c r="A21" s="123" t="s">
        <v>161</v>
      </c>
      <c r="B21" s="122" t="s">
        <v>72</v>
      </c>
      <c r="C21" s="130" t="s">
        <v>162</v>
      </c>
      <c r="D21" s="126" t="s">
        <v>163</v>
      </c>
      <c r="E21" s="66" t="s">
        <v>164</v>
      </c>
      <c r="F21" s="66" t="s">
        <v>165</v>
      </c>
      <c r="G21" s="67" t="s">
        <v>83</v>
      </c>
      <c r="H21" s="42" t="s">
        <v>84</v>
      </c>
      <c r="I21" s="43">
        <v>2024</v>
      </c>
      <c r="J21" s="42" t="s">
        <v>69</v>
      </c>
      <c r="K21" s="42">
        <v>3</v>
      </c>
      <c r="L21" s="42">
        <v>3</v>
      </c>
      <c r="M21" s="42">
        <v>3</v>
      </c>
      <c r="N21" s="42">
        <v>3</v>
      </c>
      <c r="O21" s="42">
        <v>3</v>
      </c>
      <c r="P21" s="42">
        <v>2</v>
      </c>
      <c r="Q21" s="42">
        <f t="shared" si="2"/>
        <v>17</v>
      </c>
      <c r="R21" s="41">
        <v>0.94</v>
      </c>
      <c r="S21" s="42" t="s">
        <v>85</v>
      </c>
    </row>
    <row r="22" spans="1:19">
      <c r="A22" s="123" t="s">
        <v>166</v>
      </c>
      <c r="B22" s="122" t="s">
        <v>78</v>
      </c>
      <c r="C22" s="130" t="s">
        <v>167</v>
      </c>
      <c r="D22" s="126" t="s">
        <v>163</v>
      </c>
      <c r="E22" s="66" t="s">
        <v>168</v>
      </c>
      <c r="F22" s="66" t="s">
        <v>169</v>
      </c>
      <c r="G22" s="67" t="s">
        <v>83</v>
      </c>
      <c r="H22" s="42" t="s">
        <v>84</v>
      </c>
      <c r="I22" s="43">
        <v>2024</v>
      </c>
      <c r="J22" s="42" t="s">
        <v>69</v>
      </c>
      <c r="K22" s="42">
        <v>1</v>
      </c>
      <c r="L22" s="42">
        <v>1</v>
      </c>
      <c r="M22" s="42">
        <v>2</v>
      </c>
      <c r="N22" s="42">
        <v>2</v>
      </c>
      <c r="O22" s="42">
        <v>1</v>
      </c>
      <c r="P22" s="42">
        <v>2</v>
      </c>
      <c r="Q22" s="42">
        <f t="shared" si="2"/>
        <v>9</v>
      </c>
      <c r="R22" s="41">
        <v>0.5</v>
      </c>
      <c r="S22" s="42" t="s">
        <v>127</v>
      </c>
    </row>
    <row r="23" spans="1:19">
      <c r="A23" s="123" t="s">
        <v>170</v>
      </c>
      <c r="B23" s="122" t="s">
        <v>64</v>
      </c>
      <c r="C23" s="130" t="s">
        <v>171</v>
      </c>
      <c r="D23" s="127" t="s">
        <v>172</v>
      </c>
      <c r="E23" s="68" t="s">
        <v>173</v>
      </c>
      <c r="F23" s="68" t="s">
        <v>174</v>
      </c>
      <c r="G23" s="71" t="s">
        <v>175</v>
      </c>
      <c r="H23" s="54" t="s">
        <v>69</v>
      </c>
      <c r="I23" s="55" t="s">
        <v>69</v>
      </c>
      <c r="J23" s="54" t="s">
        <v>69</v>
      </c>
      <c r="K23" s="45">
        <v>0</v>
      </c>
      <c r="L23" s="46">
        <v>0</v>
      </c>
      <c r="M23" s="46">
        <v>0</v>
      </c>
      <c r="N23" s="46">
        <v>0</v>
      </c>
      <c r="O23" s="46">
        <v>0</v>
      </c>
      <c r="P23" s="46">
        <v>0</v>
      </c>
      <c r="Q23" s="46">
        <f>SUM(K23:P23)</f>
        <v>0</v>
      </c>
      <c r="R23" s="47" t="s">
        <v>7</v>
      </c>
      <c r="S23" s="46" t="s">
        <v>70</v>
      </c>
    </row>
    <row r="24" spans="1:19">
      <c r="A24" s="123" t="s">
        <v>176</v>
      </c>
      <c r="B24" s="122" t="s">
        <v>72</v>
      </c>
      <c r="C24" s="130" t="s">
        <v>177</v>
      </c>
      <c r="D24" s="126" t="s">
        <v>178</v>
      </c>
      <c r="E24" s="66" t="s">
        <v>179</v>
      </c>
      <c r="F24" s="66" t="s">
        <v>180</v>
      </c>
      <c r="G24" s="67" t="s">
        <v>83</v>
      </c>
      <c r="H24" s="42" t="s">
        <v>84</v>
      </c>
      <c r="I24" s="43">
        <v>2024</v>
      </c>
      <c r="J24" s="42" t="s">
        <v>69</v>
      </c>
      <c r="K24" s="42">
        <v>3</v>
      </c>
      <c r="L24" s="42">
        <v>3</v>
      </c>
      <c r="M24" s="42">
        <v>2</v>
      </c>
      <c r="N24" s="42">
        <v>3</v>
      </c>
      <c r="O24" s="42">
        <v>3</v>
      </c>
      <c r="P24" s="42">
        <v>2</v>
      </c>
      <c r="Q24" s="42">
        <f t="shared" ref="Q24:Q25" si="3">SUM(K24:P24)</f>
        <v>16</v>
      </c>
      <c r="R24" s="41">
        <v>0.89</v>
      </c>
      <c r="S24" s="42" t="s">
        <v>85</v>
      </c>
    </row>
    <row r="25" spans="1:19">
      <c r="A25" s="123" t="s">
        <v>181</v>
      </c>
      <c r="B25" s="122" t="s">
        <v>182</v>
      </c>
      <c r="C25" s="130" t="s">
        <v>183</v>
      </c>
      <c r="D25" s="126" t="s">
        <v>184</v>
      </c>
      <c r="E25" s="66" t="s">
        <v>185</v>
      </c>
      <c r="F25" s="66" t="s">
        <v>186</v>
      </c>
      <c r="G25" s="67" t="s">
        <v>83</v>
      </c>
      <c r="H25" s="42" t="s">
        <v>84</v>
      </c>
      <c r="I25" s="43">
        <v>2024</v>
      </c>
      <c r="J25" s="42" t="s">
        <v>69</v>
      </c>
      <c r="K25" s="42">
        <v>2</v>
      </c>
      <c r="L25" s="42">
        <v>3</v>
      </c>
      <c r="M25" s="42">
        <v>2</v>
      </c>
      <c r="N25" s="42">
        <v>3</v>
      </c>
      <c r="O25" s="42">
        <v>3</v>
      </c>
      <c r="P25" s="42">
        <v>2</v>
      </c>
      <c r="Q25" s="42">
        <f t="shared" si="3"/>
        <v>15</v>
      </c>
      <c r="R25" s="44">
        <v>0.83</v>
      </c>
      <c r="S25" s="43" t="s">
        <v>92</v>
      </c>
    </row>
    <row r="26" spans="1:19">
      <c r="A26" s="123" t="s">
        <v>187</v>
      </c>
      <c r="B26" s="122" t="s">
        <v>122</v>
      </c>
      <c r="C26" s="130" t="s">
        <v>188</v>
      </c>
      <c r="D26" s="127" t="s">
        <v>189</v>
      </c>
      <c r="E26" s="68" t="s">
        <v>140</v>
      </c>
      <c r="F26" s="68" t="s">
        <v>190</v>
      </c>
      <c r="G26" s="72" t="s">
        <v>68</v>
      </c>
      <c r="H26" s="54" t="s">
        <v>69</v>
      </c>
      <c r="I26" s="55" t="s">
        <v>69</v>
      </c>
      <c r="J26" s="54" t="s">
        <v>69</v>
      </c>
      <c r="K26" s="45">
        <v>0</v>
      </c>
      <c r="L26" s="46">
        <v>0</v>
      </c>
      <c r="M26" s="46">
        <v>0</v>
      </c>
      <c r="N26" s="46">
        <v>0</v>
      </c>
      <c r="O26" s="46">
        <v>0</v>
      </c>
      <c r="P26" s="46">
        <v>0</v>
      </c>
      <c r="Q26" s="46">
        <f>SUM(K26:P26)</f>
        <v>0</v>
      </c>
      <c r="R26" s="47" t="s">
        <v>7</v>
      </c>
      <c r="S26" s="46" t="s">
        <v>70</v>
      </c>
    </row>
    <row r="27" spans="1:19">
      <c r="A27" s="123" t="s">
        <v>191</v>
      </c>
      <c r="B27" s="122" t="s">
        <v>116</v>
      </c>
      <c r="C27" s="130" t="s">
        <v>192</v>
      </c>
      <c r="D27" s="126" t="s">
        <v>189</v>
      </c>
      <c r="E27" s="66" t="s">
        <v>193</v>
      </c>
      <c r="F27" s="66" t="s">
        <v>194</v>
      </c>
      <c r="G27" s="67" t="s">
        <v>83</v>
      </c>
      <c r="H27" s="42" t="s">
        <v>84</v>
      </c>
      <c r="I27" s="43">
        <v>2024</v>
      </c>
      <c r="J27" s="42" t="s">
        <v>69</v>
      </c>
      <c r="K27" s="42">
        <v>2</v>
      </c>
      <c r="L27" s="42">
        <v>3</v>
      </c>
      <c r="M27" s="42">
        <v>2</v>
      </c>
      <c r="N27" s="42">
        <v>3</v>
      </c>
      <c r="O27" s="42">
        <v>3</v>
      </c>
      <c r="P27" s="42">
        <v>2</v>
      </c>
      <c r="Q27" s="42">
        <f>SUM(K27:P27)</f>
        <v>15</v>
      </c>
      <c r="R27" s="41">
        <v>0.83</v>
      </c>
      <c r="S27" s="42" t="s">
        <v>92</v>
      </c>
    </row>
    <row r="28" spans="1:19">
      <c r="A28" s="123" t="s">
        <v>195</v>
      </c>
      <c r="B28" s="122" t="s">
        <v>78</v>
      </c>
      <c r="C28" s="130" t="s">
        <v>196</v>
      </c>
      <c r="D28" s="127" t="s">
        <v>197</v>
      </c>
      <c r="E28" s="68" t="s">
        <v>198</v>
      </c>
      <c r="F28" s="68" t="s">
        <v>199</v>
      </c>
      <c r="G28" s="71" t="s">
        <v>68</v>
      </c>
      <c r="H28" s="54" t="s">
        <v>69</v>
      </c>
      <c r="I28" s="55" t="s">
        <v>69</v>
      </c>
      <c r="J28" s="54" t="s">
        <v>69</v>
      </c>
      <c r="K28" s="45">
        <v>0</v>
      </c>
      <c r="L28" s="46">
        <v>0</v>
      </c>
      <c r="M28" s="46">
        <v>0</v>
      </c>
      <c r="N28" s="46">
        <v>0</v>
      </c>
      <c r="O28" s="46">
        <v>0</v>
      </c>
      <c r="P28" s="46">
        <v>0</v>
      </c>
      <c r="Q28" s="46">
        <f>SUM(K28:P28)</f>
        <v>0</v>
      </c>
      <c r="R28" s="47" t="s">
        <v>7</v>
      </c>
      <c r="S28" s="46" t="s">
        <v>70</v>
      </c>
    </row>
    <row r="29" spans="1:19">
      <c r="A29" s="123" t="s">
        <v>200</v>
      </c>
      <c r="B29" s="122" t="s">
        <v>105</v>
      </c>
      <c r="C29" s="130" t="s">
        <v>201</v>
      </c>
      <c r="D29" s="126" t="s">
        <v>202</v>
      </c>
      <c r="E29" s="66" t="s">
        <v>203</v>
      </c>
      <c r="F29" s="66" t="s">
        <v>204</v>
      </c>
      <c r="G29" s="67" t="s">
        <v>83</v>
      </c>
      <c r="H29" s="42" t="s">
        <v>84</v>
      </c>
      <c r="I29" s="43">
        <v>2024</v>
      </c>
      <c r="J29" s="42" t="s">
        <v>69</v>
      </c>
      <c r="K29" s="42">
        <v>1</v>
      </c>
      <c r="L29" s="42">
        <v>2</v>
      </c>
      <c r="M29" s="42">
        <v>1</v>
      </c>
      <c r="N29" s="42">
        <v>2</v>
      </c>
      <c r="O29" s="42">
        <v>2</v>
      </c>
      <c r="P29" s="42">
        <v>1</v>
      </c>
      <c r="Q29" s="42">
        <f t="shared" ref="Q29:Q38" si="4">SUM(K29:P29)</f>
        <v>9</v>
      </c>
      <c r="R29" s="41">
        <v>0.5</v>
      </c>
      <c r="S29" s="42" t="s">
        <v>127</v>
      </c>
    </row>
    <row r="30" spans="1:19">
      <c r="A30" s="123" t="s">
        <v>205</v>
      </c>
      <c r="B30" s="122" t="s">
        <v>87</v>
      </c>
      <c r="C30" s="130" t="s">
        <v>206</v>
      </c>
      <c r="D30" s="126" t="s">
        <v>207</v>
      </c>
      <c r="E30" s="66" t="s">
        <v>207</v>
      </c>
      <c r="F30" s="66" t="s">
        <v>208</v>
      </c>
      <c r="G30" s="67" t="s">
        <v>83</v>
      </c>
      <c r="H30" s="42" t="s">
        <v>84</v>
      </c>
      <c r="I30" s="43">
        <v>2024</v>
      </c>
      <c r="J30" s="42" t="s">
        <v>69</v>
      </c>
      <c r="K30" s="42">
        <v>2</v>
      </c>
      <c r="L30" s="42">
        <v>3</v>
      </c>
      <c r="M30" s="42">
        <v>1</v>
      </c>
      <c r="N30" s="42">
        <v>2</v>
      </c>
      <c r="O30" s="42">
        <v>3</v>
      </c>
      <c r="P30" s="42">
        <v>2</v>
      </c>
      <c r="Q30" s="42">
        <f t="shared" si="4"/>
        <v>13</v>
      </c>
      <c r="R30" s="41">
        <v>0.72</v>
      </c>
      <c r="S30" s="42" t="s">
        <v>127</v>
      </c>
    </row>
    <row r="31" spans="1:19">
      <c r="A31" s="123" t="s">
        <v>209</v>
      </c>
      <c r="B31" s="122" t="s">
        <v>64</v>
      </c>
      <c r="C31" s="130" t="s">
        <v>210</v>
      </c>
      <c r="D31" s="126" t="s">
        <v>211</v>
      </c>
      <c r="E31" s="66" t="s">
        <v>212</v>
      </c>
      <c r="F31" s="66" t="s">
        <v>213</v>
      </c>
      <c r="G31" s="67" t="s">
        <v>83</v>
      </c>
      <c r="H31" s="42" t="s">
        <v>84</v>
      </c>
      <c r="I31" s="43">
        <v>2024</v>
      </c>
      <c r="J31" s="42" t="s">
        <v>69</v>
      </c>
      <c r="K31" s="42">
        <v>3</v>
      </c>
      <c r="L31" s="42">
        <v>2</v>
      </c>
      <c r="M31" s="42">
        <v>3</v>
      </c>
      <c r="N31" s="42">
        <v>3</v>
      </c>
      <c r="O31" s="42">
        <v>3</v>
      </c>
      <c r="P31" s="42">
        <v>2</v>
      </c>
      <c r="Q31" s="42">
        <f t="shared" si="4"/>
        <v>16</v>
      </c>
      <c r="R31" s="41">
        <v>0.89</v>
      </c>
      <c r="S31" s="42" t="s">
        <v>85</v>
      </c>
    </row>
    <row r="32" spans="1:19">
      <c r="A32" s="123" t="s">
        <v>214</v>
      </c>
      <c r="B32" s="122" t="s">
        <v>87</v>
      </c>
      <c r="C32" s="130" t="s">
        <v>215</v>
      </c>
      <c r="D32" s="126" t="s">
        <v>216</v>
      </c>
      <c r="E32" s="66" t="s">
        <v>217</v>
      </c>
      <c r="F32" s="66" t="s">
        <v>218</v>
      </c>
      <c r="G32" s="67" t="s">
        <v>83</v>
      </c>
      <c r="H32" s="42" t="s">
        <v>84</v>
      </c>
      <c r="I32" s="43">
        <v>2024</v>
      </c>
      <c r="J32" s="42" t="s">
        <v>69</v>
      </c>
      <c r="K32" s="42">
        <v>3</v>
      </c>
      <c r="L32" s="42">
        <v>3</v>
      </c>
      <c r="M32" s="42">
        <v>1</v>
      </c>
      <c r="N32" s="42">
        <v>3</v>
      </c>
      <c r="O32" s="42">
        <v>3</v>
      </c>
      <c r="P32" s="42">
        <v>3</v>
      </c>
      <c r="Q32" s="42">
        <f t="shared" si="4"/>
        <v>16</v>
      </c>
      <c r="R32" s="41">
        <v>0.89</v>
      </c>
      <c r="S32" s="42" t="s">
        <v>85</v>
      </c>
    </row>
    <row r="33" spans="1:19">
      <c r="A33" s="123" t="s">
        <v>219</v>
      </c>
      <c r="B33" s="122" t="s">
        <v>182</v>
      </c>
      <c r="C33" s="130" t="s">
        <v>220</v>
      </c>
      <c r="D33" s="126" t="s">
        <v>221</v>
      </c>
      <c r="E33" s="66" t="s">
        <v>222</v>
      </c>
      <c r="F33" s="66" t="s">
        <v>223</v>
      </c>
      <c r="G33" s="67" t="s">
        <v>83</v>
      </c>
      <c r="H33" s="42" t="s">
        <v>84</v>
      </c>
      <c r="I33" s="43">
        <v>2024</v>
      </c>
      <c r="J33" s="42" t="s">
        <v>69</v>
      </c>
      <c r="K33" s="42">
        <v>2</v>
      </c>
      <c r="L33" s="42">
        <v>3</v>
      </c>
      <c r="M33" s="42">
        <v>2</v>
      </c>
      <c r="N33" s="42">
        <v>2</v>
      </c>
      <c r="O33" s="42">
        <v>2</v>
      </c>
      <c r="P33" s="42">
        <v>3</v>
      </c>
      <c r="Q33" s="42">
        <f t="shared" si="4"/>
        <v>14</v>
      </c>
      <c r="R33" s="41">
        <v>0.78</v>
      </c>
      <c r="S33" s="42" t="s">
        <v>92</v>
      </c>
    </row>
    <row r="34" spans="1:19">
      <c r="A34" s="123" t="s">
        <v>224</v>
      </c>
      <c r="B34" s="122" t="s">
        <v>225</v>
      </c>
      <c r="C34" s="130" t="s">
        <v>226</v>
      </c>
      <c r="D34" s="126" t="s">
        <v>227</v>
      </c>
      <c r="E34" s="66" t="s">
        <v>228</v>
      </c>
      <c r="F34" s="66" t="s">
        <v>229</v>
      </c>
      <c r="G34" s="67" t="s">
        <v>83</v>
      </c>
      <c r="H34" s="42" t="s">
        <v>84</v>
      </c>
      <c r="I34" s="43">
        <v>2024</v>
      </c>
      <c r="J34" s="42" t="s">
        <v>69</v>
      </c>
      <c r="K34" s="42">
        <v>2</v>
      </c>
      <c r="L34" s="42">
        <v>2</v>
      </c>
      <c r="M34" s="42">
        <v>1</v>
      </c>
      <c r="N34" s="42">
        <v>1</v>
      </c>
      <c r="O34" s="42">
        <v>2</v>
      </c>
      <c r="P34" s="42">
        <v>1</v>
      </c>
      <c r="Q34" s="42">
        <f>SUM(K34:P34)</f>
        <v>9</v>
      </c>
      <c r="R34" s="41">
        <v>0.5</v>
      </c>
      <c r="S34" s="42" t="s">
        <v>127</v>
      </c>
    </row>
    <row r="35" spans="1:19">
      <c r="A35" s="123" t="s">
        <v>230</v>
      </c>
      <c r="B35" s="122" t="s">
        <v>182</v>
      </c>
      <c r="C35" s="130" t="s">
        <v>231</v>
      </c>
      <c r="D35" s="126" t="s">
        <v>232</v>
      </c>
      <c r="E35" s="66" t="s">
        <v>233</v>
      </c>
      <c r="F35" s="66" t="s">
        <v>234</v>
      </c>
      <c r="G35" s="67" t="s">
        <v>83</v>
      </c>
      <c r="H35" s="42" t="s">
        <v>84</v>
      </c>
      <c r="I35" s="43">
        <v>2024</v>
      </c>
      <c r="J35" s="42" t="s">
        <v>69</v>
      </c>
      <c r="K35" s="42">
        <v>2</v>
      </c>
      <c r="L35" s="42">
        <v>2</v>
      </c>
      <c r="M35" s="42">
        <v>2</v>
      </c>
      <c r="N35" s="42">
        <v>2</v>
      </c>
      <c r="O35" s="42">
        <v>2</v>
      </c>
      <c r="P35" s="42">
        <v>2</v>
      </c>
      <c r="Q35" s="42">
        <f t="shared" si="4"/>
        <v>12</v>
      </c>
      <c r="R35" s="41">
        <v>0.67</v>
      </c>
      <c r="S35" s="42" t="s">
        <v>127</v>
      </c>
    </row>
    <row r="36" spans="1:19">
      <c r="A36" s="123" t="s">
        <v>235</v>
      </c>
      <c r="B36" s="122" t="s">
        <v>72</v>
      </c>
      <c r="C36" s="130" t="s">
        <v>236</v>
      </c>
      <c r="D36" s="126" t="s">
        <v>232</v>
      </c>
      <c r="E36" s="66" t="s">
        <v>237</v>
      </c>
      <c r="F36" s="66" t="s">
        <v>238</v>
      </c>
      <c r="G36" s="67" t="s">
        <v>83</v>
      </c>
      <c r="H36" s="42" t="s">
        <v>84</v>
      </c>
      <c r="I36" s="43">
        <v>2024</v>
      </c>
      <c r="J36" s="42" t="s">
        <v>69</v>
      </c>
      <c r="K36" s="42">
        <v>1</v>
      </c>
      <c r="L36" s="42">
        <v>2</v>
      </c>
      <c r="M36" s="42">
        <v>1</v>
      </c>
      <c r="N36" s="42">
        <v>2</v>
      </c>
      <c r="O36" s="42">
        <v>2</v>
      </c>
      <c r="P36" s="42">
        <v>3</v>
      </c>
      <c r="Q36" s="42">
        <f t="shared" si="4"/>
        <v>11</v>
      </c>
      <c r="R36" s="41">
        <v>0.61</v>
      </c>
      <c r="S36" s="42" t="s">
        <v>127</v>
      </c>
    </row>
    <row r="37" spans="1:19">
      <c r="A37" s="123" t="s">
        <v>239</v>
      </c>
      <c r="B37" s="122" t="s">
        <v>105</v>
      </c>
      <c r="C37" s="130" t="s">
        <v>240</v>
      </c>
      <c r="D37" s="126" t="s">
        <v>113</v>
      </c>
      <c r="E37" s="66" t="s">
        <v>241</v>
      </c>
      <c r="F37" s="66" t="s">
        <v>242</v>
      </c>
      <c r="G37" s="67" t="s">
        <v>83</v>
      </c>
      <c r="H37" s="42" t="s">
        <v>84</v>
      </c>
      <c r="I37" s="43">
        <v>2024</v>
      </c>
      <c r="J37" s="42" t="s">
        <v>69</v>
      </c>
      <c r="K37" s="42">
        <v>3</v>
      </c>
      <c r="L37" s="42">
        <v>2</v>
      </c>
      <c r="M37" s="42">
        <v>2</v>
      </c>
      <c r="N37" s="42">
        <v>3</v>
      </c>
      <c r="O37" s="42">
        <v>3</v>
      </c>
      <c r="P37" s="42">
        <v>1</v>
      </c>
      <c r="Q37" s="42">
        <f t="shared" si="4"/>
        <v>14</v>
      </c>
      <c r="R37" s="41">
        <v>0.78</v>
      </c>
      <c r="S37" s="42" t="s">
        <v>92</v>
      </c>
    </row>
    <row r="38" spans="1:19">
      <c r="A38" s="123" t="s">
        <v>243</v>
      </c>
      <c r="B38" s="122" t="s">
        <v>144</v>
      </c>
      <c r="C38" s="130" t="s">
        <v>244</v>
      </c>
      <c r="D38" s="126" t="s">
        <v>245</v>
      </c>
      <c r="E38" s="66" t="s">
        <v>232</v>
      </c>
      <c r="F38" s="66" t="s">
        <v>246</v>
      </c>
      <c r="G38" s="67" t="s">
        <v>83</v>
      </c>
      <c r="H38" s="42" t="s">
        <v>84</v>
      </c>
      <c r="I38" s="43">
        <v>2024</v>
      </c>
      <c r="J38" s="42" t="s">
        <v>69</v>
      </c>
      <c r="K38" s="42">
        <v>1</v>
      </c>
      <c r="L38" s="42">
        <v>3</v>
      </c>
      <c r="M38" s="42">
        <v>2</v>
      </c>
      <c r="N38" s="42">
        <v>3</v>
      </c>
      <c r="O38" s="42">
        <v>3</v>
      </c>
      <c r="P38" s="42">
        <v>3</v>
      </c>
      <c r="Q38" s="42">
        <f t="shared" si="4"/>
        <v>15</v>
      </c>
      <c r="R38" s="41">
        <v>0.83</v>
      </c>
      <c r="S38" s="42" t="s">
        <v>92</v>
      </c>
    </row>
    <row r="39" spans="1:19">
      <c r="A39" s="123" t="s">
        <v>247</v>
      </c>
      <c r="B39" s="122" t="s">
        <v>182</v>
      </c>
      <c r="C39" s="130" t="s">
        <v>248</v>
      </c>
      <c r="D39" s="127" t="s">
        <v>249</v>
      </c>
      <c r="E39" s="68" t="s">
        <v>250</v>
      </c>
      <c r="F39" s="68" t="s">
        <v>251</v>
      </c>
      <c r="G39" s="72" t="s">
        <v>68</v>
      </c>
      <c r="H39" s="54" t="s">
        <v>69</v>
      </c>
      <c r="I39" s="55" t="s">
        <v>69</v>
      </c>
      <c r="J39" s="54" t="s">
        <v>69</v>
      </c>
      <c r="K39" s="45">
        <v>0</v>
      </c>
      <c r="L39" s="46">
        <v>0</v>
      </c>
      <c r="M39" s="46">
        <v>0</v>
      </c>
      <c r="N39" s="46">
        <v>0</v>
      </c>
      <c r="O39" s="46">
        <v>0</v>
      </c>
      <c r="P39" s="46">
        <v>0</v>
      </c>
      <c r="Q39" s="46">
        <f>SUM(K39:P39)</f>
        <v>0</v>
      </c>
      <c r="R39" s="47" t="s">
        <v>7</v>
      </c>
      <c r="S39" s="46" t="s">
        <v>70</v>
      </c>
    </row>
    <row r="40" spans="1:19">
      <c r="A40" s="123" t="s">
        <v>252</v>
      </c>
      <c r="B40" s="122" t="s">
        <v>182</v>
      </c>
      <c r="C40" s="130" t="s">
        <v>253</v>
      </c>
      <c r="D40" s="126" t="s">
        <v>254</v>
      </c>
      <c r="E40" s="66" t="s">
        <v>255</v>
      </c>
      <c r="F40" s="66" t="s">
        <v>256</v>
      </c>
      <c r="G40" s="67" t="s">
        <v>83</v>
      </c>
      <c r="H40" s="42" t="s">
        <v>84</v>
      </c>
      <c r="I40" s="43">
        <v>2024</v>
      </c>
      <c r="J40" s="42" t="s">
        <v>69</v>
      </c>
      <c r="K40" s="42">
        <v>3</v>
      </c>
      <c r="L40" s="42">
        <v>3</v>
      </c>
      <c r="M40" s="42">
        <v>2</v>
      </c>
      <c r="N40" s="42">
        <v>3</v>
      </c>
      <c r="O40" s="42">
        <v>3</v>
      </c>
      <c r="P40" s="42">
        <v>1</v>
      </c>
      <c r="Q40" s="42">
        <f>SUM(K40:P40)</f>
        <v>15</v>
      </c>
      <c r="R40" s="44">
        <v>0.83</v>
      </c>
      <c r="S40" s="43" t="s">
        <v>92</v>
      </c>
    </row>
    <row r="41" spans="1:19">
      <c r="A41" s="123" t="s">
        <v>257</v>
      </c>
      <c r="B41" s="122" t="s">
        <v>116</v>
      </c>
      <c r="C41" s="130" t="s">
        <v>258</v>
      </c>
      <c r="D41" s="127" t="s">
        <v>259</v>
      </c>
      <c r="E41" s="68" t="s">
        <v>260</v>
      </c>
      <c r="F41" s="68" t="s">
        <v>261</v>
      </c>
      <c r="G41" s="71" t="s">
        <v>68</v>
      </c>
      <c r="H41" s="54" t="s">
        <v>69</v>
      </c>
      <c r="I41" s="55" t="s">
        <v>69</v>
      </c>
      <c r="J41" s="54" t="s">
        <v>69</v>
      </c>
      <c r="K41" s="45">
        <v>0</v>
      </c>
      <c r="L41" s="46">
        <v>0</v>
      </c>
      <c r="M41" s="46">
        <v>0</v>
      </c>
      <c r="N41" s="46">
        <v>0</v>
      </c>
      <c r="O41" s="46">
        <v>0</v>
      </c>
      <c r="P41" s="46">
        <v>0</v>
      </c>
      <c r="Q41" s="46">
        <f>SUM(K41:P41)</f>
        <v>0</v>
      </c>
      <c r="R41" s="47" t="s">
        <v>7</v>
      </c>
      <c r="S41" s="46" t="s">
        <v>70</v>
      </c>
    </row>
    <row r="42" spans="1:19">
      <c r="A42" s="123" t="s">
        <v>262</v>
      </c>
      <c r="B42" s="122" t="s">
        <v>72</v>
      </c>
      <c r="C42" s="130" t="s">
        <v>263</v>
      </c>
      <c r="D42" s="126" t="s">
        <v>264</v>
      </c>
      <c r="E42" s="66" t="s">
        <v>227</v>
      </c>
      <c r="F42" s="66" t="s">
        <v>265</v>
      </c>
      <c r="G42" s="67" t="s">
        <v>83</v>
      </c>
      <c r="H42" s="42" t="s">
        <v>84</v>
      </c>
      <c r="I42" s="43">
        <v>2024</v>
      </c>
      <c r="J42" s="42" t="s">
        <v>69</v>
      </c>
      <c r="K42" s="42">
        <v>1</v>
      </c>
      <c r="L42" s="42">
        <v>3</v>
      </c>
      <c r="M42" s="42">
        <v>1</v>
      </c>
      <c r="N42" s="42">
        <v>1</v>
      </c>
      <c r="O42" s="42">
        <v>3</v>
      </c>
      <c r="P42" s="42">
        <v>3</v>
      </c>
      <c r="Q42" s="42">
        <f>SUM(K42:P42)</f>
        <v>12</v>
      </c>
      <c r="R42" s="41">
        <v>0.67</v>
      </c>
      <c r="S42" s="42" t="s">
        <v>92</v>
      </c>
    </row>
    <row r="43" spans="1:19">
      <c r="A43" s="123" t="s">
        <v>266</v>
      </c>
      <c r="B43" s="122" t="s">
        <v>182</v>
      </c>
      <c r="C43" s="130" t="s">
        <v>267</v>
      </c>
      <c r="D43" s="127" t="s">
        <v>268</v>
      </c>
      <c r="E43" s="68" t="s">
        <v>269</v>
      </c>
      <c r="F43" s="68" t="s">
        <v>270</v>
      </c>
      <c r="G43" s="71" t="s">
        <v>175</v>
      </c>
      <c r="H43" s="54" t="s">
        <v>69</v>
      </c>
      <c r="I43" s="55" t="s">
        <v>69</v>
      </c>
      <c r="J43" s="54" t="s">
        <v>69</v>
      </c>
      <c r="K43" s="45">
        <v>0</v>
      </c>
      <c r="L43" s="46">
        <v>0</v>
      </c>
      <c r="M43" s="46">
        <v>0</v>
      </c>
      <c r="N43" s="46">
        <v>0</v>
      </c>
      <c r="O43" s="46">
        <v>0</v>
      </c>
      <c r="P43" s="46">
        <v>0</v>
      </c>
      <c r="Q43" s="46">
        <f>SUM(K43:P43)</f>
        <v>0</v>
      </c>
      <c r="R43" s="47" t="s">
        <v>7</v>
      </c>
      <c r="S43" s="46" t="s">
        <v>70</v>
      </c>
    </row>
    <row r="44" spans="1:19">
      <c r="A44" s="123" t="s">
        <v>271</v>
      </c>
      <c r="B44" s="122" t="s">
        <v>144</v>
      </c>
      <c r="C44" s="130" t="s">
        <v>272</v>
      </c>
      <c r="D44" s="126" t="s">
        <v>273</v>
      </c>
      <c r="E44" s="66" t="s">
        <v>274</v>
      </c>
      <c r="F44" s="66" t="s">
        <v>275</v>
      </c>
      <c r="G44" s="67" t="s">
        <v>83</v>
      </c>
      <c r="H44" s="42" t="s">
        <v>84</v>
      </c>
      <c r="I44" s="43">
        <v>2024</v>
      </c>
      <c r="J44" s="42" t="s">
        <v>69</v>
      </c>
      <c r="K44" s="42">
        <v>3</v>
      </c>
      <c r="L44" s="42">
        <v>3</v>
      </c>
      <c r="M44" s="42">
        <v>2</v>
      </c>
      <c r="N44" s="42">
        <v>3</v>
      </c>
      <c r="O44" s="42">
        <v>3</v>
      </c>
      <c r="P44" s="42">
        <v>2</v>
      </c>
      <c r="Q44" s="42">
        <f t="shared" ref="Q44:Q52" si="5">SUM(K44:P44)</f>
        <v>16</v>
      </c>
      <c r="R44" s="41">
        <v>0.89</v>
      </c>
      <c r="S44" s="42" t="s">
        <v>85</v>
      </c>
    </row>
    <row r="45" spans="1:19">
      <c r="A45" s="123" t="s">
        <v>276</v>
      </c>
      <c r="B45" s="122" t="s">
        <v>116</v>
      </c>
      <c r="C45" s="130" t="s">
        <v>277</v>
      </c>
      <c r="D45" s="126" t="s">
        <v>278</v>
      </c>
      <c r="E45" s="66" t="s">
        <v>279</v>
      </c>
      <c r="F45" s="66" t="s">
        <v>242</v>
      </c>
      <c r="G45" s="67" t="s">
        <v>83</v>
      </c>
      <c r="H45" s="42" t="s">
        <v>84</v>
      </c>
      <c r="I45" s="43">
        <v>2024</v>
      </c>
      <c r="J45" s="42" t="s">
        <v>69</v>
      </c>
      <c r="K45" s="42">
        <v>2</v>
      </c>
      <c r="L45" s="42">
        <v>2</v>
      </c>
      <c r="M45" s="42">
        <v>1</v>
      </c>
      <c r="N45" s="42">
        <v>1</v>
      </c>
      <c r="O45" s="42">
        <v>1</v>
      </c>
      <c r="P45" s="42">
        <v>2</v>
      </c>
      <c r="Q45" s="42">
        <f t="shared" si="5"/>
        <v>9</v>
      </c>
      <c r="R45" s="41">
        <v>0.5</v>
      </c>
      <c r="S45" s="42" t="s">
        <v>127</v>
      </c>
    </row>
    <row r="46" spans="1:19">
      <c r="A46" s="123" t="s">
        <v>280</v>
      </c>
      <c r="B46" s="122" t="s">
        <v>144</v>
      </c>
      <c r="C46" s="130" t="s">
        <v>281</v>
      </c>
      <c r="D46" s="126" t="s">
        <v>282</v>
      </c>
      <c r="E46" s="66" t="s">
        <v>283</v>
      </c>
      <c r="F46" s="66" t="s">
        <v>284</v>
      </c>
      <c r="G46" s="67" t="s">
        <v>83</v>
      </c>
      <c r="H46" s="42" t="s">
        <v>84</v>
      </c>
      <c r="I46" s="43">
        <v>2024</v>
      </c>
      <c r="J46" s="42" t="s">
        <v>69</v>
      </c>
      <c r="K46" s="42">
        <v>3</v>
      </c>
      <c r="L46" s="42">
        <v>3</v>
      </c>
      <c r="M46" s="42">
        <v>3</v>
      </c>
      <c r="N46" s="42">
        <v>3</v>
      </c>
      <c r="O46" s="42">
        <v>3</v>
      </c>
      <c r="P46" s="42">
        <v>2</v>
      </c>
      <c r="Q46" s="42">
        <f t="shared" si="5"/>
        <v>17</v>
      </c>
      <c r="R46" s="41">
        <v>0.94</v>
      </c>
      <c r="S46" s="42" t="s">
        <v>85</v>
      </c>
    </row>
    <row r="47" spans="1:19">
      <c r="A47" s="123" t="s">
        <v>285</v>
      </c>
      <c r="B47" s="122" t="s">
        <v>78</v>
      </c>
      <c r="C47" s="130" t="s">
        <v>286</v>
      </c>
      <c r="D47" s="126" t="s">
        <v>287</v>
      </c>
      <c r="E47" s="66" t="s">
        <v>288</v>
      </c>
      <c r="F47" s="66" t="s">
        <v>289</v>
      </c>
      <c r="G47" s="67" t="s">
        <v>83</v>
      </c>
      <c r="H47" s="42" t="s">
        <v>84</v>
      </c>
      <c r="I47" s="43">
        <v>2024</v>
      </c>
      <c r="J47" s="42" t="s">
        <v>69</v>
      </c>
      <c r="K47" s="42">
        <v>3</v>
      </c>
      <c r="L47" s="42">
        <v>3</v>
      </c>
      <c r="M47" s="42">
        <v>2</v>
      </c>
      <c r="N47" s="42">
        <v>3</v>
      </c>
      <c r="O47" s="42">
        <v>3</v>
      </c>
      <c r="P47" s="42">
        <v>2</v>
      </c>
      <c r="Q47" s="42">
        <f t="shared" si="5"/>
        <v>16</v>
      </c>
      <c r="R47" s="41">
        <v>0.89</v>
      </c>
      <c r="S47" s="42" t="s">
        <v>85</v>
      </c>
    </row>
    <row r="48" spans="1:19">
      <c r="A48" s="123" t="s">
        <v>290</v>
      </c>
      <c r="B48" s="122" t="s">
        <v>78</v>
      </c>
      <c r="C48" s="130" t="s">
        <v>291</v>
      </c>
      <c r="D48" s="126" t="s">
        <v>292</v>
      </c>
      <c r="E48" s="66" t="s">
        <v>184</v>
      </c>
      <c r="F48" s="66" t="s">
        <v>293</v>
      </c>
      <c r="G48" s="67" t="s">
        <v>83</v>
      </c>
      <c r="H48" s="42" t="s">
        <v>84</v>
      </c>
      <c r="I48" s="43">
        <v>2024</v>
      </c>
      <c r="J48" s="42" t="s">
        <v>69</v>
      </c>
      <c r="K48" s="42">
        <v>1</v>
      </c>
      <c r="L48" s="42">
        <v>2</v>
      </c>
      <c r="M48" s="42">
        <v>1</v>
      </c>
      <c r="N48" s="42">
        <v>1</v>
      </c>
      <c r="O48" s="42">
        <v>2</v>
      </c>
      <c r="P48" s="42">
        <v>2</v>
      </c>
      <c r="Q48" s="42">
        <f t="shared" si="5"/>
        <v>9</v>
      </c>
      <c r="R48" s="44">
        <v>0.5</v>
      </c>
      <c r="S48" s="43" t="s">
        <v>127</v>
      </c>
    </row>
    <row r="49" spans="1:19">
      <c r="A49" s="123" t="s">
        <v>294</v>
      </c>
      <c r="B49" s="122" t="s">
        <v>144</v>
      </c>
      <c r="C49" s="130" t="s">
        <v>295</v>
      </c>
      <c r="D49" s="126" t="s">
        <v>296</v>
      </c>
      <c r="E49" s="66" t="s">
        <v>297</v>
      </c>
      <c r="F49" s="66" t="s">
        <v>298</v>
      </c>
      <c r="G49" s="67" t="s">
        <v>83</v>
      </c>
      <c r="H49" s="42" t="s">
        <v>84</v>
      </c>
      <c r="I49" s="43">
        <v>2024</v>
      </c>
      <c r="J49" s="42" t="s">
        <v>69</v>
      </c>
      <c r="K49" s="42">
        <v>3</v>
      </c>
      <c r="L49" s="42">
        <v>3</v>
      </c>
      <c r="M49" s="42">
        <v>1</v>
      </c>
      <c r="N49" s="42">
        <v>1</v>
      </c>
      <c r="O49" s="42">
        <v>3</v>
      </c>
      <c r="P49" s="42">
        <v>2</v>
      </c>
      <c r="Q49" s="42">
        <f t="shared" si="5"/>
        <v>13</v>
      </c>
      <c r="R49" s="41">
        <v>0.72</v>
      </c>
      <c r="S49" s="42" t="s">
        <v>92</v>
      </c>
    </row>
    <row r="50" spans="1:19">
      <c r="A50" s="123" t="s">
        <v>299</v>
      </c>
      <c r="B50" s="122" t="s">
        <v>144</v>
      </c>
      <c r="C50" s="130" t="s">
        <v>300</v>
      </c>
      <c r="D50" s="126" t="s">
        <v>301</v>
      </c>
      <c r="E50" s="66" t="s">
        <v>302</v>
      </c>
      <c r="F50" s="66" t="s">
        <v>303</v>
      </c>
      <c r="G50" s="67" t="s">
        <v>83</v>
      </c>
      <c r="H50" s="42" t="s">
        <v>84</v>
      </c>
      <c r="I50" s="43">
        <v>2024</v>
      </c>
      <c r="J50" s="42" t="s">
        <v>69</v>
      </c>
      <c r="K50" s="42">
        <v>3</v>
      </c>
      <c r="L50" s="42">
        <v>3</v>
      </c>
      <c r="M50" s="42">
        <v>1</v>
      </c>
      <c r="N50" s="42">
        <v>3</v>
      </c>
      <c r="O50" s="42">
        <v>3</v>
      </c>
      <c r="P50" s="42">
        <v>3</v>
      </c>
      <c r="Q50" s="42">
        <f t="shared" si="5"/>
        <v>16</v>
      </c>
      <c r="R50" s="41">
        <v>0.89</v>
      </c>
      <c r="S50" s="42" t="s">
        <v>85</v>
      </c>
    </row>
    <row r="51" spans="1:19">
      <c r="A51" s="123" t="s">
        <v>304</v>
      </c>
      <c r="B51" s="122" t="s">
        <v>105</v>
      </c>
      <c r="C51" s="130" t="s">
        <v>305</v>
      </c>
      <c r="D51" s="126" t="s">
        <v>306</v>
      </c>
      <c r="E51" s="66" t="s">
        <v>307</v>
      </c>
      <c r="F51" s="66" t="s">
        <v>308</v>
      </c>
      <c r="G51" s="67" t="s">
        <v>83</v>
      </c>
      <c r="H51" s="42" t="s">
        <v>84</v>
      </c>
      <c r="I51" s="43">
        <v>2024</v>
      </c>
      <c r="J51" s="42" t="s">
        <v>69</v>
      </c>
      <c r="K51" s="42">
        <v>3</v>
      </c>
      <c r="L51" s="42">
        <v>2</v>
      </c>
      <c r="M51" s="42">
        <v>2</v>
      </c>
      <c r="N51" s="42">
        <v>3</v>
      </c>
      <c r="O51" s="42">
        <v>3</v>
      </c>
      <c r="P51" s="42">
        <v>2</v>
      </c>
      <c r="Q51" s="42">
        <f t="shared" si="5"/>
        <v>15</v>
      </c>
      <c r="R51" s="41">
        <v>0.83</v>
      </c>
      <c r="S51" s="42" t="s">
        <v>92</v>
      </c>
    </row>
    <row r="52" spans="1:19">
      <c r="A52" s="123" t="s">
        <v>309</v>
      </c>
      <c r="B52" s="122" t="s">
        <v>87</v>
      </c>
      <c r="C52" s="130" t="s">
        <v>310</v>
      </c>
      <c r="D52" s="126" t="s">
        <v>311</v>
      </c>
      <c r="E52" s="66" t="s">
        <v>312</v>
      </c>
      <c r="F52" s="66" t="s">
        <v>313</v>
      </c>
      <c r="G52" s="67" t="s">
        <v>83</v>
      </c>
      <c r="H52" s="42" t="s">
        <v>84</v>
      </c>
      <c r="I52" s="43">
        <v>2024</v>
      </c>
      <c r="J52" s="42" t="s">
        <v>69</v>
      </c>
      <c r="K52" s="42">
        <v>2</v>
      </c>
      <c r="L52" s="42">
        <v>2</v>
      </c>
      <c r="M52" s="42">
        <v>2</v>
      </c>
      <c r="N52" s="42">
        <v>2</v>
      </c>
      <c r="O52" s="42">
        <v>2</v>
      </c>
      <c r="P52" s="42">
        <v>2</v>
      </c>
      <c r="Q52" s="42">
        <f t="shared" si="5"/>
        <v>12</v>
      </c>
      <c r="R52" s="41">
        <v>0.67</v>
      </c>
      <c r="S52" s="42" t="s">
        <v>92</v>
      </c>
    </row>
    <row r="53" spans="1:19">
      <c r="A53" s="123" t="s">
        <v>314</v>
      </c>
      <c r="B53" s="122" t="s">
        <v>64</v>
      </c>
      <c r="C53" s="130" t="s">
        <v>315</v>
      </c>
      <c r="D53" s="124" t="s">
        <v>316</v>
      </c>
      <c r="E53" s="62" t="s">
        <v>317</v>
      </c>
      <c r="F53" s="62" t="s">
        <v>318</v>
      </c>
      <c r="G53" s="73" t="s">
        <v>68</v>
      </c>
      <c r="H53" s="56" t="s">
        <v>69</v>
      </c>
      <c r="I53" s="57" t="s">
        <v>69</v>
      </c>
      <c r="J53" s="56" t="s">
        <v>69</v>
      </c>
      <c r="K53" s="48">
        <v>0</v>
      </c>
      <c r="L53" s="49">
        <v>0</v>
      </c>
      <c r="M53" s="49">
        <v>0</v>
      </c>
      <c r="N53" s="49">
        <v>0</v>
      </c>
      <c r="O53" s="49">
        <v>0</v>
      </c>
      <c r="P53" s="49">
        <v>0</v>
      </c>
      <c r="Q53" s="49">
        <f t="shared" ref="Q53:Q57" si="6">SUM(K53:P53)</f>
        <v>0</v>
      </c>
      <c r="R53" s="50" t="s">
        <v>7</v>
      </c>
      <c r="S53" s="49" t="s">
        <v>70</v>
      </c>
    </row>
    <row r="54" spans="1:19">
      <c r="A54" s="123" t="s">
        <v>319</v>
      </c>
      <c r="B54" s="122" t="s">
        <v>122</v>
      </c>
      <c r="C54" s="130" t="s">
        <v>320</v>
      </c>
      <c r="D54" s="125" t="s">
        <v>136</v>
      </c>
      <c r="E54" s="64" t="s">
        <v>321</v>
      </c>
      <c r="F54" s="64" t="s">
        <v>322</v>
      </c>
      <c r="G54" s="74" t="s">
        <v>68</v>
      </c>
      <c r="H54" s="58" t="s">
        <v>69</v>
      </c>
      <c r="I54" s="59" t="s">
        <v>69</v>
      </c>
      <c r="J54" s="58" t="s">
        <v>69</v>
      </c>
      <c r="K54" s="51">
        <v>0</v>
      </c>
      <c r="L54" s="52">
        <v>0</v>
      </c>
      <c r="M54" s="52">
        <v>0</v>
      </c>
      <c r="N54" s="52">
        <v>0</v>
      </c>
      <c r="O54" s="52">
        <v>0</v>
      </c>
      <c r="P54" s="52">
        <v>0</v>
      </c>
      <c r="Q54" s="52">
        <f t="shared" si="6"/>
        <v>0</v>
      </c>
      <c r="R54" s="53" t="s">
        <v>7</v>
      </c>
      <c r="S54" s="52" t="s">
        <v>70</v>
      </c>
    </row>
    <row r="55" spans="1:19">
      <c r="A55" s="123" t="s">
        <v>323</v>
      </c>
      <c r="B55" s="122" t="s">
        <v>225</v>
      </c>
      <c r="C55" s="130" t="s">
        <v>324</v>
      </c>
      <c r="D55" s="126" t="s">
        <v>325</v>
      </c>
      <c r="E55" s="66" t="s">
        <v>326</v>
      </c>
      <c r="F55" s="66" t="s">
        <v>327</v>
      </c>
      <c r="G55" s="67" t="s">
        <v>83</v>
      </c>
      <c r="H55" s="42" t="s">
        <v>84</v>
      </c>
      <c r="I55" s="43">
        <v>2024</v>
      </c>
      <c r="J55" s="42" t="s">
        <v>69</v>
      </c>
      <c r="K55" s="42">
        <v>1</v>
      </c>
      <c r="L55" s="42">
        <v>2</v>
      </c>
      <c r="M55" s="42">
        <v>1</v>
      </c>
      <c r="N55" s="42">
        <v>1</v>
      </c>
      <c r="O55" s="42">
        <v>3</v>
      </c>
      <c r="P55" s="42">
        <v>1</v>
      </c>
      <c r="Q55" s="42">
        <f t="shared" si="6"/>
        <v>9</v>
      </c>
      <c r="R55" s="44">
        <v>0.5</v>
      </c>
      <c r="S55" s="43" t="s">
        <v>127</v>
      </c>
    </row>
    <row r="56" spans="1:19">
      <c r="A56" s="123" t="s">
        <v>328</v>
      </c>
      <c r="B56" s="122" t="s">
        <v>78</v>
      </c>
      <c r="C56" s="130" t="s">
        <v>329</v>
      </c>
      <c r="D56" s="126" t="s">
        <v>330</v>
      </c>
      <c r="E56" s="66" t="s">
        <v>331</v>
      </c>
      <c r="F56" s="66" t="s">
        <v>332</v>
      </c>
      <c r="G56" s="67" t="s">
        <v>83</v>
      </c>
      <c r="H56" s="42" t="s">
        <v>84</v>
      </c>
      <c r="I56" s="43">
        <v>2024</v>
      </c>
      <c r="J56" s="42" t="s">
        <v>69</v>
      </c>
      <c r="K56" s="42">
        <v>3</v>
      </c>
      <c r="L56" s="42">
        <v>2</v>
      </c>
      <c r="M56" s="42">
        <v>2</v>
      </c>
      <c r="N56" s="42">
        <v>2</v>
      </c>
      <c r="O56" s="42">
        <v>1</v>
      </c>
      <c r="P56" s="42">
        <v>2</v>
      </c>
      <c r="Q56" s="42">
        <f t="shared" si="6"/>
        <v>12</v>
      </c>
      <c r="R56" s="44">
        <v>0.67</v>
      </c>
      <c r="S56" s="43" t="s">
        <v>92</v>
      </c>
    </row>
    <row r="57" spans="1:19">
      <c r="A57" s="123" t="s">
        <v>333</v>
      </c>
      <c r="B57" s="122" t="s">
        <v>182</v>
      </c>
      <c r="C57" s="130" t="s">
        <v>334</v>
      </c>
      <c r="D57" s="126" t="s">
        <v>335</v>
      </c>
      <c r="E57" s="66" t="s">
        <v>336</v>
      </c>
      <c r="F57" s="66" t="s">
        <v>337</v>
      </c>
      <c r="G57" s="67" t="s">
        <v>83</v>
      </c>
      <c r="H57" s="42" t="s">
        <v>84</v>
      </c>
      <c r="I57" s="43">
        <v>2024</v>
      </c>
      <c r="J57" s="42" t="s">
        <v>69</v>
      </c>
      <c r="K57" s="42">
        <v>1</v>
      </c>
      <c r="L57" s="42">
        <v>1</v>
      </c>
      <c r="M57" s="42">
        <v>1</v>
      </c>
      <c r="N57" s="42">
        <v>1</v>
      </c>
      <c r="O57" s="42">
        <v>1</v>
      </c>
      <c r="P57" s="42">
        <v>1</v>
      </c>
      <c r="Q57" s="42">
        <f t="shared" si="6"/>
        <v>6</v>
      </c>
      <c r="R57" s="41">
        <v>0.33</v>
      </c>
      <c r="S57" s="42" t="s">
        <v>338</v>
      </c>
    </row>
    <row r="58" spans="1:19">
      <c r="A58" s="123" t="s">
        <v>339</v>
      </c>
      <c r="B58" s="122" t="s">
        <v>225</v>
      </c>
      <c r="C58" s="130" t="s">
        <v>340</v>
      </c>
      <c r="D58" s="127" t="s">
        <v>341</v>
      </c>
      <c r="E58" s="68" t="s">
        <v>342</v>
      </c>
      <c r="F58" s="68" t="s">
        <v>343</v>
      </c>
      <c r="G58" s="71" t="s">
        <v>68</v>
      </c>
      <c r="H58" s="60" t="s">
        <v>69</v>
      </c>
      <c r="I58" s="55" t="s">
        <v>69</v>
      </c>
      <c r="J58" s="60" t="s">
        <v>69</v>
      </c>
      <c r="K58" s="45">
        <v>0</v>
      </c>
      <c r="L58" s="46">
        <v>0</v>
      </c>
      <c r="M58" s="46">
        <v>0</v>
      </c>
      <c r="N58" s="46">
        <v>0</v>
      </c>
      <c r="O58" s="46">
        <v>0</v>
      </c>
      <c r="P58" s="46">
        <v>0</v>
      </c>
      <c r="Q58" s="46">
        <f t="shared" ref="Q58" si="7">SUM(K58:P58)</f>
        <v>0</v>
      </c>
      <c r="R58" s="47" t="s">
        <v>7</v>
      </c>
      <c r="S58" s="46" t="s">
        <v>70</v>
      </c>
    </row>
    <row r="59" spans="1:19">
      <c r="A59" s="123" t="s">
        <v>344</v>
      </c>
      <c r="B59" s="122" t="s">
        <v>116</v>
      </c>
      <c r="C59" s="130" t="s">
        <v>345</v>
      </c>
      <c r="D59" s="126" t="s">
        <v>346</v>
      </c>
      <c r="E59" s="66" t="s">
        <v>347</v>
      </c>
      <c r="F59" s="66" t="s">
        <v>348</v>
      </c>
      <c r="G59" s="67" t="s">
        <v>83</v>
      </c>
      <c r="H59" s="42" t="s">
        <v>84</v>
      </c>
      <c r="I59" s="43">
        <v>2024</v>
      </c>
      <c r="J59" s="42" t="s">
        <v>69</v>
      </c>
      <c r="K59" s="42">
        <v>2</v>
      </c>
      <c r="L59" s="42">
        <v>3</v>
      </c>
      <c r="M59" s="42">
        <v>2</v>
      </c>
      <c r="N59" s="42">
        <v>3</v>
      </c>
      <c r="O59" s="42">
        <v>3</v>
      </c>
      <c r="P59" s="42">
        <v>2</v>
      </c>
      <c r="Q59" s="42">
        <f t="shared" ref="Q59:Q118" si="8">SUM(K59:P59)</f>
        <v>15</v>
      </c>
      <c r="R59" s="41">
        <v>0.83</v>
      </c>
      <c r="S59" s="42" t="s">
        <v>92</v>
      </c>
    </row>
    <row r="60" spans="1:19">
      <c r="A60" s="123" t="s">
        <v>349</v>
      </c>
      <c r="B60" s="122" t="s">
        <v>116</v>
      </c>
      <c r="C60" s="130" t="s">
        <v>350</v>
      </c>
      <c r="D60" s="126" t="s">
        <v>351</v>
      </c>
      <c r="E60" s="66" t="s">
        <v>352</v>
      </c>
      <c r="F60" s="66" t="s">
        <v>353</v>
      </c>
      <c r="G60" s="67" t="s">
        <v>83</v>
      </c>
      <c r="H60" s="42" t="s">
        <v>84</v>
      </c>
      <c r="I60" s="43">
        <v>2024</v>
      </c>
      <c r="J60" s="42" t="s">
        <v>69</v>
      </c>
      <c r="K60" s="42">
        <v>3</v>
      </c>
      <c r="L60" s="42">
        <v>2</v>
      </c>
      <c r="M60" s="42">
        <v>3</v>
      </c>
      <c r="N60" s="42">
        <v>3</v>
      </c>
      <c r="O60" s="42">
        <v>3</v>
      </c>
      <c r="P60" s="42">
        <v>2</v>
      </c>
      <c r="Q60" s="42">
        <f t="shared" si="8"/>
        <v>16</v>
      </c>
      <c r="R60" s="41">
        <v>0.89</v>
      </c>
      <c r="S60" s="42" t="s">
        <v>85</v>
      </c>
    </row>
    <row r="61" spans="1:19">
      <c r="A61" s="123" t="s">
        <v>354</v>
      </c>
      <c r="B61" s="122" t="s">
        <v>144</v>
      </c>
      <c r="C61" s="130" t="s">
        <v>355</v>
      </c>
      <c r="D61" s="126" t="s">
        <v>356</v>
      </c>
      <c r="E61" s="66" t="s">
        <v>357</v>
      </c>
      <c r="F61" s="66" t="s">
        <v>358</v>
      </c>
      <c r="G61" s="67" t="s">
        <v>83</v>
      </c>
      <c r="H61" s="42" t="s">
        <v>84</v>
      </c>
      <c r="I61" s="43">
        <v>2024</v>
      </c>
      <c r="J61" s="42" t="s">
        <v>69</v>
      </c>
      <c r="K61" s="42">
        <v>2</v>
      </c>
      <c r="L61" s="42">
        <v>2</v>
      </c>
      <c r="M61" s="42">
        <v>2</v>
      </c>
      <c r="N61" s="42">
        <v>2</v>
      </c>
      <c r="O61" s="42">
        <v>2</v>
      </c>
      <c r="P61" s="42">
        <v>2</v>
      </c>
      <c r="Q61" s="42">
        <f t="shared" si="8"/>
        <v>12</v>
      </c>
      <c r="R61" s="41">
        <v>0.67</v>
      </c>
      <c r="S61" s="42" t="s">
        <v>92</v>
      </c>
    </row>
    <row r="62" spans="1:19">
      <c r="A62" s="123" t="s">
        <v>359</v>
      </c>
      <c r="B62" s="122" t="s">
        <v>116</v>
      </c>
      <c r="C62" s="130" t="s">
        <v>360</v>
      </c>
      <c r="D62" s="126" t="s">
        <v>361</v>
      </c>
      <c r="E62" s="66" t="s">
        <v>101</v>
      </c>
      <c r="F62" s="66" t="s">
        <v>362</v>
      </c>
      <c r="G62" s="67" t="s">
        <v>83</v>
      </c>
      <c r="H62" s="42" t="s">
        <v>84</v>
      </c>
      <c r="I62" s="43">
        <v>2024</v>
      </c>
      <c r="J62" s="42" t="s">
        <v>69</v>
      </c>
      <c r="K62" s="42">
        <v>3</v>
      </c>
      <c r="L62" s="42">
        <v>2</v>
      </c>
      <c r="M62" s="42">
        <v>2</v>
      </c>
      <c r="N62" s="42">
        <v>1</v>
      </c>
      <c r="O62" s="42">
        <v>2</v>
      </c>
      <c r="P62" s="42">
        <v>3</v>
      </c>
      <c r="Q62" s="42">
        <f t="shared" si="8"/>
        <v>13</v>
      </c>
      <c r="R62" s="41">
        <v>0.72</v>
      </c>
      <c r="S62" s="42" t="s">
        <v>92</v>
      </c>
    </row>
    <row r="63" spans="1:19">
      <c r="A63" s="123" t="s">
        <v>363</v>
      </c>
      <c r="B63" s="122" t="s">
        <v>182</v>
      </c>
      <c r="C63" s="130" t="s">
        <v>364</v>
      </c>
      <c r="D63" s="126" t="s">
        <v>365</v>
      </c>
      <c r="E63" s="66" t="s">
        <v>156</v>
      </c>
      <c r="F63" s="66" t="s">
        <v>366</v>
      </c>
      <c r="G63" s="67" t="s">
        <v>83</v>
      </c>
      <c r="H63" s="42" t="s">
        <v>84</v>
      </c>
      <c r="I63" s="43">
        <v>2024</v>
      </c>
      <c r="J63" s="42" t="s">
        <v>69</v>
      </c>
      <c r="K63" s="42">
        <v>3</v>
      </c>
      <c r="L63" s="42">
        <v>3</v>
      </c>
      <c r="M63" s="42">
        <v>3</v>
      </c>
      <c r="N63" s="42">
        <v>3</v>
      </c>
      <c r="O63" s="42">
        <v>2</v>
      </c>
      <c r="P63" s="42">
        <v>3</v>
      </c>
      <c r="Q63" s="42">
        <f t="shared" si="8"/>
        <v>17</v>
      </c>
      <c r="R63" s="41">
        <v>0.94</v>
      </c>
      <c r="S63" s="42" t="s">
        <v>85</v>
      </c>
    </row>
    <row r="64" spans="1:19">
      <c r="A64" s="123" t="s">
        <v>367</v>
      </c>
      <c r="B64" s="122" t="s">
        <v>225</v>
      </c>
      <c r="C64" s="130" t="s">
        <v>368</v>
      </c>
      <c r="D64" s="126" t="s">
        <v>369</v>
      </c>
      <c r="E64" s="66" t="s">
        <v>118</v>
      </c>
      <c r="F64" s="66" t="s">
        <v>370</v>
      </c>
      <c r="G64" s="67" t="s">
        <v>83</v>
      </c>
      <c r="H64" s="42" t="s">
        <v>84</v>
      </c>
      <c r="I64" s="43">
        <v>2024</v>
      </c>
      <c r="J64" s="42" t="s">
        <v>69</v>
      </c>
      <c r="K64" s="42">
        <v>2</v>
      </c>
      <c r="L64" s="42">
        <v>2</v>
      </c>
      <c r="M64" s="42">
        <v>2</v>
      </c>
      <c r="N64" s="42">
        <v>2</v>
      </c>
      <c r="O64" s="42">
        <v>2</v>
      </c>
      <c r="P64" s="42">
        <v>2</v>
      </c>
      <c r="Q64" s="42">
        <f t="shared" si="8"/>
        <v>12</v>
      </c>
      <c r="R64" s="41">
        <v>0.67</v>
      </c>
      <c r="S64" s="42" t="s">
        <v>92</v>
      </c>
    </row>
    <row r="65" spans="1:19">
      <c r="A65" s="123" t="s">
        <v>371</v>
      </c>
      <c r="B65" s="122" t="s">
        <v>64</v>
      </c>
      <c r="C65" s="130" t="s">
        <v>372</v>
      </c>
      <c r="D65" s="128" t="s">
        <v>373</v>
      </c>
      <c r="E65" s="39" t="s">
        <v>374</v>
      </c>
      <c r="F65" s="39" t="s">
        <v>375</v>
      </c>
      <c r="G65" s="67" t="s">
        <v>83</v>
      </c>
      <c r="H65" s="42" t="s">
        <v>84</v>
      </c>
      <c r="I65" s="43">
        <v>2025</v>
      </c>
      <c r="J65" s="42" t="s">
        <v>69</v>
      </c>
      <c r="K65" s="42">
        <v>2</v>
      </c>
      <c r="L65" s="42">
        <v>2</v>
      </c>
      <c r="M65" s="42">
        <v>2</v>
      </c>
      <c r="N65" s="42">
        <v>2</v>
      </c>
      <c r="O65" s="42">
        <v>2</v>
      </c>
      <c r="P65" s="42">
        <v>1</v>
      </c>
      <c r="Q65" s="42">
        <f t="shared" si="8"/>
        <v>11</v>
      </c>
      <c r="R65" s="41">
        <v>0.61</v>
      </c>
      <c r="S65" s="42" t="s">
        <v>127</v>
      </c>
    </row>
    <row r="66" spans="1:19">
      <c r="A66" s="123" t="s">
        <v>376</v>
      </c>
      <c r="B66" s="122" t="s">
        <v>99</v>
      </c>
      <c r="C66" s="130" t="s">
        <v>377</v>
      </c>
      <c r="D66" s="128" t="s">
        <v>378</v>
      </c>
      <c r="E66" s="39" t="s">
        <v>379</v>
      </c>
      <c r="F66" s="39" t="s">
        <v>380</v>
      </c>
      <c r="G66" s="67" t="s">
        <v>83</v>
      </c>
      <c r="H66" s="42" t="s">
        <v>84</v>
      </c>
      <c r="I66" s="43">
        <v>2025</v>
      </c>
      <c r="J66" s="42" t="s">
        <v>69</v>
      </c>
      <c r="K66" s="42">
        <v>3</v>
      </c>
      <c r="L66" s="42">
        <v>3</v>
      </c>
      <c r="M66" s="42">
        <v>1</v>
      </c>
      <c r="N66" s="42">
        <v>2</v>
      </c>
      <c r="O66" s="42">
        <v>2</v>
      </c>
      <c r="P66" s="42">
        <v>2</v>
      </c>
      <c r="Q66" s="42">
        <f t="shared" si="8"/>
        <v>13</v>
      </c>
      <c r="R66" s="41">
        <v>0.72</v>
      </c>
      <c r="S66" s="42" t="s">
        <v>92</v>
      </c>
    </row>
    <row r="67" spans="1:19">
      <c r="A67" s="123" t="s">
        <v>381</v>
      </c>
      <c r="B67" s="122" t="s">
        <v>78</v>
      </c>
      <c r="C67" s="130" t="s">
        <v>382</v>
      </c>
      <c r="D67" s="128" t="s">
        <v>383</v>
      </c>
      <c r="E67" s="39" t="s">
        <v>384</v>
      </c>
      <c r="F67" s="39" t="s">
        <v>385</v>
      </c>
      <c r="G67" s="67" t="s">
        <v>83</v>
      </c>
      <c r="H67" s="42" t="s">
        <v>84</v>
      </c>
      <c r="I67" s="43">
        <v>2025</v>
      </c>
      <c r="J67" s="42" t="s">
        <v>69</v>
      </c>
      <c r="K67" s="42">
        <v>2</v>
      </c>
      <c r="L67" s="42">
        <v>2</v>
      </c>
      <c r="M67" s="42">
        <v>2</v>
      </c>
      <c r="N67" s="42">
        <v>3</v>
      </c>
      <c r="O67" s="42">
        <v>3</v>
      </c>
      <c r="P67" s="42">
        <v>2</v>
      </c>
      <c r="Q67" s="42">
        <f t="shared" si="8"/>
        <v>14</v>
      </c>
      <c r="R67" s="41">
        <v>0.78</v>
      </c>
      <c r="S67" s="42" t="s">
        <v>92</v>
      </c>
    </row>
    <row r="68" spans="1:19">
      <c r="A68" s="123" t="s">
        <v>386</v>
      </c>
      <c r="B68" s="122" t="s">
        <v>225</v>
      </c>
      <c r="C68" s="130" t="s">
        <v>387</v>
      </c>
      <c r="D68" s="128" t="s">
        <v>388</v>
      </c>
      <c r="E68" s="39" t="s">
        <v>389</v>
      </c>
      <c r="F68" s="39" t="s">
        <v>390</v>
      </c>
      <c r="G68" s="67" t="s">
        <v>83</v>
      </c>
      <c r="H68" s="42" t="s">
        <v>84</v>
      </c>
      <c r="I68" s="43">
        <v>2025</v>
      </c>
      <c r="J68" s="42" t="s">
        <v>69</v>
      </c>
      <c r="K68" s="42">
        <v>3</v>
      </c>
      <c r="L68" s="42">
        <v>3</v>
      </c>
      <c r="M68" s="42">
        <v>2</v>
      </c>
      <c r="N68" s="42">
        <v>3</v>
      </c>
      <c r="O68" s="42">
        <v>2</v>
      </c>
      <c r="P68" s="42">
        <v>2</v>
      </c>
      <c r="Q68" s="42">
        <f t="shared" si="8"/>
        <v>15</v>
      </c>
      <c r="R68" s="41">
        <v>0.83</v>
      </c>
      <c r="S68" s="42" t="s">
        <v>92</v>
      </c>
    </row>
    <row r="69" spans="1:19">
      <c r="A69" s="123" t="s">
        <v>391</v>
      </c>
      <c r="B69" s="122" t="s">
        <v>105</v>
      </c>
      <c r="C69" s="130" t="s">
        <v>392</v>
      </c>
      <c r="D69" s="128" t="s">
        <v>393</v>
      </c>
      <c r="E69" s="39" t="s">
        <v>378</v>
      </c>
      <c r="F69" s="39" t="s">
        <v>394</v>
      </c>
      <c r="G69" s="67" t="s">
        <v>83</v>
      </c>
      <c r="H69" s="42" t="s">
        <v>84</v>
      </c>
      <c r="I69" s="43">
        <v>2025</v>
      </c>
      <c r="J69" s="42" t="s">
        <v>69</v>
      </c>
      <c r="K69" s="43">
        <v>2</v>
      </c>
      <c r="L69" s="43">
        <v>2</v>
      </c>
      <c r="M69" s="43">
        <v>2</v>
      </c>
      <c r="N69" s="43">
        <v>2</v>
      </c>
      <c r="O69" s="43">
        <v>2</v>
      </c>
      <c r="P69" s="43">
        <v>2</v>
      </c>
      <c r="Q69" s="43">
        <f t="shared" si="8"/>
        <v>12</v>
      </c>
      <c r="R69" s="44">
        <v>0.67</v>
      </c>
      <c r="S69" s="43" t="s">
        <v>92</v>
      </c>
    </row>
    <row r="70" spans="1:19">
      <c r="A70" s="123" t="s">
        <v>395</v>
      </c>
      <c r="B70" s="122" t="s">
        <v>72</v>
      </c>
      <c r="C70" s="130" t="s">
        <v>396</v>
      </c>
      <c r="D70" s="128" t="s">
        <v>397</v>
      </c>
      <c r="E70" s="39" t="s">
        <v>130</v>
      </c>
      <c r="F70" s="39" t="s">
        <v>398</v>
      </c>
      <c r="G70" s="67" t="s">
        <v>83</v>
      </c>
      <c r="H70" s="42" t="s">
        <v>84</v>
      </c>
      <c r="I70" s="43">
        <v>2025</v>
      </c>
      <c r="J70" s="42" t="s">
        <v>69</v>
      </c>
      <c r="K70" s="42">
        <v>3</v>
      </c>
      <c r="L70" s="42">
        <v>3</v>
      </c>
      <c r="M70" s="42">
        <v>1</v>
      </c>
      <c r="N70" s="42">
        <v>3</v>
      </c>
      <c r="O70" s="42">
        <v>3</v>
      </c>
      <c r="P70" s="42">
        <v>2</v>
      </c>
      <c r="Q70" s="42">
        <f t="shared" si="8"/>
        <v>15</v>
      </c>
      <c r="R70" s="41">
        <v>0.83</v>
      </c>
      <c r="S70" s="42" t="s">
        <v>92</v>
      </c>
    </row>
    <row r="71" spans="1:19">
      <c r="A71" s="123" t="s">
        <v>399</v>
      </c>
      <c r="B71" s="122" t="s">
        <v>144</v>
      </c>
      <c r="C71" s="130" t="s">
        <v>400</v>
      </c>
      <c r="D71" s="128" t="s">
        <v>401</v>
      </c>
      <c r="E71" s="39" t="s">
        <v>75</v>
      </c>
      <c r="F71" s="39" t="s">
        <v>402</v>
      </c>
      <c r="G71" s="67" t="s">
        <v>83</v>
      </c>
      <c r="H71" s="42" t="s">
        <v>84</v>
      </c>
      <c r="I71" s="43">
        <v>2025</v>
      </c>
      <c r="J71" s="42" t="s">
        <v>69</v>
      </c>
      <c r="K71" s="42">
        <v>3</v>
      </c>
      <c r="L71" s="42">
        <v>3</v>
      </c>
      <c r="M71" s="42">
        <v>3</v>
      </c>
      <c r="N71" s="42">
        <v>3</v>
      </c>
      <c r="O71" s="42">
        <v>3</v>
      </c>
      <c r="P71" s="42">
        <v>3</v>
      </c>
      <c r="Q71" s="42">
        <f t="shared" si="8"/>
        <v>18</v>
      </c>
      <c r="R71" s="41">
        <v>1</v>
      </c>
      <c r="S71" s="42" t="s">
        <v>85</v>
      </c>
    </row>
    <row r="72" spans="1:19">
      <c r="A72" s="123" t="s">
        <v>403</v>
      </c>
      <c r="B72" s="122" t="s">
        <v>182</v>
      </c>
      <c r="C72" s="130" t="s">
        <v>404</v>
      </c>
      <c r="D72" s="128" t="s">
        <v>405</v>
      </c>
      <c r="E72" s="39" t="s">
        <v>406</v>
      </c>
      <c r="F72" s="39" t="s">
        <v>407</v>
      </c>
      <c r="G72" s="67" t="s">
        <v>83</v>
      </c>
      <c r="H72" s="42" t="s">
        <v>84</v>
      </c>
      <c r="I72" s="43">
        <v>2025</v>
      </c>
      <c r="J72" s="42" t="s">
        <v>69</v>
      </c>
      <c r="K72" s="42">
        <v>2</v>
      </c>
      <c r="L72" s="42">
        <v>2</v>
      </c>
      <c r="M72" s="42">
        <v>2</v>
      </c>
      <c r="N72" s="42">
        <v>2</v>
      </c>
      <c r="O72" s="42">
        <v>1</v>
      </c>
      <c r="P72" s="42">
        <v>2</v>
      </c>
      <c r="Q72" s="42">
        <f t="shared" si="8"/>
        <v>11</v>
      </c>
      <c r="R72" s="41">
        <v>0.61</v>
      </c>
      <c r="S72" s="42" t="s">
        <v>127</v>
      </c>
    </row>
    <row r="73" spans="1:19">
      <c r="A73" s="123" t="s">
        <v>408</v>
      </c>
      <c r="B73" s="122" t="s">
        <v>225</v>
      </c>
      <c r="C73" s="130" t="s">
        <v>409</v>
      </c>
      <c r="D73" s="128" t="s">
        <v>410</v>
      </c>
      <c r="E73" s="39" t="s">
        <v>411</v>
      </c>
      <c r="F73" s="39" t="s">
        <v>412</v>
      </c>
      <c r="G73" s="67" t="s">
        <v>83</v>
      </c>
      <c r="H73" s="42" t="s">
        <v>84</v>
      </c>
      <c r="I73" s="43">
        <v>2025</v>
      </c>
      <c r="J73" s="42" t="s">
        <v>69</v>
      </c>
      <c r="K73" s="42">
        <v>2</v>
      </c>
      <c r="L73" s="42">
        <v>2</v>
      </c>
      <c r="M73" s="42">
        <v>2</v>
      </c>
      <c r="N73" s="42">
        <v>2</v>
      </c>
      <c r="O73" s="42">
        <v>2</v>
      </c>
      <c r="P73" s="42">
        <v>3</v>
      </c>
      <c r="Q73" s="42">
        <f t="shared" si="8"/>
        <v>13</v>
      </c>
      <c r="R73" s="41">
        <v>0.72</v>
      </c>
      <c r="S73" s="42" t="s">
        <v>92</v>
      </c>
    </row>
    <row r="74" spans="1:19">
      <c r="A74" s="123" t="s">
        <v>413</v>
      </c>
      <c r="B74" s="122" t="s">
        <v>122</v>
      </c>
      <c r="C74" s="130" t="s">
        <v>414</v>
      </c>
      <c r="D74" s="128" t="s">
        <v>415</v>
      </c>
      <c r="E74" s="39" t="s">
        <v>416</v>
      </c>
      <c r="F74" s="39" t="s">
        <v>417</v>
      </c>
      <c r="G74" s="67" t="s">
        <v>83</v>
      </c>
      <c r="H74" s="42" t="s">
        <v>84</v>
      </c>
      <c r="I74" s="43">
        <v>2025</v>
      </c>
      <c r="J74" s="42" t="s">
        <v>69</v>
      </c>
      <c r="K74" s="42">
        <v>3</v>
      </c>
      <c r="L74" s="42">
        <v>3</v>
      </c>
      <c r="M74" s="42">
        <v>2</v>
      </c>
      <c r="N74" s="42">
        <v>2</v>
      </c>
      <c r="O74" s="42">
        <v>2</v>
      </c>
      <c r="P74" s="42">
        <v>3</v>
      </c>
      <c r="Q74" s="42">
        <f t="shared" si="8"/>
        <v>15</v>
      </c>
      <c r="R74" s="41">
        <v>0.83</v>
      </c>
      <c r="S74" s="42" t="s">
        <v>92</v>
      </c>
    </row>
    <row r="75" spans="1:19">
      <c r="A75" s="123" t="s">
        <v>418</v>
      </c>
      <c r="B75" s="122" t="s">
        <v>78</v>
      </c>
      <c r="C75" s="130" t="s">
        <v>419</v>
      </c>
      <c r="D75" s="128" t="s">
        <v>420</v>
      </c>
      <c r="E75" s="39" t="s">
        <v>421</v>
      </c>
      <c r="F75" s="39" t="s">
        <v>422</v>
      </c>
      <c r="G75" s="67" t="s">
        <v>83</v>
      </c>
      <c r="H75" s="42" t="s">
        <v>84</v>
      </c>
      <c r="I75" s="43">
        <v>2025</v>
      </c>
      <c r="J75" s="42" t="s">
        <v>69</v>
      </c>
      <c r="K75" s="42">
        <v>2</v>
      </c>
      <c r="L75" s="42">
        <v>2</v>
      </c>
      <c r="M75" s="42">
        <v>2</v>
      </c>
      <c r="N75" s="42">
        <v>2</v>
      </c>
      <c r="O75" s="42">
        <v>2</v>
      </c>
      <c r="P75" s="42">
        <v>3</v>
      </c>
      <c r="Q75" s="42">
        <f t="shared" si="8"/>
        <v>13</v>
      </c>
      <c r="R75" s="41">
        <v>0.72</v>
      </c>
      <c r="S75" s="42" t="s">
        <v>92</v>
      </c>
    </row>
    <row r="76" spans="1:19">
      <c r="A76" s="123" t="s">
        <v>423</v>
      </c>
      <c r="B76" s="122" t="s">
        <v>122</v>
      </c>
      <c r="C76" s="130" t="s">
        <v>424</v>
      </c>
      <c r="D76" s="128" t="s">
        <v>425</v>
      </c>
      <c r="E76" s="39" t="s">
        <v>426</v>
      </c>
      <c r="F76" s="39" t="s">
        <v>427</v>
      </c>
      <c r="G76" s="67" t="s">
        <v>83</v>
      </c>
      <c r="H76" s="42" t="s">
        <v>84</v>
      </c>
      <c r="I76" s="43">
        <v>2025</v>
      </c>
      <c r="J76" s="42" t="s">
        <v>69</v>
      </c>
      <c r="K76" s="43">
        <v>2</v>
      </c>
      <c r="L76" s="43">
        <v>1</v>
      </c>
      <c r="M76" s="43">
        <v>2</v>
      </c>
      <c r="N76" s="43">
        <v>1</v>
      </c>
      <c r="O76" s="43">
        <v>2</v>
      </c>
      <c r="P76" s="43">
        <v>1</v>
      </c>
      <c r="Q76" s="43">
        <f t="shared" si="8"/>
        <v>9</v>
      </c>
      <c r="R76" s="44">
        <v>0.5</v>
      </c>
      <c r="S76" s="43" t="s">
        <v>127</v>
      </c>
    </row>
    <row r="77" spans="1:19">
      <c r="A77" s="123" t="s">
        <v>428</v>
      </c>
      <c r="B77" s="122" t="s">
        <v>99</v>
      </c>
      <c r="C77" s="130" t="s">
        <v>429</v>
      </c>
      <c r="D77" s="128" t="s">
        <v>203</v>
      </c>
      <c r="E77" s="39" t="s">
        <v>430</v>
      </c>
      <c r="F77" s="39" t="s">
        <v>431</v>
      </c>
      <c r="G77" s="67" t="s">
        <v>83</v>
      </c>
      <c r="H77" s="42" t="s">
        <v>84</v>
      </c>
      <c r="I77" s="43">
        <v>2025</v>
      </c>
      <c r="J77" s="42" t="s">
        <v>69</v>
      </c>
      <c r="K77" s="43">
        <v>3</v>
      </c>
      <c r="L77" s="43">
        <v>2</v>
      </c>
      <c r="M77" s="43">
        <v>3</v>
      </c>
      <c r="N77" s="43">
        <v>2</v>
      </c>
      <c r="O77" s="43">
        <v>2</v>
      </c>
      <c r="P77" s="43">
        <v>2</v>
      </c>
      <c r="Q77" s="43">
        <f t="shared" si="8"/>
        <v>14</v>
      </c>
      <c r="R77" s="44">
        <v>0.78</v>
      </c>
      <c r="S77" s="43" t="s">
        <v>92</v>
      </c>
    </row>
    <row r="78" spans="1:19">
      <c r="A78" s="123" t="s">
        <v>432</v>
      </c>
      <c r="B78" s="122" t="s">
        <v>122</v>
      </c>
      <c r="C78" s="130" t="s">
        <v>433</v>
      </c>
      <c r="D78" s="128" t="s">
        <v>434</v>
      </c>
      <c r="E78" s="39" t="s">
        <v>435</v>
      </c>
      <c r="F78" s="39" t="s">
        <v>436</v>
      </c>
      <c r="G78" s="67" t="s">
        <v>83</v>
      </c>
      <c r="H78" s="42" t="s">
        <v>84</v>
      </c>
      <c r="I78" s="43">
        <v>2025</v>
      </c>
      <c r="J78" s="42" t="s">
        <v>69</v>
      </c>
      <c r="K78" s="42">
        <v>1</v>
      </c>
      <c r="L78" s="42">
        <v>1</v>
      </c>
      <c r="M78" s="42">
        <v>1</v>
      </c>
      <c r="N78" s="42">
        <v>1</v>
      </c>
      <c r="O78" s="42">
        <v>1</v>
      </c>
      <c r="P78" s="42">
        <v>1</v>
      </c>
      <c r="Q78" s="42">
        <f t="shared" si="8"/>
        <v>6</v>
      </c>
      <c r="R78" s="41">
        <v>0.33</v>
      </c>
      <c r="S78" s="42" t="s">
        <v>338</v>
      </c>
    </row>
    <row r="79" spans="1:19">
      <c r="A79" s="123" t="s">
        <v>437</v>
      </c>
      <c r="B79" s="122" t="s">
        <v>225</v>
      </c>
      <c r="C79" s="130" t="s">
        <v>438</v>
      </c>
      <c r="D79" s="128" t="s">
        <v>130</v>
      </c>
      <c r="E79" s="39" t="s">
        <v>439</v>
      </c>
      <c r="F79" s="39" t="s">
        <v>440</v>
      </c>
      <c r="G79" s="67" t="s">
        <v>83</v>
      </c>
      <c r="H79" s="42" t="s">
        <v>84</v>
      </c>
      <c r="I79" s="43">
        <v>2025</v>
      </c>
      <c r="J79" s="42" t="s">
        <v>69</v>
      </c>
      <c r="K79" s="42">
        <v>2</v>
      </c>
      <c r="L79" s="42">
        <v>2</v>
      </c>
      <c r="M79" s="42">
        <v>2</v>
      </c>
      <c r="N79" s="42">
        <v>1</v>
      </c>
      <c r="O79" s="42">
        <v>1</v>
      </c>
      <c r="P79" s="42">
        <v>1</v>
      </c>
      <c r="Q79" s="42">
        <f t="shared" si="8"/>
        <v>9</v>
      </c>
      <c r="R79" s="41">
        <v>0.5</v>
      </c>
      <c r="S79" s="42" t="s">
        <v>127</v>
      </c>
    </row>
    <row r="80" spans="1:19">
      <c r="A80" s="123" t="s">
        <v>441</v>
      </c>
      <c r="B80" s="122" t="s">
        <v>144</v>
      </c>
      <c r="C80" s="130" t="s">
        <v>442</v>
      </c>
      <c r="D80" s="128" t="s">
        <v>443</v>
      </c>
      <c r="E80" s="39" t="s">
        <v>119</v>
      </c>
      <c r="F80" s="39" t="s">
        <v>444</v>
      </c>
      <c r="G80" s="67" t="s">
        <v>83</v>
      </c>
      <c r="H80" s="42" t="s">
        <v>84</v>
      </c>
      <c r="I80" s="43">
        <v>2025</v>
      </c>
      <c r="J80" s="42" t="s">
        <v>69</v>
      </c>
      <c r="K80" s="42">
        <v>3</v>
      </c>
      <c r="L80" s="42">
        <v>3</v>
      </c>
      <c r="M80" s="42">
        <v>3</v>
      </c>
      <c r="N80" s="42">
        <v>3</v>
      </c>
      <c r="O80" s="42">
        <v>2</v>
      </c>
      <c r="P80" s="42">
        <v>2</v>
      </c>
      <c r="Q80" s="42">
        <f t="shared" si="8"/>
        <v>16</v>
      </c>
      <c r="R80" s="41">
        <v>0.89</v>
      </c>
      <c r="S80" s="42" t="s">
        <v>85</v>
      </c>
    </row>
    <row r="81" spans="1:19">
      <c r="A81" s="123" t="s">
        <v>445</v>
      </c>
      <c r="B81" s="122" t="s">
        <v>182</v>
      </c>
      <c r="C81" s="130" t="s">
        <v>446</v>
      </c>
      <c r="D81" s="128" t="s">
        <v>447</v>
      </c>
      <c r="E81" s="39" t="s">
        <v>448</v>
      </c>
      <c r="F81" s="39" t="s">
        <v>449</v>
      </c>
      <c r="G81" s="67" t="s">
        <v>83</v>
      </c>
      <c r="H81" s="42" t="s">
        <v>84</v>
      </c>
      <c r="I81" s="43">
        <v>2025</v>
      </c>
      <c r="J81" s="42" t="s">
        <v>69</v>
      </c>
      <c r="K81" s="42">
        <v>2</v>
      </c>
      <c r="L81" s="42">
        <v>1</v>
      </c>
      <c r="M81" s="42">
        <v>2</v>
      </c>
      <c r="N81" s="42">
        <v>1</v>
      </c>
      <c r="O81" s="42">
        <v>2</v>
      </c>
      <c r="P81" s="42">
        <v>1</v>
      </c>
      <c r="Q81" s="42">
        <f t="shared" si="8"/>
        <v>9</v>
      </c>
      <c r="R81" s="41">
        <v>0.5</v>
      </c>
      <c r="S81" s="42" t="s">
        <v>127</v>
      </c>
    </row>
    <row r="82" spans="1:19">
      <c r="A82" s="123" t="s">
        <v>450</v>
      </c>
      <c r="B82" s="122" t="s">
        <v>87</v>
      </c>
      <c r="C82" s="130" t="s">
        <v>451</v>
      </c>
      <c r="D82" s="128" t="s">
        <v>452</v>
      </c>
      <c r="E82" s="39" t="s">
        <v>415</v>
      </c>
      <c r="F82" s="39" t="s">
        <v>453</v>
      </c>
      <c r="G82" s="67" t="s">
        <v>83</v>
      </c>
      <c r="H82" s="42" t="s">
        <v>84</v>
      </c>
      <c r="I82" s="43">
        <v>2025</v>
      </c>
      <c r="J82" s="42" t="s">
        <v>69</v>
      </c>
      <c r="K82" s="42">
        <v>2</v>
      </c>
      <c r="L82" s="42">
        <v>1</v>
      </c>
      <c r="M82" s="42">
        <v>1</v>
      </c>
      <c r="N82" s="42">
        <v>2</v>
      </c>
      <c r="O82" s="42">
        <v>3</v>
      </c>
      <c r="P82" s="42">
        <v>2</v>
      </c>
      <c r="Q82" s="42">
        <f t="shared" si="8"/>
        <v>11</v>
      </c>
      <c r="R82" s="41">
        <v>0.61</v>
      </c>
      <c r="S82" s="42" t="s">
        <v>127</v>
      </c>
    </row>
    <row r="83" spans="1:19">
      <c r="A83" s="123" t="s">
        <v>454</v>
      </c>
      <c r="B83" s="122" t="s">
        <v>144</v>
      </c>
      <c r="C83" s="130" t="s">
        <v>455</v>
      </c>
      <c r="D83" s="128" t="s">
        <v>217</v>
      </c>
      <c r="E83" s="39" t="s">
        <v>184</v>
      </c>
      <c r="F83" s="39" t="s">
        <v>456</v>
      </c>
      <c r="G83" s="67" t="s">
        <v>83</v>
      </c>
      <c r="H83" s="42" t="s">
        <v>84</v>
      </c>
      <c r="I83" s="43">
        <v>2025</v>
      </c>
      <c r="J83" s="42" t="s">
        <v>69</v>
      </c>
      <c r="K83" s="42">
        <v>2</v>
      </c>
      <c r="L83" s="42">
        <v>2</v>
      </c>
      <c r="M83" s="42">
        <v>2</v>
      </c>
      <c r="N83" s="42">
        <v>1</v>
      </c>
      <c r="O83" s="42">
        <v>2</v>
      </c>
      <c r="P83" s="42">
        <v>2</v>
      </c>
      <c r="Q83" s="42">
        <f t="shared" si="8"/>
        <v>11</v>
      </c>
      <c r="R83" s="41">
        <v>0.61</v>
      </c>
      <c r="S83" s="42" t="s">
        <v>127</v>
      </c>
    </row>
    <row r="84" spans="1:19">
      <c r="A84" s="123" t="s">
        <v>457</v>
      </c>
      <c r="B84" s="122" t="s">
        <v>72</v>
      </c>
      <c r="C84" s="130" t="s">
        <v>458</v>
      </c>
      <c r="D84" s="128" t="s">
        <v>90</v>
      </c>
      <c r="E84" s="39" t="s">
        <v>459</v>
      </c>
      <c r="F84" s="39" t="s">
        <v>460</v>
      </c>
      <c r="G84" s="67" t="s">
        <v>83</v>
      </c>
      <c r="H84" s="42" t="s">
        <v>84</v>
      </c>
      <c r="I84" s="43">
        <v>2025</v>
      </c>
      <c r="J84" s="42" t="s">
        <v>69</v>
      </c>
      <c r="K84" s="42">
        <v>3</v>
      </c>
      <c r="L84" s="42">
        <v>3</v>
      </c>
      <c r="M84" s="42">
        <v>3</v>
      </c>
      <c r="N84" s="42">
        <v>3</v>
      </c>
      <c r="O84" s="42">
        <v>3</v>
      </c>
      <c r="P84" s="42">
        <v>2</v>
      </c>
      <c r="Q84" s="42">
        <f t="shared" si="8"/>
        <v>17</v>
      </c>
      <c r="R84" s="41">
        <v>0.94</v>
      </c>
      <c r="S84" s="42" t="s">
        <v>85</v>
      </c>
    </row>
    <row r="85" spans="1:19">
      <c r="A85" s="123" t="s">
        <v>461</v>
      </c>
      <c r="B85" s="122" t="s">
        <v>122</v>
      </c>
      <c r="C85" s="130" t="s">
        <v>462</v>
      </c>
      <c r="D85" s="128" t="s">
        <v>141</v>
      </c>
      <c r="E85" s="39" t="s">
        <v>203</v>
      </c>
      <c r="F85" s="39" t="s">
        <v>463</v>
      </c>
      <c r="G85" s="67" t="s">
        <v>83</v>
      </c>
      <c r="H85" s="42" t="s">
        <v>84</v>
      </c>
      <c r="I85" s="43">
        <v>2025</v>
      </c>
      <c r="J85" s="42" t="s">
        <v>69</v>
      </c>
      <c r="K85" s="42">
        <v>3</v>
      </c>
      <c r="L85" s="42">
        <v>3</v>
      </c>
      <c r="M85" s="42">
        <v>3</v>
      </c>
      <c r="N85" s="42">
        <v>3</v>
      </c>
      <c r="O85" s="42">
        <v>3</v>
      </c>
      <c r="P85" s="42">
        <v>2</v>
      </c>
      <c r="Q85" s="42">
        <f t="shared" si="8"/>
        <v>17</v>
      </c>
      <c r="R85" s="41">
        <v>0.94</v>
      </c>
      <c r="S85" s="42" t="s">
        <v>85</v>
      </c>
    </row>
    <row r="86" spans="1:19">
      <c r="A86" s="123" t="s">
        <v>464</v>
      </c>
      <c r="B86" s="122" t="s">
        <v>64</v>
      </c>
      <c r="C86" s="130" t="s">
        <v>465</v>
      </c>
      <c r="D86" s="128" t="s">
        <v>466</v>
      </c>
      <c r="E86" s="39" t="s">
        <v>467</v>
      </c>
      <c r="F86" s="39" t="s">
        <v>468</v>
      </c>
      <c r="G86" s="67" t="s">
        <v>83</v>
      </c>
      <c r="H86" s="42" t="s">
        <v>84</v>
      </c>
      <c r="I86" s="43">
        <v>2025</v>
      </c>
      <c r="J86" s="42" t="s">
        <v>69</v>
      </c>
      <c r="K86" s="42">
        <v>3</v>
      </c>
      <c r="L86" s="42">
        <v>3</v>
      </c>
      <c r="M86" s="42">
        <v>1</v>
      </c>
      <c r="N86" s="42">
        <v>1</v>
      </c>
      <c r="O86" s="42">
        <v>2</v>
      </c>
      <c r="P86" s="42">
        <v>3</v>
      </c>
      <c r="Q86" s="42">
        <f t="shared" si="8"/>
        <v>13</v>
      </c>
      <c r="R86" s="41">
        <v>0.72</v>
      </c>
      <c r="S86" s="42" t="s">
        <v>92</v>
      </c>
    </row>
    <row r="87" spans="1:19">
      <c r="A87" s="123" t="s">
        <v>469</v>
      </c>
      <c r="B87" s="122" t="s">
        <v>87</v>
      </c>
      <c r="C87" s="130" t="s">
        <v>470</v>
      </c>
      <c r="D87" s="128" t="s">
        <v>471</v>
      </c>
      <c r="E87" s="39" t="s">
        <v>198</v>
      </c>
      <c r="F87" s="39" t="s">
        <v>472</v>
      </c>
      <c r="G87" s="67" t="s">
        <v>83</v>
      </c>
      <c r="H87" s="42" t="s">
        <v>84</v>
      </c>
      <c r="I87" s="43">
        <v>2025</v>
      </c>
      <c r="J87" s="42" t="s">
        <v>69</v>
      </c>
      <c r="K87" s="43">
        <v>3</v>
      </c>
      <c r="L87" s="43">
        <v>3</v>
      </c>
      <c r="M87" s="43">
        <v>1</v>
      </c>
      <c r="N87" s="43">
        <v>3</v>
      </c>
      <c r="O87" s="43">
        <v>3</v>
      </c>
      <c r="P87" s="43">
        <v>2</v>
      </c>
      <c r="Q87" s="42">
        <f t="shared" si="8"/>
        <v>15</v>
      </c>
      <c r="R87" s="44">
        <v>0.83</v>
      </c>
      <c r="S87" s="43" t="s">
        <v>92</v>
      </c>
    </row>
    <row r="88" spans="1:19">
      <c r="A88" s="123" t="s">
        <v>473</v>
      </c>
      <c r="B88" s="122" t="s">
        <v>182</v>
      </c>
      <c r="C88" s="130" t="s">
        <v>474</v>
      </c>
      <c r="D88" s="128" t="s">
        <v>471</v>
      </c>
      <c r="E88" s="39" t="s">
        <v>156</v>
      </c>
      <c r="F88" s="39" t="s">
        <v>475</v>
      </c>
      <c r="G88" s="67" t="s">
        <v>83</v>
      </c>
      <c r="H88" s="42" t="s">
        <v>84</v>
      </c>
      <c r="I88" s="43">
        <v>2025</v>
      </c>
      <c r="J88" s="42" t="s">
        <v>69</v>
      </c>
      <c r="K88" s="42">
        <v>1</v>
      </c>
      <c r="L88" s="42">
        <v>1</v>
      </c>
      <c r="M88" s="42">
        <v>1</v>
      </c>
      <c r="N88" s="42">
        <v>1</v>
      </c>
      <c r="O88" s="42">
        <v>2</v>
      </c>
      <c r="P88" s="42">
        <v>3</v>
      </c>
      <c r="Q88" s="42">
        <f t="shared" si="8"/>
        <v>9</v>
      </c>
      <c r="R88" s="41">
        <v>0.5</v>
      </c>
      <c r="S88" s="42" t="s">
        <v>127</v>
      </c>
    </row>
    <row r="89" spans="1:19">
      <c r="A89" s="123" t="s">
        <v>476</v>
      </c>
      <c r="B89" s="122" t="s">
        <v>105</v>
      </c>
      <c r="C89" s="130" t="s">
        <v>477</v>
      </c>
      <c r="D89" s="128" t="s">
        <v>478</v>
      </c>
      <c r="E89" s="39" t="s">
        <v>383</v>
      </c>
      <c r="F89" s="39" t="s">
        <v>479</v>
      </c>
      <c r="G89" s="67" t="s">
        <v>83</v>
      </c>
      <c r="H89" s="42" t="s">
        <v>84</v>
      </c>
      <c r="I89" s="43">
        <v>2025</v>
      </c>
      <c r="J89" s="42" t="s">
        <v>69</v>
      </c>
      <c r="K89" s="42">
        <v>3</v>
      </c>
      <c r="L89" s="42">
        <v>3</v>
      </c>
      <c r="M89" s="42">
        <v>2</v>
      </c>
      <c r="N89" s="42">
        <v>2</v>
      </c>
      <c r="O89" s="42">
        <v>3</v>
      </c>
      <c r="P89" s="42">
        <v>2</v>
      </c>
      <c r="Q89" s="42">
        <f t="shared" si="8"/>
        <v>15</v>
      </c>
      <c r="R89" s="41">
        <v>0.83</v>
      </c>
      <c r="S89" s="42" t="s">
        <v>92</v>
      </c>
    </row>
    <row r="90" spans="1:19">
      <c r="A90" s="123" t="s">
        <v>480</v>
      </c>
      <c r="B90" s="122" t="s">
        <v>182</v>
      </c>
      <c r="C90" s="130" t="s">
        <v>481</v>
      </c>
      <c r="D90" s="128" t="s">
        <v>482</v>
      </c>
      <c r="E90" s="39" t="s">
        <v>483</v>
      </c>
      <c r="F90" s="39" t="s">
        <v>484</v>
      </c>
      <c r="G90" s="67" t="s">
        <v>83</v>
      </c>
      <c r="H90" s="42" t="s">
        <v>84</v>
      </c>
      <c r="I90" s="43">
        <v>2025</v>
      </c>
      <c r="J90" s="42" t="s">
        <v>69</v>
      </c>
      <c r="K90" s="43">
        <v>2</v>
      </c>
      <c r="L90" s="43">
        <v>2</v>
      </c>
      <c r="M90" s="43">
        <v>2</v>
      </c>
      <c r="N90" s="43">
        <v>2</v>
      </c>
      <c r="O90" s="43">
        <v>2</v>
      </c>
      <c r="P90" s="43">
        <v>2</v>
      </c>
      <c r="Q90" s="42">
        <f t="shared" si="8"/>
        <v>12</v>
      </c>
      <c r="R90" s="44">
        <v>0.67</v>
      </c>
      <c r="S90" s="43" t="s">
        <v>92</v>
      </c>
    </row>
    <row r="91" spans="1:19">
      <c r="A91" s="123" t="s">
        <v>485</v>
      </c>
      <c r="B91" s="122" t="s">
        <v>99</v>
      </c>
      <c r="C91" s="130" t="s">
        <v>486</v>
      </c>
      <c r="D91" s="128" t="s">
        <v>487</v>
      </c>
      <c r="E91" s="39" t="s">
        <v>352</v>
      </c>
      <c r="F91" s="39" t="s">
        <v>488</v>
      </c>
      <c r="G91" s="67" t="s">
        <v>83</v>
      </c>
      <c r="H91" s="42" t="s">
        <v>84</v>
      </c>
      <c r="I91" s="43">
        <v>2025</v>
      </c>
      <c r="J91" s="42" t="s">
        <v>69</v>
      </c>
      <c r="K91" s="42">
        <v>3</v>
      </c>
      <c r="L91" s="42">
        <v>3</v>
      </c>
      <c r="M91" s="42">
        <v>2</v>
      </c>
      <c r="N91" s="42">
        <v>2</v>
      </c>
      <c r="O91" s="42">
        <v>1</v>
      </c>
      <c r="P91" s="42">
        <v>2</v>
      </c>
      <c r="Q91" s="42">
        <f t="shared" si="8"/>
        <v>13</v>
      </c>
      <c r="R91" s="41">
        <v>0.72</v>
      </c>
      <c r="S91" s="42" t="s">
        <v>92</v>
      </c>
    </row>
    <row r="92" spans="1:19">
      <c r="A92" s="123" t="s">
        <v>489</v>
      </c>
      <c r="B92" s="122" t="s">
        <v>144</v>
      </c>
      <c r="C92" s="130" t="s">
        <v>490</v>
      </c>
      <c r="D92" s="128" t="s">
        <v>491</v>
      </c>
      <c r="E92" s="39" t="s">
        <v>492</v>
      </c>
      <c r="F92" s="39" t="s">
        <v>493</v>
      </c>
      <c r="G92" s="67" t="s">
        <v>83</v>
      </c>
      <c r="H92" s="42" t="s">
        <v>84</v>
      </c>
      <c r="I92" s="43">
        <v>2025</v>
      </c>
      <c r="J92" s="42" t="s">
        <v>69</v>
      </c>
      <c r="K92" s="42">
        <v>3</v>
      </c>
      <c r="L92" s="42">
        <v>3</v>
      </c>
      <c r="M92" s="42">
        <v>2</v>
      </c>
      <c r="N92" s="42">
        <v>3</v>
      </c>
      <c r="O92" s="42">
        <v>3</v>
      </c>
      <c r="P92" s="42">
        <v>3</v>
      </c>
      <c r="Q92" s="42">
        <f t="shared" si="8"/>
        <v>17</v>
      </c>
      <c r="R92" s="41">
        <v>0.94</v>
      </c>
      <c r="S92" s="42" t="s">
        <v>85</v>
      </c>
    </row>
    <row r="93" spans="1:19">
      <c r="A93" s="123" t="s">
        <v>494</v>
      </c>
      <c r="B93" s="122" t="s">
        <v>99</v>
      </c>
      <c r="C93" s="130" t="s">
        <v>495</v>
      </c>
      <c r="D93" s="128" t="s">
        <v>496</v>
      </c>
      <c r="E93" s="39" t="s">
        <v>245</v>
      </c>
      <c r="F93" s="39" t="s">
        <v>497</v>
      </c>
      <c r="G93" s="67" t="s">
        <v>83</v>
      </c>
      <c r="H93" s="42" t="s">
        <v>84</v>
      </c>
      <c r="I93" s="43">
        <v>2025</v>
      </c>
      <c r="J93" s="42" t="s">
        <v>69</v>
      </c>
      <c r="K93" s="42">
        <v>3</v>
      </c>
      <c r="L93" s="42">
        <v>3</v>
      </c>
      <c r="M93" s="42">
        <v>2</v>
      </c>
      <c r="N93" s="42">
        <v>2</v>
      </c>
      <c r="O93" s="42">
        <v>1</v>
      </c>
      <c r="P93" s="42">
        <v>2</v>
      </c>
      <c r="Q93" s="42">
        <f t="shared" si="8"/>
        <v>13</v>
      </c>
      <c r="R93" s="41">
        <v>0.72</v>
      </c>
      <c r="S93" s="42" t="s">
        <v>92</v>
      </c>
    </row>
    <row r="94" spans="1:19">
      <c r="A94" s="123" t="s">
        <v>498</v>
      </c>
      <c r="B94" s="122" t="s">
        <v>182</v>
      </c>
      <c r="C94" s="130" t="s">
        <v>499</v>
      </c>
      <c r="D94" s="128" t="s">
        <v>500</v>
      </c>
      <c r="E94" s="39" t="s">
        <v>501</v>
      </c>
      <c r="F94" s="39" t="s">
        <v>502</v>
      </c>
      <c r="G94" s="67" t="s">
        <v>83</v>
      </c>
      <c r="H94" s="42" t="s">
        <v>84</v>
      </c>
      <c r="I94" s="43">
        <v>2025</v>
      </c>
      <c r="J94" s="42" t="s">
        <v>69</v>
      </c>
      <c r="K94" s="42">
        <v>3</v>
      </c>
      <c r="L94" s="42">
        <v>3</v>
      </c>
      <c r="M94" s="42">
        <v>2</v>
      </c>
      <c r="N94" s="42">
        <v>2</v>
      </c>
      <c r="O94" s="42">
        <v>2</v>
      </c>
      <c r="P94" s="42">
        <v>2</v>
      </c>
      <c r="Q94" s="42">
        <f t="shared" si="8"/>
        <v>14</v>
      </c>
      <c r="R94" s="41">
        <v>0.78</v>
      </c>
      <c r="S94" s="42" t="s">
        <v>92</v>
      </c>
    </row>
    <row r="95" spans="1:19">
      <c r="A95" s="123" t="s">
        <v>503</v>
      </c>
      <c r="B95" s="122" t="s">
        <v>87</v>
      </c>
      <c r="C95" s="130" t="s">
        <v>504</v>
      </c>
      <c r="D95" s="128" t="s">
        <v>342</v>
      </c>
      <c r="E95" s="39" t="s">
        <v>211</v>
      </c>
      <c r="F95" s="39" t="s">
        <v>505</v>
      </c>
      <c r="G95" s="67" t="s">
        <v>83</v>
      </c>
      <c r="H95" s="42" t="s">
        <v>84</v>
      </c>
      <c r="I95" s="43">
        <v>2025</v>
      </c>
      <c r="J95" s="42" t="s">
        <v>69</v>
      </c>
      <c r="K95" s="42">
        <v>1</v>
      </c>
      <c r="L95" s="42">
        <v>1</v>
      </c>
      <c r="M95" s="42">
        <v>2</v>
      </c>
      <c r="N95" s="42">
        <v>2</v>
      </c>
      <c r="O95" s="42">
        <v>2</v>
      </c>
      <c r="P95" s="42">
        <v>3</v>
      </c>
      <c r="Q95" s="42">
        <f t="shared" si="8"/>
        <v>11</v>
      </c>
      <c r="R95" s="41">
        <v>0.61</v>
      </c>
      <c r="S95" s="42" t="s">
        <v>127</v>
      </c>
    </row>
    <row r="96" spans="1:19">
      <c r="A96" s="123" t="s">
        <v>506</v>
      </c>
      <c r="B96" s="122" t="s">
        <v>87</v>
      </c>
      <c r="C96" s="130" t="s">
        <v>507</v>
      </c>
      <c r="D96" s="128" t="s">
        <v>508</v>
      </c>
      <c r="E96" s="39" t="s">
        <v>509</v>
      </c>
      <c r="F96" s="39" t="s">
        <v>510</v>
      </c>
      <c r="G96" s="67" t="s">
        <v>83</v>
      </c>
      <c r="H96" s="42" t="s">
        <v>84</v>
      </c>
      <c r="I96" s="43">
        <v>2025</v>
      </c>
      <c r="J96" s="42" t="s">
        <v>69</v>
      </c>
      <c r="K96" s="42">
        <v>2</v>
      </c>
      <c r="L96" s="42">
        <v>2</v>
      </c>
      <c r="M96" s="42">
        <v>2</v>
      </c>
      <c r="N96" s="42">
        <v>1</v>
      </c>
      <c r="O96" s="42">
        <v>2</v>
      </c>
      <c r="P96" s="42">
        <v>2</v>
      </c>
      <c r="Q96" s="42">
        <f t="shared" si="8"/>
        <v>11</v>
      </c>
      <c r="R96" s="41">
        <v>0.61</v>
      </c>
      <c r="S96" s="42" t="s">
        <v>127</v>
      </c>
    </row>
    <row r="97" spans="1:19">
      <c r="A97" s="123" t="s">
        <v>511</v>
      </c>
      <c r="B97" s="122" t="s">
        <v>182</v>
      </c>
      <c r="C97" s="130" t="s">
        <v>512</v>
      </c>
      <c r="D97" s="128" t="s">
        <v>113</v>
      </c>
      <c r="E97" s="39" t="s">
        <v>513</v>
      </c>
      <c r="F97" s="39" t="s">
        <v>514</v>
      </c>
      <c r="G97" s="67" t="s">
        <v>83</v>
      </c>
      <c r="H97" s="42" t="s">
        <v>84</v>
      </c>
      <c r="I97" s="43">
        <v>2025</v>
      </c>
      <c r="J97" s="42" t="s">
        <v>69</v>
      </c>
      <c r="K97" s="42">
        <v>3</v>
      </c>
      <c r="L97" s="42">
        <v>2</v>
      </c>
      <c r="M97" s="42">
        <v>1</v>
      </c>
      <c r="N97" s="42">
        <v>1</v>
      </c>
      <c r="O97" s="42">
        <v>1</v>
      </c>
      <c r="P97" s="42">
        <v>1</v>
      </c>
      <c r="Q97" s="42">
        <f t="shared" si="8"/>
        <v>9</v>
      </c>
      <c r="R97" s="41">
        <v>0.5</v>
      </c>
      <c r="S97" s="42" t="s">
        <v>127</v>
      </c>
    </row>
    <row r="98" spans="1:19">
      <c r="A98" s="123" t="s">
        <v>515</v>
      </c>
      <c r="B98" s="122" t="s">
        <v>105</v>
      </c>
      <c r="C98" s="130" t="s">
        <v>516</v>
      </c>
      <c r="D98" s="128" t="s">
        <v>517</v>
      </c>
      <c r="E98" s="39" t="s">
        <v>233</v>
      </c>
      <c r="F98" s="39" t="s">
        <v>518</v>
      </c>
      <c r="G98" s="67" t="s">
        <v>83</v>
      </c>
      <c r="H98" s="42" t="s">
        <v>84</v>
      </c>
      <c r="I98" s="43">
        <v>2025</v>
      </c>
      <c r="J98" s="42" t="s">
        <v>69</v>
      </c>
      <c r="K98" s="42">
        <v>3</v>
      </c>
      <c r="L98" s="42">
        <v>1</v>
      </c>
      <c r="M98" s="42">
        <v>2</v>
      </c>
      <c r="N98" s="42">
        <v>3</v>
      </c>
      <c r="O98" s="42">
        <v>1</v>
      </c>
      <c r="P98" s="42">
        <v>1</v>
      </c>
      <c r="Q98" s="42">
        <f t="shared" si="8"/>
        <v>11</v>
      </c>
      <c r="R98" s="41">
        <v>0.61</v>
      </c>
      <c r="S98" s="42" t="s">
        <v>127</v>
      </c>
    </row>
    <row r="99" spans="1:19">
      <c r="A99" s="123" t="s">
        <v>519</v>
      </c>
      <c r="B99" s="122" t="s">
        <v>72</v>
      </c>
      <c r="C99" s="130" t="s">
        <v>520</v>
      </c>
      <c r="D99" s="128" t="s">
        <v>102</v>
      </c>
      <c r="E99" s="39" t="s">
        <v>140</v>
      </c>
      <c r="F99" s="39" t="s">
        <v>521</v>
      </c>
      <c r="G99" s="67" t="s">
        <v>83</v>
      </c>
      <c r="H99" s="42" t="s">
        <v>84</v>
      </c>
      <c r="I99" s="43">
        <v>2025</v>
      </c>
      <c r="J99" s="42" t="s">
        <v>69</v>
      </c>
      <c r="K99" s="42">
        <v>2</v>
      </c>
      <c r="L99" s="42">
        <v>3</v>
      </c>
      <c r="M99" s="42">
        <v>2</v>
      </c>
      <c r="N99" s="42">
        <v>3</v>
      </c>
      <c r="O99" s="42">
        <v>2</v>
      </c>
      <c r="P99" s="42">
        <v>2</v>
      </c>
      <c r="Q99" s="42">
        <f t="shared" si="8"/>
        <v>14</v>
      </c>
      <c r="R99" s="41">
        <v>0.78</v>
      </c>
      <c r="S99" s="42" t="s">
        <v>92</v>
      </c>
    </row>
    <row r="100" spans="1:19">
      <c r="A100" s="123" t="s">
        <v>522</v>
      </c>
      <c r="B100" s="122" t="s">
        <v>78</v>
      </c>
      <c r="C100" s="130" t="s">
        <v>523</v>
      </c>
      <c r="D100" s="128" t="s">
        <v>524</v>
      </c>
      <c r="E100" s="39" t="s">
        <v>525</v>
      </c>
      <c r="F100" s="39" t="s">
        <v>526</v>
      </c>
      <c r="G100" s="67" t="s">
        <v>83</v>
      </c>
      <c r="H100" s="42" t="s">
        <v>84</v>
      </c>
      <c r="I100" s="43">
        <v>2025</v>
      </c>
      <c r="J100" s="42" t="s">
        <v>69</v>
      </c>
      <c r="K100" s="42">
        <v>3</v>
      </c>
      <c r="L100" s="42">
        <v>3</v>
      </c>
      <c r="M100" s="42">
        <v>2</v>
      </c>
      <c r="N100" s="42">
        <v>1</v>
      </c>
      <c r="O100" s="42">
        <v>1</v>
      </c>
      <c r="P100" s="42">
        <v>2</v>
      </c>
      <c r="Q100" s="42">
        <f t="shared" si="8"/>
        <v>12</v>
      </c>
      <c r="R100" s="41">
        <v>0.67</v>
      </c>
      <c r="S100" s="42" t="s">
        <v>92</v>
      </c>
    </row>
    <row r="101" spans="1:19">
      <c r="A101" s="123" t="s">
        <v>527</v>
      </c>
      <c r="B101" s="122" t="s">
        <v>182</v>
      </c>
      <c r="C101" s="130" t="s">
        <v>528</v>
      </c>
      <c r="D101" s="128" t="s">
        <v>264</v>
      </c>
      <c r="E101" s="39" t="s">
        <v>156</v>
      </c>
      <c r="F101" s="39" t="s">
        <v>505</v>
      </c>
      <c r="G101" s="67" t="s">
        <v>83</v>
      </c>
      <c r="H101" s="42" t="s">
        <v>84</v>
      </c>
      <c r="I101" s="43">
        <v>2025</v>
      </c>
      <c r="J101" s="42" t="s">
        <v>69</v>
      </c>
      <c r="K101" s="42">
        <v>2</v>
      </c>
      <c r="L101" s="42">
        <v>2</v>
      </c>
      <c r="M101" s="42">
        <v>2</v>
      </c>
      <c r="N101" s="42">
        <v>2</v>
      </c>
      <c r="O101" s="42">
        <v>2</v>
      </c>
      <c r="P101" s="42">
        <v>3</v>
      </c>
      <c r="Q101" s="42">
        <f t="shared" si="8"/>
        <v>13</v>
      </c>
      <c r="R101" s="41">
        <v>0.72</v>
      </c>
      <c r="S101" s="42" t="s">
        <v>92</v>
      </c>
    </row>
    <row r="102" spans="1:19">
      <c r="A102" s="123" t="s">
        <v>529</v>
      </c>
      <c r="B102" s="122" t="s">
        <v>64</v>
      </c>
      <c r="C102" s="130" t="s">
        <v>530</v>
      </c>
      <c r="D102" s="128" t="s">
        <v>264</v>
      </c>
      <c r="E102" s="39" t="s">
        <v>531</v>
      </c>
      <c r="F102" s="39" t="s">
        <v>532</v>
      </c>
      <c r="G102" s="67" t="s">
        <v>83</v>
      </c>
      <c r="H102" s="42" t="s">
        <v>84</v>
      </c>
      <c r="I102" s="43">
        <v>2025</v>
      </c>
      <c r="J102" s="42" t="s">
        <v>69</v>
      </c>
      <c r="K102" s="43">
        <v>2</v>
      </c>
      <c r="L102" s="43">
        <v>3</v>
      </c>
      <c r="M102" s="43">
        <v>3</v>
      </c>
      <c r="N102" s="43">
        <v>3</v>
      </c>
      <c r="O102" s="43">
        <v>3</v>
      </c>
      <c r="P102" s="43">
        <v>3</v>
      </c>
      <c r="Q102" s="42">
        <f t="shared" si="8"/>
        <v>17</v>
      </c>
      <c r="R102" s="44">
        <v>0.84</v>
      </c>
      <c r="S102" s="43" t="s">
        <v>85</v>
      </c>
    </row>
    <row r="103" spans="1:19">
      <c r="A103" s="123" t="s">
        <v>533</v>
      </c>
      <c r="B103" s="122" t="s">
        <v>78</v>
      </c>
      <c r="C103" s="130" t="s">
        <v>534</v>
      </c>
      <c r="D103" s="128" t="s">
        <v>535</v>
      </c>
      <c r="E103" s="39" t="s">
        <v>536</v>
      </c>
      <c r="F103" s="39" t="s">
        <v>537</v>
      </c>
      <c r="G103" s="67" t="s">
        <v>83</v>
      </c>
      <c r="H103" s="42" t="s">
        <v>84</v>
      </c>
      <c r="I103" s="43">
        <v>2025</v>
      </c>
      <c r="J103" s="42" t="s">
        <v>69</v>
      </c>
      <c r="K103" s="42">
        <v>2</v>
      </c>
      <c r="L103" s="42">
        <v>2</v>
      </c>
      <c r="M103" s="42">
        <v>2</v>
      </c>
      <c r="N103" s="42">
        <v>2</v>
      </c>
      <c r="O103" s="42">
        <v>2</v>
      </c>
      <c r="P103" s="42">
        <v>2</v>
      </c>
      <c r="Q103" s="42">
        <f t="shared" si="8"/>
        <v>12</v>
      </c>
      <c r="R103" s="41">
        <v>0.67</v>
      </c>
      <c r="S103" s="42" t="s">
        <v>92</v>
      </c>
    </row>
    <row r="104" spans="1:19">
      <c r="A104" s="123" t="s">
        <v>538</v>
      </c>
      <c r="B104" s="122" t="s">
        <v>116</v>
      </c>
      <c r="C104" s="130" t="s">
        <v>539</v>
      </c>
      <c r="D104" s="128" t="s">
        <v>540</v>
      </c>
      <c r="E104" s="39" t="s">
        <v>541</v>
      </c>
      <c r="F104" s="39" t="s">
        <v>542</v>
      </c>
      <c r="G104" s="67" t="s">
        <v>83</v>
      </c>
      <c r="H104" s="42" t="s">
        <v>84</v>
      </c>
      <c r="I104" s="43">
        <v>2025</v>
      </c>
      <c r="J104" s="42" t="s">
        <v>69</v>
      </c>
      <c r="K104" s="42">
        <v>2</v>
      </c>
      <c r="L104" s="42">
        <v>2</v>
      </c>
      <c r="M104" s="42">
        <v>1</v>
      </c>
      <c r="N104" s="42">
        <v>2</v>
      </c>
      <c r="O104" s="42">
        <v>2</v>
      </c>
      <c r="P104" s="42">
        <v>1</v>
      </c>
      <c r="Q104" s="42">
        <f t="shared" si="8"/>
        <v>10</v>
      </c>
      <c r="R104" s="41">
        <v>0.56000000000000005</v>
      </c>
      <c r="S104" s="42" t="s">
        <v>127</v>
      </c>
    </row>
    <row r="105" spans="1:19">
      <c r="A105" s="123" t="s">
        <v>543</v>
      </c>
      <c r="B105" s="122" t="s">
        <v>87</v>
      </c>
      <c r="C105" s="130" t="s">
        <v>544</v>
      </c>
      <c r="D105" s="128" t="s">
        <v>545</v>
      </c>
      <c r="E105" s="39" t="s">
        <v>546</v>
      </c>
      <c r="F105" s="39" t="s">
        <v>547</v>
      </c>
      <c r="G105" s="67" t="s">
        <v>83</v>
      </c>
      <c r="H105" s="42" t="s">
        <v>84</v>
      </c>
      <c r="I105" s="43">
        <v>2025</v>
      </c>
      <c r="J105" s="42" t="s">
        <v>69</v>
      </c>
      <c r="K105" s="42">
        <v>2</v>
      </c>
      <c r="L105" s="42">
        <v>2</v>
      </c>
      <c r="M105" s="42">
        <v>2</v>
      </c>
      <c r="N105" s="42">
        <v>2</v>
      </c>
      <c r="O105" s="42">
        <v>3</v>
      </c>
      <c r="P105" s="42">
        <v>2</v>
      </c>
      <c r="Q105" s="42">
        <f t="shared" si="8"/>
        <v>13</v>
      </c>
      <c r="R105" s="41">
        <v>0.72</v>
      </c>
      <c r="S105" s="42" t="s">
        <v>92</v>
      </c>
    </row>
    <row r="106" spans="1:19">
      <c r="A106" s="123" t="s">
        <v>548</v>
      </c>
      <c r="B106" s="122" t="s">
        <v>78</v>
      </c>
      <c r="C106" s="130" t="s">
        <v>549</v>
      </c>
      <c r="D106" s="128" t="s">
        <v>287</v>
      </c>
      <c r="E106" s="39" t="s">
        <v>173</v>
      </c>
      <c r="F106" s="39" t="s">
        <v>550</v>
      </c>
      <c r="G106" s="67" t="s">
        <v>83</v>
      </c>
      <c r="H106" s="42" t="s">
        <v>84</v>
      </c>
      <c r="I106" s="43">
        <v>2025</v>
      </c>
      <c r="J106" s="42" t="s">
        <v>69</v>
      </c>
      <c r="K106" s="42">
        <v>2</v>
      </c>
      <c r="L106" s="42">
        <v>2</v>
      </c>
      <c r="M106" s="42">
        <v>2</v>
      </c>
      <c r="N106" s="42">
        <v>1</v>
      </c>
      <c r="O106" s="42">
        <v>1</v>
      </c>
      <c r="P106" s="42">
        <v>2</v>
      </c>
      <c r="Q106" s="42">
        <f t="shared" si="8"/>
        <v>10</v>
      </c>
      <c r="R106" s="41">
        <v>0.56000000000000005</v>
      </c>
      <c r="S106" s="42" t="s">
        <v>127</v>
      </c>
    </row>
    <row r="107" spans="1:19">
      <c r="A107" s="123" t="s">
        <v>551</v>
      </c>
      <c r="B107" s="122" t="s">
        <v>225</v>
      </c>
      <c r="C107" s="130" t="s">
        <v>552</v>
      </c>
      <c r="D107" s="128" t="s">
        <v>553</v>
      </c>
      <c r="E107" s="39" t="s">
        <v>330</v>
      </c>
      <c r="F107" s="39" t="s">
        <v>554</v>
      </c>
      <c r="G107" s="67" t="s">
        <v>83</v>
      </c>
      <c r="H107" s="42" t="s">
        <v>84</v>
      </c>
      <c r="I107" s="43">
        <v>2025</v>
      </c>
      <c r="J107" s="42" t="s">
        <v>69</v>
      </c>
      <c r="K107" s="42">
        <v>3</v>
      </c>
      <c r="L107" s="42">
        <v>3</v>
      </c>
      <c r="M107" s="42">
        <v>2</v>
      </c>
      <c r="N107" s="42">
        <v>2</v>
      </c>
      <c r="O107" s="42">
        <v>3</v>
      </c>
      <c r="P107" s="42">
        <v>3</v>
      </c>
      <c r="Q107" s="42">
        <f t="shared" si="8"/>
        <v>16</v>
      </c>
      <c r="R107" s="41">
        <v>0.89</v>
      </c>
      <c r="S107" s="42" t="s">
        <v>85</v>
      </c>
    </row>
    <row r="108" spans="1:19">
      <c r="A108" s="123" t="s">
        <v>555</v>
      </c>
      <c r="B108" s="122" t="s">
        <v>225</v>
      </c>
      <c r="C108" s="130" t="s">
        <v>556</v>
      </c>
      <c r="D108" s="128" t="s">
        <v>557</v>
      </c>
      <c r="E108" s="39" t="s">
        <v>447</v>
      </c>
      <c r="F108" s="39" t="s">
        <v>558</v>
      </c>
      <c r="G108" s="67" t="s">
        <v>83</v>
      </c>
      <c r="H108" s="42" t="s">
        <v>84</v>
      </c>
      <c r="I108" s="43">
        <v>2025</v>
      </c>
      <c r="J108" s="42" t="s">
        <v>69</v>
      </c>
      <c r="K108" s="42">
        <v>3</v>
      </c>
      <c r="L108" s="42">
        <v>2</v>
      </c>
      <c r="M108" s="42">
        <v>2</v>
      </c>
      <c r="N108" s="42">
        <v>2</v>
      </c>
      <c r="O108" s="42">
        <v>2</v>
      </c>
      <c r="P108" s="42">
        <v>2</v>
      </c>
      <c r="Q108" s="42">
        <f t="shared" si="8"/>
        <v>13</v>
      </c>
      <c r="R108" s="41">
        <v>0.72</v>
      </c>
      <c r="S108" s="42" t="s">
        <v>92</v>
      </c>
    </row>
    <row r="109" spans="1:19">
      <c r="A109" s="123" t="s">
        <v>559</v>
      </c>
      <c r="B109" s="122" t="s">
        <v>105</v>
      </c>
      <c r="C109" s="130" t="s">
        <v>560</v>
      </c>
      <c r="D109" s="128" t="s">
        <v>561</v>
      </c>
      <c r="E109" s="39" t="s">
        <v>562</v>
      </c>
      <c r="F109" s="39" t="s">
        <v>563</v>
      </c>
      <c r="G109" s="67" t="s">
        <v>83</v>
      </c>
      <c r="H109" s="42" t="s">
        <v>84</v>
      </c>
      <c r="I109" s="43">
        <v>2025</v>
      </c>
      <c r="J109" s="42" t="s">
        <v>69</v>
      </c>
      <c r="K109" s="43">
        <v>2</v>
      </c>
      <c r="L109" s="43">
        <v>2</v>
      </c>
      <c r="M109" s="43">
        <v>2</v>
      </c>
      <c r="N109" s="43">
        <v>2</v>
      </c>
      <c r="O109" s="43">
        <v>2</v>
      </c>
      <c r="P109" s="43">
        <v>2</v>
      </c>
      <c r="Q109" s="42">
        <f t="shared" si="8"/>
        <v>12</v>
      </c>
      <c r="R109" s="44">
        <v>0.67</v>
      </c>
      <c r="S109" s="43" t="s">
        <v>92</v>
      </c>
    </row>
    <row r="110" spans="1:19">
      <c r="A110" s="123" t="s">
        <v>564</v>
      </c>
      <c r="B110" s="122" t="s">
        <v>99</v>
      </c>
      <c r="C110" s="130" t="s">
        <v>565</v>
      </c>
      <c r="D110" s="128" t="s">
        <v>501</v>
      </c>
      <c r="E110" s="39" t="s">
        <v>566</v>
      </c>
      <c r="F110" s="39" t="s">
        <v>567</v>
      </c>
      <c r="G110" s="67" t="s">
        <v>83</v>
      </c>
      <c r="H110" s="42" t="s">
        <v>84</v>
      </c>
      <c r="I110" s="43">
        <v>2025</v>
      </c>
      <c r="J110" s="42" t="s">
        <v>69</v>
      </c>
      <c r="K110" s="42">
        <v>2</v>
      </c>
      <c r="L110" s="42">
        <v>2</v>
      </c>
      <c r="M110" s="42">
        <v>2</v>
      </c>
      <c r="N110" s="42">
        <v>2</v>
      </c>
      <c r="O110" s="42">
        <v>3</v>
      </c>
      <c r="P110" s="42">
        <v>2</v>
      </c>
      <c r="Q110" s="42">
        <f t="shared" si="8"/>
        <v>13</v>
      </c>
      <c r="R110" s="41">
        <v>0.72</v>
      </c>
      <c r="S110" s="42" t="s">
        <v>92</v>
      </c>
    </row>
    <row r="111" spans="1:19">
      <c r="A111" s="123" t="s">
        <v>568</v>
      </c>
      <c r="B111" s="122" t="s">
        <v>144</v>
      </c>
      <c r="C111" s="130" t="s">
        <v>569</v>
      </c>
      <c r="D111" s="128" t="s">
        <v>168</v>
      </c>
      <c r="E111" s="39" t="s">
        <v>570</v>
      </c>
      <c r="F111" s="39" t="s">
        <v>571</v>
      </c>
      <c r="G111" s="67" t="s">
        <v>83</v>
      </c>
      <c r="H111" s="42" t="s">
        <v>84</v>
      </c>
      <c r="I111" s="43">
        <v>2025</v>
      </c>
      <c r="J111" s="42" t="s">
        <v>69</v>
      </c>
      <c r="K111" s="42">
        <v>2</v>
      </c>
      <c r="L111" s="42">
        <v>1</v>
      </c>
      <c r="M111" s="42">
        <v>1</v>
      </c>
      <c r="N111" s="42">
        <v>2</v>
      </c>
      <c r="O111" s="42">
        <v>2</v>
      </c>
      <c r="P111" s="42">
        <v>1</v>
      </c>
      <c r="Q111" s="42">
        <f t="shared" si="8"/>
        <v>9</v>
      </c>
      <c r="R111" s="41">
        <v>0.5</v>
      </c>
      <c r="S111" s="42" t="s">
        <v>127</v>
      </c>
    </row>
    <row r="112" spans="1:19">
      <c r="A112" s="123" t="s">
        <v>572</v>
      </c>
      <c r="B112" s="122" t="s">
        <v>116</v>
      </c>
      <c r="C112" s="130" t="s">
        <v>573</v>
      </c>
      <c r="D112" s="128" t="s">
        <v>574</v>
      </c>
      <c r="E112" s="39" t="s">
        <v>575</v>
      </c>
      <c r="F112" s="39" t="s">
        <v>576</v>
      </c>
      <c r="G112" s="67" t="s">
        <v>83</v>
      </c>
      <c r="H112" s="42" t="s">
        <v>84</v>
      </c>
      <c r="I112" s="43">
        <v>2025</v>
      </c>
      <c r="J112" s="42" t="s">
        <v>69</v>
      </c>
      <c r="K112" s="42">
        <v>3</v>
      </c>
      <c r="L112" s="42">
        <v>2</v>
      </c>
      <c r="M112" s="42">
        <v>1</v>
      </c>
      <c r="N112" s="42">
        <v>2</v>
      </c>
      <c r="O112" s="42">
        <v>3</v>
      </c>
      <c r="P112" s="42">
        <v>2</v>
      </c>
      <c r="Q112" s="42">
        <f t="shared" si="8"/>
        <v>13</v>
      </c>
      <c r="R112" s="41">
        <v>0.72</v>
      </c>
      <c r="S112" s="42" t="s">
        <v>92</v>
      </c>
    </row>
    <row r="113" spans="1:19">
      <c r="A113" s="123" t="s">
        <v>577</v>
      </c>
      <c r="B113" s="122" t="s">
        <v>99</v>
      </c>
      <c r="C113" s="130" t="s">
        <v>578</v>
      </c>
      <c r="D113" s="128" t="s">
        <v>579</v>
      </c>
      <c r="E113" s="39" t="s">
        <v>580</v>
      </c>
      <c r="F113" s="39" t="s">
        <v>581</v>
      </c>
      <c r="G113" s="67" t="s">
        <v>83</v>
      </c>
      <c r="H113" s="42" t="s">
        <v>84</v>
      </c>
      <c r="I113" s="43">
        <v>2025</v>
      </c>
      <c r="J113" s="42" t="s">
        <v>69</v>
      </c>
      <c r="K113" s="43">
        <v>3</v>
      </c>
      <c r="L113" s="43">
        <v>3</v>
      </c>
      <c r="M113" s="43">
        <v>2</v>
      </c>
      <c r="N113" s="43">
        <v>3</v>
      </c>
      <c r="O113" s="43">
        <v>1</v>
      </c>
      <c r="P113" s="43">
        <v>2</v>
      </c>
      <c r="Q113" s="42">
        <f t="shared" si="8"/>
        <v>14</v>
      </c>
      <c r="R113" s="44">
        <v>0.78</v>
      </c>
      <c r="S113" s="43" t="s">
        <v>92</v>
      </c>
    </row>
    <row r="114" spans="1:19">
      <c r="A114" s="123" t="s">
        <v>582</v>
      </c>
      <c r="B114" s="122" t="s">
        <v>116</v>
      </c>
      <c r="C114" s="130" t="s">
        <v>583</v>
      </c>
      <c r="D114" s="128" t="s">
        <v>584</v>
      </c>
      <c r="E114" s="39" t="s">
        <v>585</v>
      </c>
      <c r="F114" s="39" t="s">
        <v>586</v>
      </c>
      <c r="G114" s="67" t="s">
        <v>83</v>
      </c>
      <c r="H114" s="42" t="s">
        <v>84</v>
      </c>
      <c r="I114" s="43">
        <v>2025</v>
      </c>
      <c r="J114" s="42" t="s">
        <v>69</v>
      </c>
      <c r="K114" s="42">
        <v>3</v>
      </c>
      <c r="L114" s="42">
        <v>3</v>
      </c>
      <c r="M114" s="42">
        <v>2</v>
      </c>
      <c r="N114" s="42">
        <v>3</v>
      </c>
      <c r="O114" s="42">
        <v>3</v>
      </c>
      <c r="P114" s="42">
        <v>2</v>
      </c>
      <c r="Q114" s="42">
        <f t="shared" si="8"/>
        <v>16</v>
      </c>
      <c r="R114" s="41">
        <v>0.89</v>
      </c>
      <c r="S114" s="42" t="s">
        <v>85</v>
      </c>
    </row>
    <row r="115" spans="1:19">
      <c r="A115" s="123" t="s">
        <v>587</v>
      </c>
      <c r="B115" s="122" t="s">
        <v>78</v>
      </c>
      <c r="C115" s="130" t="s">
        <v>588</v>
      </c>
      <c r="D115" s="128" t="s">
        <v>589</v>
      </c>
      <c r="E115" s="39" t="s">
        <v>467</v>
      </c>
      <c r="F115" s="39" t="s">
        <v>590</v>
      </c>
      <c r="G115" s="67" t="s">
        <v>83</v>
      </c>
      <c r="H115" s="42" t="s">
        <v>84</v>
      </c>
      <c r="I115" s="43">
        <v>2025</v>
      </c>
      <c r="J115" s="42" t="s">
        <v>69</v>
      </c>
      <c r="K115" s="43">
        <v>3</v>
      </c>
      <c r="L115" s="43">
        <v>3</v>
      </c>
      <c r="M115" s="43">
        <v>2</v>
      </c>
      <c r="N115" s="43">
        <v>3</v>
      </c>
      <c r="O115" s="43">
        <v>1</v>
      </c>
      <c r="P115" s="43">
        <v>3</v>
      </c>
      <c r="Q115" s="42">
        <f t="shared" si="8"/>
        <v>15</v>
      </c>
      <c r="R115" s="44">
        <v>0.83</v>
      </c>
      <c r="S115" s="43" t="s">
        <v>92</v>
      </c>
    </row>
    <row r="116" spans="1:19">
      <c r="A116" s="123" t="s">
        <v>591</v>
      </c>
      <c r="B116" s="122" t="s">
        <v>182</v>
      </c>
      <c r="C116" s="130" t="s">
        <v>592</v>
      </c>
      <c r="D116" s="128" t="s">
        <v>593</v>
      </c>
      <c r="E116" s="39" t="s">
        <v>594</v>
      </c>
      <c r="F116" s="39" t="s">
        <v>595</v>
      </c>
      <c r="G116" s="67" t="s">
        <v>83</v>
      </c>
      <c r="H116" s="42" t="s">
        <v>84</v>
      </c>
      <c r="I116" s="43">
        <v>2025</v>
      </c>
      <c r="J116" s="42" t="s">
        <v>69</v>
      </c>
      <c r="K116" s="42">
        <v>1</v>
      </c>
      <c r="L116" s="42">
        <v>2</v>
      </c>
      <c r="M116" s="42">
        <v>2</v>
      </c>
      <c r="N116" s="42">
        <v>1</v>
      </c>
      <c r="O116" s="42">
        <v>2</v>
      </c>
      <c r="P116" s="42">
        <v>2</v>
      </c>
      <c r="Q116" s="42">
        <f t="shared" si="8"/>
        <v>10</v>
      </c>
      <c r="R116" s="41">
        <v>0.56000000000000005</v>
      </c>
      <c r="S116" s="42" t="s">
        <v>127</v>
      </c>
    </row>
    <row r="117" spans="1:19">
      <c r="A117" s="123" t="s">
        <v>596</v>
      </c>
      <c r="B117" s="122" t="s">
        <v>72</v>
      </c>
      <c r="C117" s="130" t="s">
        <v>597</v>
      </c>
      <c r="D117" s="128" t="s">
        <v>598</v>
      </c>
      <c r="E117" s="39" t="s">
        <v>540</v>
      </c>
      <c r="F117" s="39" t="s">
        <v>599</v>
      </c>
      <c r="G117" s="67" t="s">
        <v>83</v>
      </c>
      <c r="H117" s="42" t="s">
        <v>84</v>
      </c>
      <c r="I117" s="43">
        <v>2025</v>
      </c>
      <c r="J117" s="42" t="s">
        <v>69</v>
      </c>
      <c r="K117" s="43">
        <v>3</v>
      </c>
      <c r="L117" s="43">
        <v>2</v>
      </c>
      <c r="M117" s="43">
        <v>1</v>
      </c>
      <c r="N117" s="43">
        <v>1</v>
      </c>
      <c r="O117" s="43">
        <v>1</v>
      </c>
      <c r="P117" s="43">
        <v>1</v>
      </c>
      <c r="Q117" s="42">
        <f t="shared" si="8"/>
        <v>9</v>
      </c>
      <c r="R117" s="44">
        <v>0.5</v>
      </c>
      <c r="S117" s="43" t="s">
        <v>127</v>
      </c>
    </row>
    <row r="118" spans="1:19">
      <c r="A118" s="123" t="s">
        <v>600</v>
      </c>
      <c r="B118" s="122" t="s">
        <v>105</v>
      </c>
      <c r="C118" s="130" t="s">
        <v>601</v>
      </c>
      <c r="D118" s="128" t="s">
        <v>602</v>
      </c>
      <c r="E118" s="39" t="s">
        <v>603</v>
      </c>
      <c r="F118" s="39" t="s">
        <v>604</v>
      </c>
      <c r="G118" s="67" t="s">
        <v>83</v>
      </c>
      <c r="H118" s="42" t="s">
        <v>84</v>
      </c>
      <c r="I118" s="43">
        <v>2025</v>
      </c>
      <c r="J118" s="42" t="s">
        <v>69</v>
      </c>
      <c r="K118" s="42">
        <v>2</v>
      </c>
      <c r="L118" s="42">
        <v>2</v>
      </c>
      <c r="M118" s="42">
        <v>2</v>
      </c>
      <c r="N118" s="42">
        <v>3</v>
      </c>
      <c r="O118" s="42">
        <v>3</v>
      </c>
      <c r="P118" s="42">
        <v>1</v>
      </c>
      <c r="Q118" s="42">
        <f t="shared" si="8"/>
        <v>13</v>
      </c>
      <c r="R118" s="41">
        <v>0.72</v>
      </c>
      <c r="S118" s="42" t="s">
        <v>92</v>
      </c>
    </row>
    <row r="119" spans="1:19">
      <c r="A119" s="75"/>
      <c r="B119" s="75"/>
      <c r="C119" s="75"/>
      <c r="D119" s="75"/>
      <c r="E119" s="75"/>
      <c r="F119" s="75"/>
    </row>
    <row r="120" spans="1:19">
      <c r="A120" s="75"/>
      <c r="B120" s="75"/>
      <c r="C120" s="75"/>
      <c r="D120" s="75"/>
      <c r="E120" s="75"/>
      <c r="F120" s="75"/>
      <c r="G120" s="76"/>
      <c r="H120" s="76"/>
      <c r="I120" s="76"/>
      <c r="J120" s="76"/>
      <c r="K120" s="76"/>
      <c r="L120" s="76"/>
      <c r="M120" s="76"/>
      <c r="N120" s="76"/>
      <c r="O120" s="76"/>
      <c r="P120" s="76"/>
      <c r="Q120" s="76"/>
      <c r="R120" s="76"/>
      <c r="S120" s="76"/>
    </row>
  </sheetData>
  <autoFilter ref="A3:S118" xr:uid="{00000000-0009-0000-0000-000002000000}"/>
  <mergeCells count="3">
    <mergeCell ref="Q1:S2"/>
    <mergeCell ref="A1:J2"/>
    <mergeCell ref="K1:P2"/>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'Validación datos NO BORRAR'!$H$4:$H$7</xm:f>
          </x14:formula1>
          <xm:sqref>K4:P5 K10:P10 K12:P12 K15:P15 K17:P17 K23:P23 K26:P26 K28:P28 K39:P39 K41:P41 K43:P43 K53:P54 K58:P58</xm:sqref>
        </x14:dataValidation>
        <x14:dataValidation type="list" allowBlank="1" showInputMessage="1" showErrorMessage="1" xr:uid="{00000000-0002-0000-0200-000001000000}">
          <x14:formula1>
            <xm:f>'Validación datos NO BORRAR'!$E$4:$E$9</xm:f>
          </x14:formula1>
          <xm:sqref>G4:G154</xm:sqref>
        </x14:dataValidation>
        <x14:dataValidation type="list" allowBlank="1" showInputMessage="1" showErrorMessage="1" xr:uid="{00000000-0002-0000-0200-000002000000}">
          <x14:formula1>
            <xm:f>'Validación datos NO BORRAR'!$F$4:$F$7</xm:f>
          </x14:formula1>
          <xm:sqref>H4:H154</xm:sqref>
        </x14:dataValidation>
        <x14:dataValidation type="list" allowBlank="1" showInputMessage="1" showErrorMessage="1" xr:uid="{00000000-0002-0000-0200-000003000000}">
          <x14:formula1>
            <xm:f>'Validación datos NO BORRAR'!$G$4:$G$6</xm:f>
          </x14:formula1>
          <xm:sqref>J4:J154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0"/>
  <sheetViews>
    <sheetView workbookViewId="0">
      <selection activeCell="F11" sqref="F11"/>
    </sheetView>
  </sheetViews>
  <sheetFormatPr defaultColWidth="11.42578125" defaultRowHeight="15"/>
  <cols>
    <col min="1" max="1" width="14.7109375" bestFit="1" customWidth="1"/>
    <col min="2" max="2" width="18.85546875" customWidth="1"/>
    <col min="3" max="4" width="28.140625" customWidth="1"/>
    <col min="5" max="6" width="15.5703125" customWidth="1"/>
    <col min="7" max="7" width="16.85546875" customWidth="1"/>
    <col min="8" max="10" width="15.5703125" customWidth="1"/>
  </cols>
  <sheetData>
    <row r="1" spans="1:13">
      <c r="E1" s="114" t="s">
        <v>42</v>
      </c>
      <c r="F1" s="115"/>
      <c r="G1" s="115"/>
      <c r="H1" s="115"/>
      <c r="I1" s="115"/>
      <c r="J1" s="115"/>
      <c r="K1" s="108" t="s">
        <v>605</v>
      </c>
      <c r="L1" s="109"/>
      <c r="M1" s="110"/>
    </row>
    <row r="2" spans="1:13" ht="197.25" customHeight="1">
      <c r="E2" s="116"/>
      <c r="F2" s="117"/>
      <c r="G2" s="117"/>
      <c r="H2" s="117"/>
      <c r="I2" s="117"/>
      <c r="J2" s="117"/>
      <c r="K2" s="111"/>
      <c r="L2" s="112"/>
      <c r="M2" s="113"/>
    </row>
    <row r="3" spans="1:13" ht="105.75" customHeight="1">
      <c r="B3" s="33" t="s">
        <v>606</v>
      </c>
      <c r="C3" s="34" t="s">
        <v>607</v>
      </c>
      <c r="D3" s="34" t="s">
        <v>608</v>
      </c>
      <c r="E3" s="38" t="s">
        <v>609</v>
      </c>
      <c r="F3" s="38" t="s">
        <v>610</v>
      </c>
      <c r="G3" s="38" t="s">
        <v>611</v>
      </c>
      <c r="H3" s="38" t="s">
        <v>612</v>
      </c>
      <c r="I3" s="38" t="s">
        <v>613</v>
      </c>
      <c r="J3" s="38" t="s">
        <v>614</v>
      </c>
      <c r="K3" s="31" t="s">
        <v>60</v>
      </c>
      <c r="L3" s="31" t="s">
        <v>615</v>
      </c>
      <c r="M3" s="31" t="s">
        <v>62</v>
      </c>
    </row>
    <row r="4" spans="1:13">
      <c r="A4" s="36" t="s">
        <v>616</v>
      </c>
      <c r="B4" s="43">
        <v>61</v>
      </c>
      <c r="C4" s="43">
        <v>46</v>
      </c>
      <c r="D4" s="44">
        <v>0.75</v>
      </c>
      <c r="E4" s="43">
        <v>3</v>
      </c>
      <c r="F4" s="43">
        <v>3</v>
      </c>
      <c r="G4" s="43">
        <v>2</v>
      </c>
      <c r="H4" s="43">
        <v>3</v>
      </c>
      <c r="I4" s="43">
        <v>3</v>
      </c>
      <c r="J4" s="43">
        <v>2</v>
      </c>
      <c r="K4" s="43">
        <f>SUM(E4:J4)</f>
        <v>16</v>
      </c>
      <c r="L4" s="44">
        <v>0.89</v>
      </c>
      <c r="M4" s="43" t="s">
        <v>85</v>
      </c>
    </row>
    <row r="5" spans="1:13">
      <c r="A5" s="36" t="s">
        <v>617</v>
      </c>
      <c r="B5" s="43">
        <v>54</v>
      </c>
      <c r="C5" s="43">
        <v>54</v>
      </c>
      <c r="D5" s="44">
        <v>1</v>
      </c>
      <c r="E5" s="42">
        <v>3</v>
      </c>
      <c r="F5" s="42">
        <v>3</v>
      </c>
      <c r="G5" s="42">
        <v>2</v>
      </c>
      <c r="H5" s="42">
        <v>2</v>
      </c>
      <c r="I5" s="42">
        <v>2</v>
      </c>
      <c r="J5" s="42">
        <v>2</v>
      </c>
      <c r="K5" s="43">
        <f>SUM(E5:J5)</f>
        <v>14</v>
      </c>
      <c r="L5" s="41">
        <v>0.78</v>
      </c>
      <c r="M5" s="42" t="s">
        <v>92</v>
      </c>
    </row>
    <row r="6" spans="1:13">
      <c r="E6" s="30"/>
      <c r="F6" s="30"/>
      <c r="G6" s="30"/>
      <c r="H6" s="30"/>
      <c r="I6" s="30"/>
      <c r="J6" s="30"/>
    </row>
    <row r="7" spans="1:13">
      <c r="E7" s="37"/>
      <c r="F7" s="30"/>
      <c r="G7" s="30"/>
      <c r="H7" s="30"/>
      <c r="I7" s="30"/>
      <c r="J7" s="30"/>
    </row>
    <row r="8" spans="1:13">
      <c r="E8" s="37"/>
      <c r="F8" s="30"/>
      <c r="G8" s="30"/>
      <c r="H8" s="30"/>
      <c r="I8" s="30"/>
      <c r="J8" s="30"/>
    </row>
    <row r="9" spans="1:13">
      <c r="E9" s="37"/>
      <c r="F9" s="30"/>
      <c r="G9" s="30"/>
      <c r="H9" s="30"/>
      <c r="I9" s="30"/>
      <c r="J9" s="30"/>
    </row>
    <row r="10" spans="1:13">
      <c r="E10" s="37"/>
      <c r="F10" s="30"/>
      <c r="G10" s="30"/>
      <c r="H10" s="30"/>
      <c r="I10" s="30"/>
      <c r="J10" s="30"/>
    </row>
    <row r="11" spans="1:13">
      <c r="E11" s="37"/>
      <c r="F11" s="30"/>
      <c r="G11" s="30"/>
      <c r="H11" s="30"/>
      <c r="I11" s="30"/>
      <c r="J11" s="30"/>
    </row>
    <row r="12" spans="1:13">
      <c r="E12" s="37"/>
      <c r="F12" s="30"/>
      <c r="G12" s="30"/>
      <c r="H12" s="30"/>
      <c r="I12" s="30"/>
      <c r="J12" s="30"/>
    </row>
    <row r="13" spans="1:13">
      <c r="E13" s="37"/>
      <c r="F13" s="30"/>
      <c r="G13" s="30"/>
      <c r="H13" s="30"/>
      <c r="I13" s="30"/>
      <c r="J13" s="30"/>
    </row>
    <row r="14" spans="1:13">
      <c r="E14" s="37"/>
      <c r="F14" s="30"/>
      <c r="G14" s="30"/>
      <c r="H14" s="30"/>
      <c r="I14" s="30"/>
      <c r="J14" s="30"/>
    </row>
    <row r="15" spans="1:13">
      <c r="E15" s="37"/>
      <c r="F15" s="30"/>
      <c r="G15" s="30"/>
      <c r="H15" s="30"/>
      <c r="I15" s="30"/>
      <c r="J15" s="30"/>
    </row>
    <row r="16" spans="1:13">
      <c r="E16" s="37"/>
      <c r="F16" s="30"/>
      <c r="G16" s="30"/>
      <c r="H16" s="30"/>
      <c r="I16" s="30"/>
      <c r="J16" s="30"/>
    </row>
    <row r="18" spans="5:10">
      <c r="E18" s="37"/>
      <c r="F18" s="30"/>
      <c r="G18" s="30"/>
      <c r="H18" s="30"/>
      <c r="I18" s="30"/>
      <c r="J18" s="30"/>
    </row>
    <row r="19" spans="5:10">
      <c r="E19" s="37"/>
      <c r="F19" s="30"/>
      <c r="G19" s="30"/>
      <c r="H19" s="30"/>
      <c r="I19" s="30"/>
      <c r="J19" s="30"/>
    </row>
    <row r="20" spans="5:10">
      <c r="E20" s="37"/>
      <c r="F20" s="30"/>
      <c r="G20" s="30"/>
      <c r="H20" s="30"/>
      <c r="I20" s="30"/>
      <c r="J20" s="30"/>
    </row>
    <row r="21" spans="5:10">
      <c r="E21" s="37"/>
      <c r="F21" s="30"/>
      <c r="G21" s="30"/>
      <c r="H21" s="30"/>
      <c r="I21" s="30"/>
      <c r="J21" s="30"/>
    </row>
    <row r="22" spans="5:10">
      <c r="E22" s="37"/>
      <c r="F22" s="30"/>
      <c r="G22" s="30"/>
      <c r="H22" s="30"/>
      <c r="I22" s="30"/>
      <c r="J22" s="30"/>
    </row>
    <row r="23" spans="5:10">
      <c r="E23" s="37"/>
      <c r="F23" s="30"/>
      <c r="G23" s="30"/>
      <c r="H23" s="30"/>
      <c r="I23" s="30"/>
      <c r="J23" s="30"/>
    </row>
    <row r="24" spans="5:10">
      <c r="E24" s="37"/>
      <c r="F24" s="30"/>
      <c r="G24" s="30"/>
      <c r="H24" s="30"/>
      <c r="I24" s="30"/>
      <c r="J24" s="30"/>
    </row>
    <row r="27" spans="5:10">
      <c r="E27" s="37"/>
      <c r="F27" s="30"/>
      <c r="G27" s="30"/>
      <c r="H27" s="30"/>
      <c r="I27" s="30"/>
      <c r="J27" s="30"/>
    </row>
    <row r="28" spans="5:10">
      <c r="E28" s="37"/>
      <c r="F28" s="30"/>
      <c r="G28" s="30"/>
      <c r="H28" s="30"/>
      <c r="I28" s="30"/>
      <c r="J28" s="30"/>
    </row>
    <row r="29" spans="5:10">
      <c r="E29" s="37"/>
      <c r="F29" s="30"/>
      <c r="G29" s="30"/>
      <c r="H29" s="30"/>
      <c r="I29" s="30"/>
      <c r="J29" s="30"/>
    </row>
    <row r="30" spans="5:10">
      <c r="E30" s="37"/>
      <c r="F30" s="30"/>
      <c r="G30" s="30"/>
      <c r="H30" s="30"/>
      <c r="I30" s="30"/>
      <c r="J30" s="30"/>
    </row>
    <row r="31" spans="5:10">
      <c r="E31" s="37"/>
      <c r="F31" s="30"/>
      <c r="G31" s="30"/>
      <c r="H31" s="30"/>
      <c r="I31" s="30"/>
      <c r="J31" s="30"/>
    </row>
    <row r="32" spans="5:10">
      <c r="E32" s="37"/>
      <c r="F32" s="30"/>
      <c r="G32" s="30"/>
      <c r="H32" s="30"/>
      <c r="I32" s="30"/>
      <c r="J32" s="30"/>
    </row>
    <row r="33" spans="5:10">
      <c r="E33" s="37"/>
      <c r="F33" s="30"/>
      <c r="G33" s="30"/>
      <c r="H33" s="30"/>
      <c r="I33" s="30"/>
      <c r="J33" s="30"/>
    </row>
    <row r="34" spans="5:10">
      <c r="E34" s="37"/>
      <c r="F34" s="30"/>
      <c r="G34" s="30"/>
      <c r="H34" s="30"/>
      <c r="I34" s="30"/>
      <c r="J34" s="30"/>
    </row>
    <row r="35" spans="5:10">
      <c r="E35" s="37"/>
      <c r="F35" s="30"/>
      <c r="G35" s="30"/>
      <c r="H35" s="30"/>
      <c r="I35" s="30"/>
      <c r="J35" s="30"/>
    </row>
    <row r="36" spans="5:10">
      <c r="E36" s="37"/>
      <c r="F36" s="30"/>
      <c r="G36" s="30"/>
      <c r="H36" s="30"/>
      <c r="I36" s="30"/>
      <c r="J36" s="30"/>
    </row>
    <row r="37" spans="5:10">
      <c r="E37" s="37"/>
      <c r="F37" s="30"/>
      <c r="G37" s="30"/>
      <c r="H37" s="30"/>
      <c r="I37" s="30"/>
      <c r="J37" s="30"/>
    </row>
    <row r="38" spans="5:10">
      <c r="E38" s="37"/>
      <c r="F38" s="30"/>
      <c r="G38" s="30"/>
      <c r="H38" s="30"/>
      <c r="I38" s="30"/>
      <c r="J38" s="30"/>
    </row>
    <row r="39" spans="5:10">
      <c r="E39" s="37"/>
      <c r="F39" s="30"/>
      <c r="G39" s="30"/>
      <c r="H39" s="30"/>
      <c r="I39" s="30"/>
      <c r="J39" s="30"/>
    </row>
    <row r="41" spans="5:10">
      <c r="E41" s="37"/>
      <c r="F41" s="30"/>
      <c r="G41" s="30"/>
      <c r="H41" s="30"/>
      <c r="I41" s="30"/>
      <c r="J41" s="30"/>
    </row>
    <row r="42" spans="5:10">
      <c r="E42" s="37"/>
      <c r="F42" s="30"/>
      <c r="G42" s="30"/>
      <c r="H42" s="30"/>
      <c r="I42" s="30"/>
      <c r="J42" s="30"/>
    </row>
    <row r="43" spans="5:10">
      <c r="E43" s="37"/>
      <c r="F43" s="30"/>
      <c r="G43" s="30"/>
      <c r="H43" s="30"/>
      <c r="I43" s="30"/>
      <c r="J43" s="30"/>
    </row>
    <row r="44" spans="5:10">
      <c r="E44" s="37"/>
      <c r="F44" s="30"/>
      <c r="G44" s="30"/>
      <c r="H44" s="30"/>
      <c r="I44" s="30"/>
      <c r="J44" s="30"/>
    </row>
    <row r="45" spans="5:10">
      <c r="E45" s="37"/>
      <c r="F45" s="30"/>
      <c r="G45" s="30"/>
      <c r="H45" s="30"/>
      <c r="I45" s="30"/>
      <c r="J45" s="30"/>
    </row>
    <row r="46" spans="5:10">
      <c r="E46" s="37"/>
      <c r="F46" s="30"/>
      <c r="G46" s="30"/>
      <c r="H46" s="30"/>
      <c r="I46" s="30"/>
      <c r="J46" s="30"/>
    </row>
    <row r="47" spans="5:10">
      <c r="E47" s="37"/>
      <c r="F47" s="30"/>
      <c r="G47" s="30"/>
      <c r="H47" s="30"/>
      <c r="I47" s="30"/>
      <c r="J47" s="30"/>
    </row>
    <row r="49" spans="5:10">
      <c r="E49" s="37"/>
      <c r="F49" s="30"/>
      <c r="G49" s="30"/>
      <c r="H49" s="30"/>
      <c r="I49" s="30"/>
      <c r="J49" s="30"/>
    </row>
    <row r="50" spans="5:10">
      <c r="E50" s="37"/>
      <c r="F50" s="30"/>
      <c r="G50" s="30"/>
      <c r="H50" s="30"/>
      <c r="I50" s="30"/>
      <c r="J50" s="30"/>
    </row>
    <row r="51" spans="5:10">
      <c r="E51" s="37"/>
      <c r="F51" s="30"/>
      <c r="G51" s="30"/>
      <c r="H51" s="30"/>
      <c r="I51" s="30"/>
      <c r="J51" s="30"/>
    </row>
    <row r="52" spans="5:10">
      <c r="E52" s="37"/>
      <c r="F52" s="30"/>
      <c r="G52" s="30"/>
      <c r="H52" s="30"/>
      <c r="I52" s="30"/>
      <c r="J52" s="30"/>
    </row>
    <row r="53" spans="5:10">
      <c r="E53" s="37"/>
      <c r="F53" s="30"/>
      <c r="G53" s="30"/>
      <c r="H53" s="30"/>
      <c r="I53" s="30"/>
      <c r="J53" s="30"/>
    </row>
    <row r="54" spans="5:10">
      <c r="E54" s="37"/>
      <c r="F54" s="30"/>
      <c r="G54" s="30"/>
      <c r="H54" s="30"/>
      <c r="I54" s="30"/>
      <c r="J54" s="30"/>
    </row>
    <row r="57" spans="5:10">
      <c r="E57" s="37"/>
      <c r="F57" s="30"/>
      <c r="G57" s="30"/>
      <c r="H57" s="30"/>
      <c r="I57" s="30"/>
      <c r="J57" s="30"/>
    </row>
    <row r="58" spans="5:10">
      <c r="E58" s="37"/>
      <c r="F58" s="30"/>
      <c r="G58" s="30"/>
      <c r="H58" s="30"/>
      <c r="I58" s="30"/>
      <c r="J58" s="30"/>
    </row>
    <row r="59" spans="5:10">
      <c r="E59" s="37"/>
      <c r="F59" s="30"/>
      <c r="G59" s="30"/>
      <c r="H59" s="30"/>
      <c r="I59" s="30"/>
      <c r="J59" s="30"/>
    </row>
    <row r="60" spans="5:10">
      <c r="E60" s="37"/>
      <c r="F60" s="30"/>
      <c r="G60" s="30"/>
      <c r="H60" s="30"/>
      <c r="I60" s="30"/>
      <c r="J60" s="30"/>
    </row>
    <row r="61" spans="5:10">
      <c r="E61" s="37"/>
      <c r="F61" s="30"/>
      <c r="G61" s="30"/>
      <c r="H61" s="30"/>
      <c r="I61" s="30"/>
      <c r="J61" s="30"/>
    </row>
    <row r="62" spans="5:10">
      <c r="E62" s="37"/>
      <c r="F62" s="30"/>
      <c r="G62" s="30"/>
      <c r="H62" s="30"/>
      <c r="I62" s="30"/>
      <c r="J62" s="30"/>
    </row>
    <row r="63" spans="5:10">
      <c r="E63" s="37"/>
      <c r="F63" s="30"/>
      <c r="G63" s="30"/>
      <c r="H63" s="30"/>
      <c r="I63" s="30"/>
      <c r="J63" s="30"/>
    </row>
    <row r="64" spans="5:10">
      <c r="E64" s="37"/>
      <c r="F64" s="30"/>
      <c r="G64" s="30"/>
      <c r="H64" s="30"/>
      <c r="I64" s="30"/>
      <c r="J64" s="30"/>
    </row>
    <row r="65" spans="5:10">
      <c r="E65" s="37"/>
      <c r="F65" s="30"/>
      <c r="G65" s="30"/>
      <c r="H65" s="30"/>
      <c r="I65" s="30"/>
      <c r="J65" s="30"/>
    </row>
    <row r="66" spans="5:10">
      <c r="E66" s="37"/>
      <c r="F66" s="30"/>
      <c r="G66" s="30"/>
      <c r="H66" s="30"/>
      <c r="I66" s="30"/>
      <c r="J66" s="30"/>
    </row>
    <row r="67" spans="5:10">
      <c r="E67" s="37"/>
      <c r="F67" s="30"/>
      <c r="G67" s="30"/>
      <c r="H67" s="30"/>
      <c r="I67" s="30"/>
      <c r="J67" s="30"/>
    </row>
    <row r="68" spans="5:10">
      <c r="E68" s="37"/>
      <c r="F68" s="30"/>
      <c r="G68" s="30"/>
      <c r="H68" s="30"/>
      <c r="I68" s="30"/>
      <c r="J68" s="30"/>
    </row>
    <row r="70" spans="5:10">
      <c r="E70" s="37"/>
      <c r="F70" s="30"/>
      <c r="G70" s="30"/>
      <c r="H70" s="30"/>
      <c r="I70" s="30"/>
      <c r="J70" s="30"/>
    </row>
    <row r="71" spans="5:10">
      <c r="E71" s="37"/>
      <c r="F71" s="30"/>
      <c r="G71" s="30"/>
      <c r="H71" s="30"/>
      <c r="I71" s="30"/>
      <c r="J71" s="30"/>
    </row>
    <row r="72" spans="5:10">
      <c r="E72" s="30"/>
      <c r="F72" s="30"/>
      <c r="G72" s="30"/>
      <c r="H72" s="30"/>
      <c r="I72" s="30"/>
      <c r="J72" s="30"/>
    </row>
    <row r="73" spans="5:10">
      <c r="E73" s="30"/>
      <c r="F73" s="30"/>
      <c r="G73" s="30"/>
      <c r="H73" s="30"/>
      <c r="I73" s="30"/>
      <c r="J73" s="30"/>
    </row>
    <row r="74" spans="5:10">
      <c r="E74" s="30"/>
      <c r="F74" s="30"/>
      <c r="G74" s="30"/>
      <c r="H74" s="30"/>
      <c r="I74" s="30"/>
      <c r="J74" s="30"/>
    </row>
    <row r="75" spans="5:10">
      <c r="E75" s="30"/>
      <c r="F75" s="30"/>
      <c r="G75" s="30"/>
      <c r="H75" s="30"/>
      <c r="I75" s="30"/>
      <c r="J75" s="30"/>
    </row>
    <row r="78" spans="5:10">
      <c r="E78" s="30"/>
      <c r="F78" s="30"/>
      <c r="G78" s="30"/>
      <c r="H78" s="30"/>
      <c r="I78" s="30"/>
      <c r="J78" s="30"/>
    </row>
    <row r="79" spans="5:10">
      <c r="E79" s="30"/>
      <c r="F79" s="30"/>
      <c r="G79" s="30"/>
      <c r="H79" s="30"/>
      <c r="I79" s="30"/>
      <c r="J79" s="30"/>
    </row>
    <row r="80" spans="5:10">
      <c r="E80" s="30"/>
      <c r="F80" s="30"/>
      <c r="G80" s="30"/>
      <c r="H80" s="30"/>
      <c r="I80" s="30"/>
      <c r="J80" s="30"/>
    </row>
    <row r="81" spans="5:10">
      <c r="E81" s="30"/>
      <c r="F81" s="30"/>
      <c r="G81" s="30"/>
      <c r="H81" s="30"/>
      <c r="I81" s="30"/>
      <c r="J81" s="30"/>
    </row>
    <row r="82" spans="5:10">
      <c r="E82" s="30"/>
      <c r="F82" s="30"/>
      <c r="G82" s="30"/>
      <c r="H82" s="30"/>
      <c r="I82" s="30"/>
      <c r="J82" s="30"/>
    </row>
    <row r="83" spans="5:10">
      <c r="E83" s="30"/>
      <c r="F83" s="30"/>
      <c r="G83" s="30"/>
      <c r="H83" s="30"/>
      <c r="I83" s="30"/>
      <c r="J83" s="30"/>
    </row>
    <row r="84" spans="5:10">
      <c r="E84" s="30"/>
      <c r="F84" s="30"/>
      <c r="G84" s="30"/>
      <c r="H84" s="30"/>
      <c r="I84" s="30"/>
      <c r="J84" s="30"/>
    </row>
    <row r="85" spans="5:10">
      <c r="E85" s="30"/>
      <c r="F85" s="30"/>
      <c r="G85" s="30"/>
      <c r="H85" s="30"/>
      <c r="I85" s="30"/>
      <c r="J85" s="30"/>
    </row>
    <row r="86" spans="5:10">
      <c r="E86" s="30"/>
      <c r="F86" s="30"/>
      <c r="G86" s="30"/>
      <c r="H86" s="30"/>
      <c r="I86" s="30"/>
      <c r="J86" s="30"/>
    </row>
    <row r="88" spans="5:10">
      <c r="E88" s="30"/>
      <c r="F88" s="30"/>
      <c r="G88" s="30"/>
      <c r="H88" s="30"/>
      <c r="I88" s="30"/>
      <c r="J88" s="30"/>
    </row>
    <row r="89" spans="5:10">
      <c r="E89" s="30"/>
      <c r="F89" s="30"/>
      <c r="G89" s="30"/>
      <c r="H89" s="30"/>
      <c r="I89" s="30"/>
      <c r="J89" s="30"/>
    </row>
    <row r="91" spans="5:10">
      <c r="E91" s="30"/>
      <c r="F91" s="30"/>
      <c r="G91" s="30"/>
      <c r="H91" s="30"/>
      <c r="I91" s="30"/>
      <c r="J91" s="30"/>
    </row>
    <row r="92" spans="5:10">
      <c r="E92" s="30"/>
      <c r="F92" s="30"/>
      <c r="G92" s="30"/>
      <c r="H92" s="30"/>
      <c r="I92" s="30"/>
      <c r="J92" s="30"/>
    </row>
    <row r="93" spans="5:10">
      <c r="E93" s="30"/>
      <c r="F93" s="30"/>
      <c r="G93" s="30"/>
      <c r="H93" s="30"/>
      <c r="I93" s="30"/>
      <c r="J93" s="30"/>
    </row>
    <row r="94" spans="5:10">
      <c r="E94" s="30"/>
      <c r="F94" s="30"/>
      <c r="G94" s="30"/>
      <c r="H94" s="30"/>
      <c r="I94" s="30"/>
      <c r="J94" s="30"/>
    </row>
    <row r="95" spans="5:10">
      <c r="E95" s="30"/>
      <c r="F95" s="30"/>
      <c r="G95" s="30"/>
      <c r="H95" s="30"/>
      <c r="I95" s="30"/>
      <c r="J95" s="30"/>
    </row>
    <row r="96" spans="5:10">
      <c r="E96" s="30"/>
      <c r="F96" s="30"/>
      <c r="G96" s="30"/>
      <c r="H96" s="30"/>
      <c r="I96" s="30"/>
      <c r="J96" s="30"/>
    </row>
    <row r="97" spans="5:10">
      <c r="E97" s="30"/>
      <c r="F97" s="30"/>
      <c r="G97" s="30"/>
      <c r="H97" s="30"/>
      <c r="I97" s="30"/>
      <c r="J97" s="30"/>
    </row>
    <row r="98" spans="5:10">
      <c r="E98" s="30"/>
      <c r="F98" s="30"/>
      <c r="G98" s="30"/>
      <c r="H98" s="30"/>
      <c r="I98" s="30"/>
      <c r="J98" s="30"/>
    </row>
    <row r="99" spans="5:10">
      <c r="E99" s="30"/>
      <c r="F99" s="30"/>
      <c r="G99" s="30"/>
      <c r="H99" s="30"/>
      <c r="I99" s="30"/>
      <c r="J99" s="30"/>
    </row>
    <row r="100" spans="5:10">
      <c r="E100" s="30"/>
      <c r="F100" s="30"/>
      <c r="G100" s="30"/>
      <c r="H100" s="30"/>
      <c r="I100" s="30"/>
      <c r="J100" s="30"/>
    </row>
    <row r="101" spans="5:10">
      <c r="E101" s="30"/>
      <c r="F101" s="30"/>
      <c r="G101" s="30"/>
      <c r="H101" s="30"/>
      <c r="I101" s="30"/>
      <c r="J101" s="30"/>
    </row>
    <row r="103" spans="5:10">
      <c r="E103" s="30"/>
      <c r="F103" s="30"/>
      <c r="G103" s="30"/>
      <c r="H103" s="30"/>
      <c r="I103" s="30"/>
      <c r="J103" s="30"/>
    </row>
    <row r="104" spans="5:10">
      <c r="E104" s="30"/>
      <c r="F104" s="30"/>
      <c r="G104" s="30"/>
      <c r="H104" s="30"/>
      <c r="I104" s="30"/>
      <c r="J104" s="30"/>
    </row>
    <row r="105" spans="5:10">
      <c r="E105" s="30"/>
      <c r="F105" s="30"/>
      <c r="G105" s="30"/>
      <c r="H105" s="30"/>
      <c r="I105" s="30"/>
      <c r="J105" s="30"/>
    </row>
    <row r="106" spans="5:10">
      <c r="E106" s="30"/>
      <c r="F106" s="30"/>
      <c r="G106" s="30"/>
      <c r="H106" s="30"/>
      <c r="I106" s="30"/>
      <c r="J106" s="30"/>
    </row>
    <row r="107" spans="5:10">
      <c r="E107" s="30"/>
      <c r="F107" s="30"/>
      <c r="G107" s="30"/>
      <c r="H107" s="30"/>
      <c r="I107" s="30"/>
      <c r="J107" s="30"/>
    </row>
    <row r="108" spans="5:10">
      <c r="E108" s="30"/>
      <c r="F108" s="30"/>
      <c r="G108" s="30"/>
      <c r="H108" s="30"/>
      <c r="I108" s="30"/>
      <c r="J108" s="30"/>
    </row>
    <row r="110" spans="5:10">
      <c r="E110" s="30"/>
      <c r="F110" s="30"/>
      <c r="G110" s="30"/>
      <c r="H110" s="30"/>
      <c r="I110" s="30"/>
      <c r="J110" s="30"/>
    </row>
    <row r="111" spans="5:10">
      <c r="E111" s="30"/>
      <c r="F111" s="30"/>
      <c r="G111" s="30"/>
      <c r="H111" s="30"/>
      <c r="I111" s="30"/>
      <c r="J111" s="30"/>
    </row>
    <row r="112" spans="5:10">
      <c r="E112" s="30"/>
      <c r="F112" s="30"/>
      <c r="G112" s="30"/>
      <c r="H112" s="30"/>
      <c r="I112" s="30"/>
      <c r="J112" s="30"/>
    </row>
    <row r="114" spans="5:10">
      <c r="E114" s="30"/>
      <c r="F114" s="30"/>
      <c r="G114" s="30"/>
      <c r="H114" s="30"/>
      <c r="I114" s="30"/>
      <c r="J114" s="30"/>
    </row>
    <row r="116" spans="5:10">
      <c r="E116" s="30"/>
      <c r="F116" s="30"/>
      <c r="G116" s="30"/>
      <c r="H116" s="30"/>
      <c r="I116" s="30"/>
      <c r="J116" s="30"/>
    </row>
    <row r="118" spans="5:10">
      <c r="E118" s="30"/>
      <c r="F118" s="30"/>
      <c r="G118" s="30"/>
      <c r="H118" s="30"/>
      <c r="I118" s="30"/>
      <c r="J118" s="30"/>
    </row>
    <row r="120" spans="5:10">
      <c r="E120" s="30"/>
      <c r="F120" s="30"/>
      <c r="G120" s="30"/>
      <c r="H120" s="30"/>
      <c r="I120" s="30"/>
      <c r="J120" s="30"/>
    </row>
  </sheetData>
  <mergeCells count="2">
    <mergeCell ref="K1:M2"/>
    <mergeCell ref="E1:J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'Validación datos NO BORRAR'!$H$4:$H$7</xm:f>
          </x14:formula1>
          <xm:sqref>E4:J4</xm:sqref>
        </x14:dataValidation>
        <x14:dataValidation type="list" allowBlank="1" showInputMessage="1" showErrorMessage="1" xr:uid="{00000000-0002-0000-0300-000001000000}">
          <x14:formula1>
            <xm:f>Hoja1!$A$1:$A$4</xm:f>
          </x14:formula1>
          <xm:sqref>E6:J102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E1:M17"/>
  <sheetViews>
    <sheetView topLeftCell="B1" workbookViewId="0">
      <selection activeCell="F19" sqref="F19"/>
    </sheetView>
  </sheetViews>
  <sheetFormatPr defaultColWidth="11.42578125" defaultRowHeight="15"/>
  <cols>
    <col min="5" max="5" width="71" customWidth="1"/>
    <col min="6" max="6" width="20.140625" customWidth="1"/>
    <col min="7" max="7" width="31.7109375" customWidth="1"/>
    <col min="8" max="8" width="16.28515625" customWidth="1"/>
  </cols>
  <sheetData>
    <row r="1" spans="5:13">
      <c r="H1" s="118" t="s">
        <v>618</v>
      </c>
      <c r="I1" s="119"/>
      <c r="J1" s="119"/>
      <c r="K1" s="119"/>
      <c r="L1" s="119"/>
      <c r="M1" s="119"/>
    </row>
    <row r="2" spans="5:13" ht="64.5" customHeight="1">
      <c r="H2" s="120"/>
      <c r="I2" s="120"/>
      <c r="J2" s="120"/>
      <c r="K2" s="120"/>
      <c r="L2" s="120"/>
      <c r="M2" s="120"/>
    </row>
    <row r="3" spans="5:13" ht="75">
      <c r="E3" s="26" t="s">
        <v>619</v>
      </c>
      <c r="F3" s="27" t="s">
        <v>51</v>
      </c>
      <c r="G3" s="27" t="s">
        <v>620</v>
      </c>
      <c r="H3" s="32" t="s">
        <v>609</v>
      </c>
      <c r="I3" s="32" t="s">
        <v>610</v>
      </c>
      <c r="J3" s="32" t="s">
        <v>611</v>
      </c>
      <c r="K3" s="32" t="s">
        <v>612</v>
      </c>
      <c r="L3" s="32" t="s">
        <v>613</v>
      </c>
      <c r="M3" s="32" t="s">
        <v>614</v>
      </c>
    </row>
    <row r="4" spans="5:13">
      <c r="E4" s="25" t="s">
        <v>83</v>
      </c>
      <c r="F4" s="28" t="s">
        <v>84</v>
      </c>
      <c r="G4" s="25" t="s">
        <v>621</v>
      </c>
      <c r="H4" s="29">
        <v>0</v>
      </c>
      <c r="I4" s="25">
        <v>0</v>
      </c>
      <c r="J4" s="25">
        <v>0</v>
      </c>
      <c r="K4" s="25"/>
      <c r="L4" s="25"/>
      <c r="M4" s="25">
        <v>0</v>
      </c>
    </row>
    <row r="5" spans="5:13">
      <c r="E5" s="25" t="s">
        <v>622</v>
      </c>
      <c r="F5" s="28" t="s">
        <v>623</v>
      </c>
      <c r="G5" s="25" t="s">
        <v>624</v>
      </c>
      <c r="H5" s="29">
        <v>1</v>
      </c>
      <c r="I5" s="25">
        <v>1</v>
      </c>
      <c r="J5" s="25">
        <v>1</v>
      </c>
      <c r="K5" s="25"/>
      <c r="L5" s="25"/>
      <c r="M5" s="25">
        <v>1</v>
      </c>
    </row>
    <row r="6" spans="5:13">
      <c r="E6" s="25" t="s">
        <v>625</v>
      </c>
      <c r="F6" s="28" t="s">
        <v>626</v>
      </c>
      <c r="G6" s="25" t="s">
        <v>69</v>
      </c>
      <c r="H6" s="29">
        <v>2</v>
      </c>
      <c r="I6" s="25">
        <v>2</v>
      </c>
      <c r="J6" s="25">
        <v>2</v>
      </c>
      <c r="K6" s="25"/>
      <c r="L6" s="25"/>
      <c r="M6" s="25">
        <v>2</v>
      </c>
    </row>
    <row r="7" spans="5:13">
      <c r="E7" s="25" t="s">
        <v>627</v>
      </c>
      <c r="F7" s="25" t="s">
        <v>69</v>
      </c>
      <c r="G7" s="25"/>
      <c r="H7" s="29">
        <v>3</v>
      </c>
      <c r="I7" s="25">
        <v>3</v>
      </c>
      <c r="J7" s="25">
        <v>3</v>
      </c>
      <c r="K7" s="25"/>
      <c r="L7" s="25"/>
      <c r="M7" s="25">
        <v>3</v>
      </c>
    </row>
    <row r="8" spans="5:13">
      <c r="E8" s="25" t="s">
        <v>175</v>
      </c>
      <c r="F8" s="25"/>
      <c r="G8" s="25"/>
      <c r="H8" s="29"/>
      <c r="I8" s="25"/>
      <c r="J8" s="25"/>
      <c r="K8" s="25"/>
      <c r="L8" s="25"/>
      <c r="M8" s="25"/>
    </row>
    <row r="9" spans="5:13">
      <c r="E9" s="25" t="s">
        <v>68</v>
      </c>
      <c r="F9" s="25"/>
      <c r="G9" s="25"/>
      <c r="H9" s="29"/>
      <c r="I9" s="25"/>
      <c r="J9" s="25"/>
      <c r="K9" s="25"/>
      <c r="L9" s="25"/>
      <c r="M9" s="25"/>
    </row>
    <row r="10" spans="5:13">
      <c r="E10" s="25"/>
      <c r="F10" s="25"/>
      <c r="G10" s="25"/>
      <c r="H10" s="29"/>
      <c r="I10" s="25"/>
      <c r="J10" s="25"/>
      <c r="K10" s="25"/>
      <c r="L10" s="25"/>
      <c r="M10" s="25"/>
    </row>
    <row r="11" spans="5:13">
      <c r="E11" s="25"/>
      <c r="F11" s="25"/>
      <c r="G11" s="25"/>
      <c r="H11" s="29"/>
      <c r="I11" s="25"/>
      <c r="J11" s="25"/>
      <c r="K11" s="25"/>
      <c r="L11" s="25"/>
      <c r="M11" s="25"/>
    </row>
    <row r="12" spans="5:13">
      <c r="E12" s="25"/>
      <c r="F12" s="25"/>
      <c r="G12" s="25"/>
      <c r="H12" s="29"/>
      <c r="I12" s="25"/>
      <c r="J12" s="25"/>
      <c r="K12" s="25"/>
      <c r="L12" s="25"/>
      <c r="M12" s="25"/>
    </row>
    <row r="13" spans="5:13">
      <c r="E13" s="25"/>
      <c r="F13" s="25"/>
      <c r="G13" s="25"/>
      <c r="H13" s="29"/>
      <c r="I13" s="25"/>
      <c r="J13" s="25"/>
      <c r="K13" s="25"/>
      <c r="L13" s="25"/>
      <c r="M13" s="25"/>
    </row>
    <row r="14" spans="5:13">
      <c r="E14" s="25"/>
      <c r="F14" s="25"/>
      <c r="G14" s="25"/>
      <c r="H14" s="29"/>
      <c r="I14" s="25"/>
      <c r="J14" s="25"/>
      <c r="K14" s="25"/>
      <c r="L14" s="25"/>
      <c r="M14" s="25"/>
    </row>
    <row r="15" spans="5:13">
      <c r="E15" s="25"/>
      <c r="F15" s="25"/>
      <c r="G15" s="25"/>
      <c r="H15" s="29"/>
      <c r="I15" s="25"/>
      <c r="J15" s="25"/>
      <c r="K15" s="25"/>
      <c r="L15" s="25"/>
      <c r="M15" s="25"/>
    </row>
    <row r="16" spans="5:13">
      <c r="E16" s="25"/>
      <c r="F16" s="25"/>
      <c r="G16" s="25"/>
      <c r="H16" s="29"/>
      <c r="I16" s="25"/>
      <c r="J16" s="25"/>
      <c r="K16" s="25"/>
      <c r="L16" s="25"/>
      <c r="M16" s="25"/>
    </row>
    <row r="17" spans="5:13">
      <c r="E17" s="25"/>
      <c r="F17" s="25"/>
      <c r="G17" s="25"/>
      <c r="H17" s="29"/>
      <c r="I17" s="25"/>
      <c r="J17" s="25"/>
      <c r="K17" s="25"/>
      <c r="L17" s="25"/>
      <c r="M17" s="25"/>
    </row>
  </sheetData>
  <mergeCells count="2">
    <mergeCell ref="H1:M1"/>
    <mergeCell ref="H2:M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selection activeCell="L20" sqref="L20"/>
    </sheetView>
  </sheetViews>
  <sheetFormatPr defaultColWidth="11.42578125" defaultRowHeight="15"/>
  <sheetData>
    <row r="1" spans="1:5">
      <c r="A1" s="121" t="s">
        <v>36</v>
      </c>
      <c r="B1" s="121"/>
      <c r="C1" s="121"/>
      <c r="D1" s="121"/>
      <c r="E1" s="121"/>
    </row>
    <row r="2" spans="1:5" ht="14.25" customHeight="1">
      <c r="A2" s="103" t="s">
        <v>628</v>
      </c>
      <c r="B2" s="103"/>
      <c r="C2" s="103"/>
      <c r="D2" s="103"/>
      <c r="E2" s="103"/>
    </row>
    <row r="3" spans="1:5">
      <c r="A3" s="103"/>
      <c r="B3" s="103"/>
      <c r="C3" s="103"/>
      <c r="D3" s="103"/>
      <c r="E3" s="103"/>
    </row>
    <row r="4" spans="1:5">
      <c r="A4" s="103"/>
      <c r="B4" s="103"/>
      <c r="C4" s="103"/>
      <c r="D4" s="103"/>
      <c r="E4" s="103"/>
    </row>
    <row r="5" spans="1:5">
      <c r="A5" s="103"/>
      <c r="B5" s="103"/>
      <c r="C5" s="103"/>
      <c r="D5" s="103"/>
      <c r="E5" s="103"/>
    </row>
    <row r="6" spans="1:5">
      <c r="A6" s="103"/>
      <c r="B6" s="103"/>
      <c r="C6" s="103"/>
      <c r="D6" s="103"/>
      <c r="E6" s="103"/>
    </row>
    <row r="7" spans="1:5">
      <c r="A7" s="103"/>
      <c r="B7" s="103"/>
      <c r="C7" s="103"/>
      <c r="D7" s="103"/>
      <c r="E7" s="103"/>
    </row>
    <row r="8" spans="1:5">
      <c r="A8" s="103"/>
      <c r="B8" s="103"/>
      <c r="C8" s="103"/>
      <c r="D8" s="103"/>
      <c r="E8" s="103"/>
    </row>
    <row r="9" spans="1:5">
      <c r="A9" s="103"/>
      <c r="B9" s="103"/>
      <c r="C9" s="103"/>
      <c r="D9" s="103"/>
      <c r="E9" s="103"/>
    </row>
    <row r="10" spans="1:5">
      <c r="A10" s="103" t="s">
        <v>629</v>
      </c>
      <c r="B10" s="103"/>
      <c r="C10" s="103"/>
      <c r="D10" s="103"/>
      <c r="E10" s="103"/>
    </row>
    <row r="11" spans="1:5">
      <c r="A11" s="103"/>
      <c r="B11" s="103"/>
      <c r="C11" s="103"/>
      <c r="D11" s="103"/>
      <c r="E11" s="103"/>
    </row>
    <row r="12" spans="1:5">
      <c r="A12" s="103"/>
      <c r="B12" s="103"/>
      <c r="C12" s="103"/>
      <c r="D12" s="103"/>
      <c r="E12" s="103"/>
    </row>
    <row r="13" spans="1:5">
      <c r="A13" s="103"/>
      <c r="B13" s="103"/>
      <c r="C13" s="103"/>
      <c r="D13" s="103"/>
      <c r="E13" s="103"/>
    </row>
    <row r="14" spans="1:5">
      <c r="A14" s="103" t="s">
        <v>630</v>
      </c>
      <c r="B14" s="103"/>
      <c r="C14" s="103"/>
      <c r="D14" s="103"/>
      <c r="E14" s="103"/>
    </row>
    <row r="15" spans="1:5">
      <c r="A15" s="103"/>
      <c r="B15" s="103"/>
      <c r="C15" s="103"/>
      <c r="D15" s="103"/>
      <c r="E15" s="103"/>
    </row>
    <row r="16" spans="1:5">
      <c r="A16" s="103"/>
      <c r="B16" s="103"/>
      <c r="C16" s="103"/>
      <c r="D16" s="103"/>
      <c r="E16" s="103"/>
    </row>
    <row r="17" spans="1:5">
      <c r="A17" s="103"/>
      <c r="B17" s="103"/>
      <c r="C17" s="103"/>
      <c r="D17" s="103"/>
      <c r="E17" s="103"/>
    </row>
    <row r="18" spans="1:5">
      <c r="A18" s="103" t="s">
        <v>631</v>
      </c>
      <c r="B18" s="103"/>
      <c r="C18" s="103"/>
      <c r="D18" s="103"/>
      <c r="E18" s="103"/>
    </row>
    <row r="19" spans="1:5">
      <c r="A19" s="103"/>
      <c r="B19" s="103"/>
      <c r="C19" s="103"/>
      <c r="D19" s="103"/>
      <c r="E19" s="103"/>
    </row>
    <row r="20" spans="1:5">
      <c r="A20" s="103"/>
      <c r="B20" s="103"/>
      <c r="C20" s="103"/>
      <c r="D20" s="103"/>
      <c r="E20" s="103"/>
    </row>
    <row r="21" spans="1:5">
      <c r="A21" s="103"/>
      <c r="B21" s="103"/>
      <c r="C21" s="103"/>
      <c r="D21" s="103"/>
      <c r="E21" s="103"/>
    </row>
  </sheetData>
  <mergeCells count="5">
    <mergeCell ref="A18:E21"/>
    <mergeCell ref="A1:E1"/>
    <mergeCell ref="A2:E9"/>
    <mergeCell ref="A10:E13"/>
    <mergeCell ref="A14:E1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4"/>
  <sheetViews>
    <sheetView workbookViewId="0">
      <selection activeCell="C1" sqref="C1:C2"/>
    </sheetView>
  </sheetViews>
  <sheetFormatPr defaultColWidth="11.42578125" defaultRowHeight="15"/>
  <cols>
    <col min="1" max="1" width="17.5703125" bestFit="1" customWidth="1"/>
  </cols>
  <sheetData>
    <row r="1" spans="1:3" ht="15.75">
      <c r="A1" s="1" t="s">
        <v>338</v>
      </c>
      <c r="C1" t="s">
        <v>632</v>
      </c>
    </row>
    <row r="2" spans="1:3" ht="15.75">
      <c r="A2" s="1" t="s">
        <v>633</v>
      </c>
      <c r="C2" t="s">
        <v>634</v>
      </c>
    </row>
    <row r="3" spans="1:3" ht="15.75">
      <c r="A3" s="1" t="s">
        <v>92</v>
      </c>
    </row>
    <row r="4" spans="1:3" ht="15.75">
      <c r="A4" s="1"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 EUGENIA UBAL RODRIGUEZ</dc:creator>
  <cp:keywords/>
  <dc:description/>
  <cp:lastModifiedBy>CENTRO DE EVALUACION PARA LA FORMACION ACADEMICA</cp:lastModifiedBy>
  <cp:revision/>
  <dcterms:created xsi:type="dcterms:W3CDTF">2024-06-12T20:22:02Z</dcterms:created>
  <dcterms:modified xsi:type="dcterms:W3CDTF">2025-07-28T19:49:09Z</dcterms:modified>
  <cp:category/>
  <cp:contentStatus/>
</cp:coreProperties>
</file>