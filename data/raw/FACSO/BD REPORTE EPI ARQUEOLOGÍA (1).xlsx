
<file path=[Content_Types].xml><?xml version="1.0" encoding="utf-8"?>
<Types xmlns="http://schemas.openxmlformats.org/package/2006/content-types">
  <Default Extension="jpg" ContentType="image/jpeg"/>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calcChain.xml" ContentType="application/vnd.openxmlformats-officedocument.spreadsheetml.calcChain+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9429"/>
  <workbookPr/>
  <mc:AlternateContent xmlns:mc="http://schemas.openxmlformats.org/markup-compatibility/2006">
    <mc:Choice Requires="x15">
      <x15ac:absPath xmlns:x15ac="http://schemas.microsoft.com/office/spreadsheetml/2010/11/ac" url="C:\Users\valen\Dropbox\UAH 2025\EPI 2025\Formatos excel result por carrera\FACSO\"/>
    </mc:Choice>
  </mc:AlternateContent>
  <xr:revisionPtr revIDLastSave="0" documentId="8_{039E8235-0EC7-44FE-BD44-00AB6E7D49C6}" xr6:coauthVersionLast="47" xr6:coauthVersionMax="47" xr10:uidLastSave="{00000000-0000-0000-0000-000000000000}"/>
  <bookViews>
    <workbookView xWindow="28680" yWindow="-120" windowWidth="29040" windowHeight="15720" firstSheet="3" activeTab="3" xr2:uid="{00000000-000D-0000-FFFF-FFFF00000000}"/>
  </bookViews>
  <sheets>
    <sheet name="Rúbrica Resultados Globales" sheetId="1" r:id="rId1"/>
    <sheet name="Rúbrica situación evaluativa " sheetId="5" r:id="rId2"/>
    <sheet name="Resultados Individuales" sheetId="2" r:id="rId3"/>
    <sheet name="Resultados Grupales" sheetId="4" r:id="rId4"/>
    <sheet name="Validación datos NO BORRAR" sheetId="6" r:id="rId5"/>
    <sheet name="ACCIONES" sheetId="7" r:id="rId6"/>
    <sheet name="Hoja1" sheetId="3" state="hidden" r:id="rId7"/>
  </sheets>
  <definedNames>
    <definedName name="_xlnm._FilterDatabase" localSheetId="2" hidden="1">'Resultados Individuales'!$A$4:$T$4</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R4" i="2" l="1"/>
  <c r="S4" i="2" s="1"/>
  <c r="T4" i="2" s="1"/>
  <c r="R5" i="2"/>
  <c r="S5" i="2" s="1"/>
  <c r="R6" i="2"/>
  <c r="S6" i="2" s="1"/>
  <c r="R7" i="2"/>
  <c r="S7" i="2" s="1"/>
  <c r="T5" i="2"/>
  <c r="T6" i="2"/>
  <c r="T7" i="2"/>
  <c r="T9" i="2"/>
  <c r="T38" i="2"/>
  <c r="T39" i="2"/>
  <c r="T40" i="2"/>
  <c r="T41" i="2"/>
  <c r="T42" i="2"/>
  <c r="T43" i="2"/>
  <c r="T44" i="2"/>
  <c r="T45" i="2"/>
  <c r="T46" i="2"/>
  <c r="T47" i="2"/>
  <c r="T48" i="2"/>
  <c r="T49" i="2"/>
  <c r="T50" i="2"/>
  <c r="T51" i="2"/>
  <c r="T52" i="2"/>
  <c r="T53" i="2"/>
  <c r="T54" i="2"/>
  <c r="T55" i="2"/>
  <c r="T56" i="2"/>
  <c r="T57" i="2"/>
  <c r="T58" i="2"/>
  <c r="T59" i="2"/>
  <c r="T60" i="2"/>
  <c r="T61" i="2"/>
  <c r="T62" i="2"/>
  <c r="T63" i="2"/>
  <c r="T64" i="2"/>
  <c r="T65" i="2"/>
  <c r="T66" i="2"/>
  <c r="T67" i="2"/>
  <c r="T68" i="2"/>
  <c r="T69" i="2"/>
  <c r="T70" i="2"/>
  <c r="T71" i="2"/>
  <c r="T72" i="2"/>
  <c r="T73" i="2"/>
  <c r="T74" i="2"/>
  <c r="T75" i="2"/>
  <c r="T76" i="2"/>
  <c r="T77" i="2"/>
  <c r="T78" i="2"/>
  <c r="T79" i="2"/>
  <c r="T80" i="2"/>
  <c r="T81" i="2"/>
  <c r="T82" i="2"/>
  <c r="T83" i="2"/>
  <c r="T84" i="2"/>
  <c r="T85" i="2"/>
  <c r="T86" i="2"/>
  <c r="T87" i="2"/>
  <c r="T88" i="2"/>
  <c r="T89" i="2"/>
  <c r="T90" i="2"/>
  <c r="T91" i="2"/>
  <c r="T92" i="2"/>
  <c r="T93" i="2"/>
  <c r="T94" i="2"/>
  <c r="T95" i="2"/>
  <c r="T96" i="2"/>
  <c r="T97" i="2"/>
  <c r="T98" i="2"/>
  <c r="T99" i="2"/>
  <c r="T100" i="2"/>
  <c r="T101" i="2"/>
  <c r="T102" i="2"/>
  <c r="T103" i="2"/>
  <c r="T104" i="2"/>
  <c r="T105" i="2"/>
  <c r="T106" i="2"/>
  <c r="T107" i="2"/>
  <c r="T108" i="2"/>
  <c r="T109" i="2"/>
  <c r="T110" i="2"/>
  <c r="T111" i="2"/>
  <c r="T112" i="2"/>
  <c r="T113" i="2"/>
  <c r="T114" i="2"/>
  <c r="T115" i="2"/>
  <c r="T116" i="2"/>
  <c r="T117" i="2"/>
  <c r="T118" i="2"/>
  <c r="T119" i="2"/>
  <c r="T120" i="2"/>
  <c r="T121" i="2"/>
  <c r="T122" i="2"/>
  <c r="T123" i="2"/>
  <c r="T124" i="2"/>
  <c r="T125" i="2"/>
  <c r="T126" i="2"/>
  <c r="T127" i="2"/>
  <c r="T128" i="2"/>
  <c r="T129" i="2"/>
  <c r="T130" i="2"/>
  <c r="T131" i="2"/>
  <c r="T132" i="2"/>
  <c r="T133" i="2"/>
  <c r="T134" i="2"/>
  <c r="T135" i="2"/>
  <c r="T136" i="2"/>
  <c r="T137" i="2"/>
  <c r="T138" i="2"/>
  <c r="T139" i="2"/>
  <c r="T140" i="2"/>
  <c r="T141" i="2"/>
  <c r="T142" i="2"/>
  <c r="T143" i="2"/>
  <c r="T144" i="2"/>
  <c r="T145" i="2"/>
  <c r="T146" i="2"/>
  <c r="T147" i="2"/>
  <c r="T148" i="2"/>
  <c r="T149" i="2"/>
  <c r="T150" i="2"/>
  <c r="T151" i="2"/>
  <c r="T152" i="2"/>
  <c r="T153" i="2"/>
  <c r="T154" i="2"/>
  <c r="T155" i="2"/>
  <c r="T156" i="2"/>
  <c r="T157" i="2"/>
  <c r="T158" i="2"/>
  <c r="T159" i="2"/>
  <c r="T160" i="2"/>
  <c r="T161" i="2"/>
  <c r="T162" i="2"/>
  <c r="T163" i="2"/>
  <c r="T164" i="2"/>
  <c r="T165" i="2"/>
  <c r="T166" i="2"/>
  <c r="T167" i="2"/>
  <c r="T168" i="2"/>
  <c r="T169" i="2"/>
  <c r="T170" i="2"/>
  <c r="T171" i="2"/>
  <c r="T172" i="2"/>
  <c r="T173" i="2"/>
  <c r="T174" i="2"/>
  <c r="T175" i="2"/>
  <c r="T176" i="2"/>
  <c r="T177" i="2"/>
  <c r="T178" i="2"/>
  <c r="T179" i="2"/>
  <c r="T180" i="2"/>
  <c r="T181" i="2"/>
  <c r="T182" i="2"/>
  <c r="T183" i="2"/>
  <c r="T184" i="2"/>
  <c r="T185" i="2"/>
  <c r="T186" i="2"/>
  <c r="T187" i="2"/>
  <c r="T188" i="2"/>
  <c r="T189" i="2"/>
  <c r="T190" i="2"/>
  <c r="T191" i="2"/>
  <c r="T192" i="2"/>
  <c r="T193" i="2"/>
  <c r="T194" i="2"/>
  <c r="T195" i="2"/>
  <c r="T196" i="2"/>
  <c r="T197" i="2"/>
  <c r="T198" i="2"/>
  <c r="T199" i="2"/>
  <c r="T200" i="2"/>
  <c r="T201" i="2"/>
  <c r="T202" i="2"/>
  <c r="T203" i="2"/>
  <c r="T204" i="2"/>
  <c r="T205" i="2"/>
  <c r="T206" i="2"/>
  <c r="T207" i="2"/>
  <c r="T208" i="2"/>
  <c r="T209" i="2"/>
  <c r="T210" i="2"/>
  <c r="T211" i="2"/>
  <c r="R8" i="2"/>
  <c r="S8" i="2" s="1"/>
  <c r="T8" i="2" s="1"/>
  <c r="R9" i="2"/>
  <c r="S9" i="2" s="1"/>
  <c r="R10" i="2"/>
  <c r="S10" i="2" s="1"/>
  <c r="T10" i="2" s="1"/>
  <c r="R11" i="2"/>
  <c r="S11" i="2" s="1"/>
  <c r="T11" i="2" s="1"/>
  <c r="R12" i="2"/>
  <c r="S12" i="2" s="1"/>
  <c r="T12" i="2" s="1"/>
  <c r="R13" i="2"/>
  <c r="S13" i="2" s="1"/>
  <c r="T13" i="2" s="1"/>
  <c r="R14" i="2"/>
  <c r="S14" i="2" s="1"/>
  <c r="T14" i="2" s="1"/>
  <c r="R15" i="2"/>
  <c r="S15" i="2" s="1"/>
  <c r="T15" i="2" s="1"/>
  <c r="R16" i="2"/>
  <c r="S16" i="2" s="1"/>
  <c r="T16" i="2" s="1"/>
  <c r="R17" i="2"/>
  <c r="S17" i="2" s="1"/>
  <c r="T17" i="2" s="1"/>
  <c r="R18" i="2"/>
  <c r="S18" i="2" s="1"/>
  <c r="T18" i="2" s="1"/>
  <c r="R19" i="2"/>
  <c r="S19" i="2" s="1"/>
  <c r="T19" i="2" s="1"/>
  <c r="R20" i="2"/>
  <c r="S20" i="2" s="1"/>
  <c r="T20" i="2" s="1"/>
  <c r="R21" i="2"/>
  <c r="S21" i="2" s="1"/>
  <c r="T21" i="2" s="1"/>
  <c r="R22" i="2"/>
  <c r="S22" i="2" s="1"/>
  <c r="T22" i="2" s="1"/>
  <c r="R23" i="2"/>
  <c r="S23" i="2" s="1"/>
  <c r="T23" i="2" s="1"/>
  <c r="R24" i="2"/>
  <c r="S24" i="2" s="1"/>
  <c r="T24" i="2" s="1"/>
  <c r="R25" i="2"/>
  <c r="S25" i="2" s="1"/>
  <c r="T25" i="2" s="1"/>
  <c r="R26" i="2"/>
  <c r="S26" i="2" s="1"/>
  <c r="T26" i="2" s="1"/>
  <c r="R27" i="2"/>
  <c r="S27" i="2" s="1"/>
  <c r="T27" i="2" s="1"/>
  <c r="R28" i="2"/>
  <c r="S28" i="2" s="1"/>
  <c r="T28" i="2" s="1"/>
  <c r="R29" i="2"/>
  <c r="S29" i="2" s="1"/>
  <c r="T29" i="2" s="1"/>
  <c r="R30" i="2"/>
  <c r="S30" i="2" s="1"/>
  <c r="T30" i="2" s="1"/>
  <c r="R31" i="2"/>
  <c r="S31" i="2" s="1"/>
  <c r="T31" i="2" s="1"/>
  <c r="R32" i="2"/>
  <c r="S32" i="2" s="1"/>
  <c r="T32" i="2" s="1"/>
  <c r="R33" i="2"/>
  <c r="S33" i="2" s="1"/>
  <c r="T33" i="2" s="1"/>
  <c r="R34" i="2"/>
  <c r="S34" i="2" s="1"/>
  <c r="T34" i="2" s="1"/>
  <c r="R35" i="2"/>
  <c r="S35" i="2" s="1"/>
  <c r="T35" i="2" s="1"/>
  <c r="R36" i="2"/>
  <c r="S36" i="2" s="1"/>
  <c r="T36" i="2" s="1"/>
  <c r="R37" i="2"/>
  <c r="S37" i="2" s="1"/>
  <c r="T37" i="2" s="1"/>
  <c r="R38" i="2"/>
  <c r="S38" i="2" s="1"/>
  <c r="R39" i="2"/>
  <c r="S39" i="2" s="1"/>
  <c r="R40" i="2"/>
  <c r="S40" i="2" s="1"/>
  <c r="R41" i="2"/>
  <c r="S41" i="2" s="1"/>
  <c r="R42" i="2"/>
  <c r="S42" i="2" s="1"/>
  <c r="R43" i="2"/>
  <c r="S43" i="2" s="1"/>
  <c r="R44" i="2"/>
  <c r="S44" i="2" s="1"/>
  <c r="R45" i="2"/>
  <c r="S45" i="2" s="1"/>
  <c r="R46" i="2"/>
  <c r="S46" i="2" s="1"/>
  <c r="R47" i="2"/>
  <c r="S47" i="2" s="1"/>
  <c r="R48" i="2"/>
  <c r="S48" i="2" s="1"/>
  <c r="R49" i="2"/>
  <c r="S49" i="2" s="1"/>
  <c r="R50" i="2"/>
  <c r="S50" i="2" s="1"/>
  <c r="R51" i="2"/>
  <c r="S51" i="2" s="1"/>
  <c r="R52" i="2"/>
  <c r="S52" i="2" s="1"/>
  <c r="R53" i="2"/>
  <c r="S53" i="2" s="1"/>
  <c r="R54" i="2"/>
  <c r="S54" i="2" s="1"/>
  <c r="R55" i="2"/>
  <c r="S55" i="2" s="1"/>
  <c r="R56" i="2"/>
  <c r="S56" i="2" s="1"/>
  <c r="R57" i="2"/>
  <c r="S57" i="2" s="1"/>
  <c r="R58" i="2"/>
  <c r="S58" i="2" s="1"/>
  <c r="R59" i="2"/>
  <c r="S59" i="2" s="1"/>
  <c r="R60" i="2"/>
  <c r="S60" i="2" s="1"/>
  <c r="R61" i="2"/>
  <c r="S61" i="2" s="1"/>
  <c r="R62" i="2"/>
  <c r="S62" i="2" s="1"/>
  <c r="R63" i="2"/>
  <c r="S63" i="2" s="1"/>
  <c r="R64" i="2"/>
  <c r="S64" i="2" s="1"/>
  <c r="R65" i="2"/>
  <c r="S65" i="2" s="1"/>
  <c r="R66" i="2"/>
  <c r="S66" i="2" s="1"/>
  <c r="R67" i="2"/>
  <c r="S67" i="2" s="1"/>
  <c r="R68" i="2"/>
  <c r="S68" i="2" s="1"/>
  <c r="R69" i="2"/>
  <c r="S69" i="2" s="1"/>
  <c r="R70" i="2"/>
  <c r="S70" i="2" s="1"/>
  <c r="R71" i="2"/>
  <c r="S71" i="2" s="1"/>
  <c r="R72" i="2"/>
  <c r="S72" i="2" s="1"/>
  <c r="R73" i="2"/>
  <c r="S73" i="2" s="1"/>
  <c r="R74" i="2"/>
  <c r="S74" i="2" s="1"/>
  <c r="R75" i="2"/>
  <c r="S75" i="2" s="1"/>
  <c r="R76" i="2"/>
  <c r="S76" i="2" s="1"/>
  <c r="R77" i="2"/>
  <c r="S77" i="2" s="1"/>
  <c r="R78" i="2"/>
  <c r="S78" i="2" s="1"/>
  <c r="R79" i="2"/>
  <c r="S79" i="2" s="1"/>
  <c r="R80" i="2"/>
  <c r="S80" i="2" s="1"/>
  <c r="R81" i="2"/>
  <c r="S81" i="2" s="1"/>
  <c r="R82" i="2"/>
  <c r="S82" i="2" s="1"/>
  <c r="R83" i="2"/>
  <c r="S83" i="2" s="1"/>
  <c r="R84" i="2"/>
  <c r="S84" i="2" s="1"/>
  <c r="R85" i="2"/>
  <c r="S85" i="2" s="1"/>
  <c r="R86" i="2"/>
  <c r="S86" i="2" s="1"/>
  <c r="R87" i="2"/>
  <c r="S87" i="2" s="1"/>
  <c r="R88" i="2"/>
  <c r="S88" i="2" s="1"/>
  <c r="R89" i="2"/>
  <c r="S89" i="2" s="1"/>
  <c r="R90" i="2"/>
  <c r="S90" i="2" s="1"/>
  <c r="R91" i="2"/>
  <c r="S91" i="2" s="1"/>
  <c r="R92" i="2"/>
  <c r="S92" i="2" s="1"/>
  <c r="R93" i="2"/>
  <c r="S93" i="2" s="1"/>
  <c r="R94" i="2"/>
  <c r="S94" i="2" s="1"/>
  <c r="R95" i="2"/>
  <c r="S95" i="2" s="1"/>
  <c r="R96" i="2"/>
  <c r="S96" i="2" s="1"/>
  <c r="R97" i="2"/>
  <c r="S97" i="2" s="1"/>
  <c r="R98" i="2"/>
  <c r="S98" i="2" s="1"/>
  <c r="R99" i="2"/>
  <c r="S99" i="2" s="1"/>
  <c r="R100" i="2"/>
  <c r="S100" i="2" s="1"/>
  <c r="R101" i="2"/>
  <c r="S101" i="2" s="1"/>
  <c r="R102" i="2"/>
  <c r="S102" i="2" s="1"/>
  <c r="R103" i="2"/>
  <c r="S103" i="2" s="1"/>
  <c r="R104" i="2"/>
  <c r="S104" i="2" s="1"/>
  <c r="R105" i="2"/>
  <c r="S105" i="2" s="1"/>
  <c r="R106" i="2"/>
  <c r="S106" i="2" s="1"/>
  <c r="R107" i="2"/>
  <c r="S107" i="2" s="1"/>
  <c r="R108" i="2"/>
  <c r="S108" i="2" s="1"/>
  <c r="R109" i="2"/>
  <c r="S109" i="2" s="1"/>
  <c r="R110" i="2"/>
  <c r="S110" i="2" s="1"/>
  <c r="R111" i="2"/>
  <c r="S111" i="2" s="1"/>
  <c r="R112" i="2"/>
  <c r="S112" i="2" s="1"/>
  <c r="R113" i="2"/>
  <c r="S113" i="2" s="1"/>
  <c r="R114" i="2"/>
  <c r="S114" i="2" s="1"/>
  <c r="R115" i="2"/>
  <c r="S115" i="2" s="1"/>
  <c r="R116" i="2"/>
  <c r="S116" i="2" s="1"/>
  <c r="R117" i="2"/>
  <c r="S117" i="2" s="1"/>
  <c r="R118" i="2"/>
  <c r="S118" i="2" s="1"/>
  <c r="R119" i="2"/>
  <c r="S119" i="2" s="1"/>
  <c r="R120" i="2"/>
  <c r="S120" i="2" s="1"/>
  <c r="R121" i="2"/>
  <c r="S121" i="2" s="1"/>
  <c r="R122" i="2"/>
  <c r="S122" i="2" s="1"/>
  <c r="R123" i="2"/>
  <c r="S123" i="2" s="1"/>
  <c r="R124" i="2"/>
  <c r="S124" i="2" s="1"/>
  <c r="R125" i="2"/>
  <c r="S125" i="2" s="1"/>
  <c r="R126" i="2"/>
  <c r="S126" i="2" s="1"/>
  <c r="R127" i="2"/>
  <c r="S127" i="2" s="1"/>
  <c r="R128" i="2"/>
  <c r="S128" i="2" s="1"/>
  <c r="R129" i="2"/>
  <c r="S129" i="2" s="1"/>
  <c r="R130" i="2"/>
  <c r="S130" i="2" s="1"/>
  <c r="R131" i="2"/>
  <c r="S131" i="2" s="1"/>
  <c r="R132" i="2"/>
  <c r="S132" i="2" s="1"/>
  <c r="R133" i="2"/>
  <c r="S133" i="2" s="1"/>
  <c r="R134" i="2"/>
  <c r="S134" i="2" s="1"/>
  <c r="R135" i="2"/>
  <c r="S135" i="2" s="1"/>
  <c r="R136" i="2"/>
  <c r="S136" i="2" s="1"/>
  <c r="R137" i="2"/>
  <c r="S137" i="2" s="1"/>
  <c r="R138" i="2"/>
  <c r="S138" i="2" s="1"/>
  <c r="R139" i="2"/>
  <c r="S139" i="2" s="1"/>
  <c r="R140" i="2"/>
  <c r="S140" i="2" s="1"/>
  <c r="R141" i="2"/>
  <c r="S141" i="2" s="1"/>
  <c r="R142" i="2"/>
  <c r="S142" i="2" s="1"/>
  <c r="R143" i="2"/>
  <c r="S143" i="2" s="1"/>
  <c r="R144" i="2"/>
  <c r="S144" i="2" s="1"/>
  <c r="R145" i="2"/>
  <c r="S145" i="2" s="1"/>
  <c r="R146" i="2"/>
  <c r="S146" i="2" s="1"/>
  <c r="R147" i="2"/>
  <c r="S147" i="2" s="1"/>
  <c r="R148" i="2"/>
  <c r="S148" i="2" s="1"/>
  <c r="R149" i="2"/>
  <c r="S149" i="2" s="1"/>
  <c r="R150" i="2"/>
  <c r="S150" i="2" s="1"/>
  <c r="R151" i="2"/>
  <c r="S151" i="2" s="1"/>
  <c r="R152" i="2"/>
  <c r="S152" i="2" s="1"/>
  <c r="R153" i="2"/>
  <c r="S153" i="2" s="1"/>
  <c r="R154" i="2"/>
  <c r="S154" i="2" s="1"/>
  <c r="R155" i="2"/>
  <c r="S155" i="2" s="1"/>
  <c r="R156" i="2"/>
  <c r="S156" i="2" s="1"/>
  <c r="R157" i="2"/>
  <c r="S157" i="2" s="1"/>
  <c r="R158" i="2"/>
  <c r="S158" i="2" s="1"/>
  <c r="R159" i="2"/>
  <c r="S159" i="2" s="1"/>
  <c r="R160" i="2"/>
  <c r="S160" i="2" s="1"/>
  <c r="R161" i="2"/>
  <c r="S161" i="2" s="1"/>
  <c r="R162" i="2"/>
  <c r="S162" i="2" s="1"/>
  <c r="R163" i="2"/>
  <c r="S163" i="2" s="1"/>
  <c r="R164" i="2"/>
  <c r="S164" i="2" s="1"/>
  <c r="R165" i="2"/>
  <c r="S165" i="2" s="1"/>
  <c r="R166" i="2"/>
  <c r="S166" i="2" s="1"/>
  <c r="R167" i="2"/>
  <c r="S167" i="2" s="1"/>
  <c r="R168" i="2"/>
  <c r="S168" i="2" s="1"/>
  <c r="R169" i="2"/>
  <c r="S169" i="2" s="1"/>
  <c r="R170" i="2"/>
  <c r="S170" i="2" s="1"/>
  <c r="R171" i="2"/>
  <c r="S171" i="2" s="1"/>
  <c r="R172" i="2"/>
  <c r="S172" i="2" s="1"/>
  <c r="R173" i="2"/>
  <c r="S173" i="2" s="1"/>
  <c r="R174" i="2"/>
  <c r="S174" i="2" s="1"/>
  <c r="R175" i="2"/>
  <c r="S175" i="2" s="1"/>
  <c r="R176" i="2"/>
  <c r="S176" i="2" s="1"/>
  <c r="R177" i="2"/>
  <c r="S177" i="2" s="1"/>
  <c r="R178" i="2"/>
  <c r="S178" i="2" s="1"/>
  <c r="R179" i="2"/>
  <c r="S179" i="2" s="1"/>
  <c r="R180" i="2"/>
  <c r="S180" i="2" s="1"/>
  <c r="R181" i="2"/>
  <c r="S181" i="2" s="1"/>
  <c r="R182" i="2"/>
  <c r="S182" i="2" s="1"/>
  <c r="R183" i="2"/>
  <c r="S183" i="2" s="1"/>
  <c r="R184" i="2"/>
  <c r="S184" i="2" s="1"/>
  <c r="R185" i="2"/>
  <c r="S185" i="2" s="1"/>
  <c r="R186" i="2"/>
  <c r="S186" i="2" s="1"/>
  <c r="R187" i="2"/>
  <c r="S187" i="2" s="1"/>
  <c r="R188" i="2"/>
  <c r="S188" i="2" s="1"/>
  <c r="R189" i="2"/>
  <c r="S189" i="2" s="1"/>
  <c r="R190" i="2"/>
  <c r="S190" i="2" s="1"/>
  <c r="R191" i="2"/>
  <c r="S191" i="2" s="1"/>
  <c r="R192" i="2"/>
  <c r="S192" i="2" s="1"/>
  <c r="R193" i="2"/>
  <c r="S193" i="2" s="1"/>
  <c r="R194" i="2"/>
  <c r="S194" i="2" s="1"/>
  <c r="R195" i="2"/>
  <c r="S195" i="2" s="1"/>
  <c r="R196" i="2"/>
  <c r="S196" i="2" s="1"/>
  <c r="R197" i="2"/>
  <c r="S197" i="2" s="1"/>
  <c r="R198" i="2"/>
  <c r="S198" i="2" s="1"/>
  <c r="R199" i="2"/>
  <c r="S199" i="2" s="1"/>
  <c r="R200" i="2"/>
  <c r="S200" i="2" s="1"/>
  <c r="R201" i="2"/>
  <c r="S201" i="2" s="1"/>
  <c r="R202" i="2"/>
  <c r="S202" i="2" s="1"/>
  <c r="R203" i="2"/>
  <c r="S203" i="2" s="1"/>
  <c r="R204" i="2"/>
  <c r="S204" i="2" s="1"/>
  <c r="R205" i="2"/>
  <c r="S205" i="2" s="1"/>
  <c r="R206" i="2"/>
  <c r="S206" i="2" s="1"/>
  <c r="R207" i="2"/>
  <c r="S207" i="2" s="1"/>
  <c r="R208" i="2"/>
  <c r="S208" i="2" s="1"/>
  <c r="R209" i="2"/>
  <c r="S209" i="2" s="1"/>
  <c r="R210" i="2"/>
  <c r="S210" i="2" s="1"/>
  <c r="R211" i="2"/>
  <c r="S211" i="2" s="1"/>
</calcChain>
</file>

<file path=xl/sharedStrings.xml><?xml version="1.0" encoding="utf-8"?>
<sst xmlns="http://schemas.openxmlformats.org/spreadsheetml/2006/main" count="305" uniqueCount="245">
  <si>
    <t>A)</t>
  </si>
  <si>
    <t>Definiciones a nivel micro (rúbrica)</t>
  </si>
  <si>
    <t xml:space="preserve">Nivel de logro </t>
  </si>
  <si>
    <t>Óptimo</t>
  </si>
  <si>
    <t>Satisfactorio</t>
  </si>
  <si>
    <t>Base</t>
  </si>
  <si>
    <t>Por Mejorar</t>
  </si>
  <si>
    <t>No observado</t>
  </si>
  <si>
    <t>(4 puntos)</t>
  </si>
  <si>
    <t>(3 puntos)</t>
  </si>
  <si>
    <t>(2 puntos)</t>
  </si>
  <si>
    <t>(1 punto)</t>
  </si>
  <si>
    <t>(0 punto)</t>
  </si>
  <si>
    <t>El desempeño descrito  se logra completamente</t>
  </si>
  <si>
    <t xml:space="preserve">El desempeño descrito  se logra, sin embargo, presenta algunas imprecisiones. </t>
  </si>
  <si>
    <t>El desempeño descrito se logra de forma mínima</t>
  </si>
  <si>
    <t>El desempeño descrito se presenta de forma errónea y/o no se ajusta a lo solicitado</t>
  </si>
  <si>
    <t>El desempeño descrito no es observado dada la ausencia de acciones o productos</t>
  </si>
  <si>
    <t xml:space="preserve">B) </t>
  </si>
  <si>
    <t>Definiciones a nivel macro (EPI)</t>
  </si>
  <si>
    <t xml:space="preserve">El presente documento tiene por objetivo especificar los criterios que dan origen a las definiciones del indicador global de EPI.
Entendemos que la EPI es una evaluación formativa, donde existe una diversidad de instrumentos y exigencias asociadas a ellos que responde a la especificidad de cada disciplina. Sin embargo, desde el nivel central el foco se sitúa fundamentalmente en detectar las necesidades de apoyo necesarias que requeriría el estudiantado para continuar su ciclo de profundización, y, en otro casos, para detectar los niveles de autonomía que presentan los/las estudiantes para transitar al ciclo de profundización. En este contexto, los términos utilizados la columna “Justificación” de la siguiente tabla, como; “buen nivel”, “apropiado”,” mínimo”, deben entenderse en el contexto específico y situado de cada evaluación.
                                                                                                                              </t>
  </si>
  <si>
    <t xml:space="preserve">Categorías </t>
  </si>
  <si>
    <t xml:space="preserve">Por Mejorar </t>
  </si>
  <si>
    <t xml:space="preserve">Porcentajes </t>
  </si>
  <si>
    <t>100%-85%</t>
  </si>
  <si>
    <t>84% - 65%</t>
  </si>
  <si>
    <t>64% - 50%</t>
  </si>
  <si>
    <t xml:space="preserve"> 0% - 49%</t>
  </si>
  <si>
    <t>Definiciones</t>
  </si>
  <si>
    <t>Los resultados obtenidos por el/la estudiante en la Evaluación de Perfil Intermedio evidencian que ha logrado los aprendizajes clave del Ciclo Básico de formación que le permiten  continuar con su trayectoria formativa en el Ciclo de Profundización y/ Especialización, con autonomía, avanzando en el desarrollo de los desempeños evidenciados.</t>
  </si>
  <si>
    <r>
      <t>Los resultados obtenidos por el/la estudiante en la Evaluación de Perfil Intermedio evidencian que ha logrado los aprendizajes clave del Ciclo Básico de formación que le permiten  continuar con su trayectoria formativa en el Ciclo de Profundización y/o Especialización, con autonomía.</t>
    </r>
    <r>
      <rPr>
        <sz val="11"/>
        <rFont val="Aptos Narrow"/>
        <family val="2"/>
        <scheme val="minor"/>
      </rPr>
      <t xml:space="preserve"> Sin embargo, se evidencian aspectos específicos y acotados en que es  necesario fortalecer los desempeños.</t>
    </r>
  </si>
  <si>
    <t>Los resultados obtenidos por el/la estudiante en la Evaluación de Perfil Intermedio evidencian que el logro de los aprendizajes clave del Ciclo Básico de formación se cumplen de manera mínimay requieren ser fortalecidos durante el Ciclo de Profundización y/o Especialización, para apoyar la continuidad de la trayectoria formativa.</t>
  </si>
  <si>
    <t>Los resultados obtenidos por el/la estudiante en la Evaluación de Perfil Intermedio evidencian que no se han logrado los aprendizajes clave del Ciclo Básico de formación  , requiriendo de acciones de apoyo  en el Ciclo de Profundización y/o Especialización que favorezcan el desarrollo de los desempeños evaluados y aseguren la continuidad de la trayectoria formativa.</t>
  </si>
  <si>
    <t xml:space="preserve">El/la estudiante en la Evaluación de Perfil Intermedio no presenta respuestas, lo que no permite evidenciar el logro de los aprendizajes clave del Ciclo Básico de formación. </t>
  </si>
  <si>
    <t>El/la estudiante avanza con autonomía al Ciclo de Profundización y/o Especialización.
Cuenta con desempeños relevantes para la continuidad de su trayectoria formativa</t>
  </si>
  <si>
    <t>El/la estudiante avanza al Ciclo de Profundización y/o Especialización con apoyos adicionales para desarrollar los aprendizajes prioritarios que permiten dar continuidad a su trayectoria formativa</t>
  </si>
  <si>
    <t>Acciones de fortalecimiento de las trayectorias formativas</t>
  </si>
  <si>
    <t>Justificación</t>
  </si>
  <si>
    <t xml:space="preserve">Dado el carácter formativo de esta evaluación, se define este nivel a partir del 85% ya que a partir de este porcentaje se evidencia con claridad un buen nivel de conocimientos teórico-disciplinares de los contenidos, así como un muy buen manejo metodológico/práctico de estos, sin necesitar apoyos especificos.  </t>
  </si>
  <si>
    <t>Dado el carácter formativo de esta evaluación, se define este nivel a partir del 65% y no del 70% en función del criterio de la autonomía para poder continuar hacia el ciclo de profundización, siendo el 65% un nivel de solidez suficiente para aquello, demostrando un conocimiento apropiado de los conocimientos teórico-disciplinares y un manejo apropiado metodológico/práctico de estos. 
Esto también obedece a la diversidad de EPIs existentes y a los distintos niveles de exigencia de los distintos instrumentos.</t>
  </si>
  <si>
    <t xml:space="preserve">
Dado el carácter formativo de la evaluación, se define este nivel a partir del 50% ya que el/la estudiante demuestra un conocimiento/manejo básico de los contenidos/habilidades esenciales, sin embargo el nivel de profundidad de este manejo es superficial/parcial/insuficiente. logrando solo a mitad del puntaje. El nivel de profundidad de los aprendizajes logrados y la consecuente necesidad de apoyos predominan para definir los porcentajes de logro de este nivel. </t>
  </si>
  <si>
    <t>Dado el carácter formativo de la evaluación, se define este nivel como porcentajes de logro menores al 50%, ya que el/la estudiante no alcanza un mínimo de conocimiento ni manejo de contenidos y habilidades esperadas, evidenciando la necesidad de apoyos para poder transitar al ciclo de profundización.</t>
  </si>
  <si>
    <t>DATOS DE ESTUDIANTES DE LA COHORTE</t>
  </si>
  <si>
    <r>
      <rPr>
        <b/>
        <u/>
        <sz val="12"/>
        <color theme="1"/>
        <rFont val="Aptos Narrow"/>
        <family val="2"/>
        <scheme val="minor"/>
      </rPr>
      <t>Actividad problema 1</t>
    </r>
    <r>
      <rPr>
        <sz val="11"/>
        <color theme="1"/>
        <rFont val="Aptos Narrow"/>
        <family val="2"/>
        <scheme val="minor"/>
      </rPr>
      <t xml:space="preserve">
</t>
    </r>
    <r>
      <rPr>
        <sz val="12"/>
        <color theme="1"/>
        <rFont val="Aptos Narrow"/>
        <family val="2"/>
        <scheme val="minor"/>
      </rPr>
      <t xml:space="preserve">
</t>
    </r>
    <r>
      <rPr>
        <i/>
        <sz val="11"/>
        <color theme="1"/>
        <rFont val="Aptos Narrow"/>
        <family val="2"/>
        <scheme val="minor"/>
      </rPr>
      <t xml:space="preserve">No observado-No contesta: 0 puntos
Insuficiente  : 1 punto                                
Regular : 2 puntos
Bueno : 3 puntos
Excelente: 4 puntos 
</t>
    </r>
  </si>
  <si>
    <r>
      <rPr>
        <b/>
        <u/>
        <sz val="12"/>
        <color theme="1"/>
        <rFont val="Aptos Narrow"/>
        <family val="2"/>
        <scheme val="minor"/>
      </rPr>
      <t xml:space="preserve">Actividad Problema 2
</t>
    </r>
    <r>
      <rPr>
        <b/>
        <sz val="11"/>
        <color theme="1"/>
        <rFont val="Aptos Narrow"/>
        <family val="2"/>
        <scheme val="minor"/>
      </rPr>
      <t xml:space="preserve">
</t>
    </r>
    <r>
      <rPr>
        <sz val="11"/>
        <color theme="1"/>
        <rFont val="Aptos Narrow"/>
        <family val="2"/>
        <scheme val="minor"/>
      </rPr>
      <t xml:space="preserve">No observado-No contesta: 0 puntos
Insuficiente  : 1 punto                                
Regular : 2 puntos
Bueno : 3 puntos
Excelente: 4 puntos
</t>
    </r>
    <r>
      <rPr>
        <i/>
        <sz val="11"/>
        <color theme="1"/>
        <rFont val="Aptos Narrow"/>
        <family val="2"/>
        <scheme val="minor"/>
      </rPr>
      <t xml:space="preserve">
</t>
    </r>
  </si>
  <si>
    <t>Resultado General por estudiante</t>
  </si>
  <si>
    <t>RUT ESTUDIANTE</t>
  </si>
  <si>
    <t>DV</t>
  </si>
  <si>
    <t>PRIMER APELLIDO
(Apellido paterno)</t>
  </si>
  <si>
    <t>SEGUNDO APELLIDO
(Apellido materno)</t>
  </si>
  <si>
    <t>NOMBRES</t>
  </si>
  <si>
    <t>ESTADO DE HABILITACIÓN PARA RENDIR</t>
  </si>
  <si>
    <t>ESTATUS DE RENDICIÓN</t>
  </si>
  <si>
    <t>FECHA DE RENDICIÓN</t>
  </si>
  <si>
    <t>JUSTIFICACIÓN  DE NO RENDICIÓN</t>
  </si>
  <si>
    <t>Señale tres aspectos que distinguen a las arqueologías post-procesuales de la arqueología procesual. Refiérase brevemente a cada uno</t>
  </si>
  <si>
    <t>¿De qué manera el Funcionalismo impactó a la teoría y la práctica arqueológica?</t>
  </si>
  <si>
    <t>Señale tres corrientes teóricas que influyeron en el planteamiento de críticas a la arqueología procesual y al desarrollo de las arqueologías post-procesuales.</t>
  </si>
  <si>
    <t>1a) ¿Qué pasos debiera desarrollar un equipo arqueológico en terreno para la identificación superficial y subsuperficial de los sitios?</t>
  </si>
  <si>
    <t>1b) Una vez detectados diversos sitios, ¿cómo debiera tomarse la decisión sobre en qué áreas realizar excavaciones ampliadas?</t>
  </si>
  <si>
    <t>1c) ¿Qué procedimientos deben realizarse obligatoriamente a fin de registrar la información contextual de la excavación?</t>
  </si>
  <si>
    <t>2) Desde la excavación de uno de estos sitios fueron recuperados líticos, cerámica, conchas, huesos, carbón y madera. Mencione dos métodos para el fechado del contexto recuperado y la forma en la cual dicho método funciona.</t>
  </si>
  <si>
    <t>PUNTAJE TOTAL ESTUDIANTE</t>
  </si>
  <si>
    <t>PORCENTAJE DE LOGRO</t>
  </si>
  <si>
    <t>CATEGORÍA RESULTADO GLOBAL ESTUDIANTE</t>
  </si>
  <si>
    <t>CAROLINA ANDREA JARA LILLO</t>
  </si>
  <si>
    <t>JARA</t>
  </si>
  <si>
    <t>LILLO</t>
  </si>
  <si>
    <t>CAROLINA ANDREA</t>
  </si>
  <si>
    <t xml:space="preserve">Rendida </t>
  </si>
  <si>
    <t>JOSEFINA EUGENIA KAISER MIRANDA</t>
  </si>
  <si>
    <t>KAISER</t>
  </si>
  <si>
    <t>MIRANDA</t>
  </si>
  <si>
    <t>JOSEFINA EUGENIA</t>
  </si>
  <si>
    <t>SEBASTIÁN CRISTÓBAL SANTANDER CÁCERES</t>
  </si>
  <si>
    <t>SANTANDER</t>
  </si>
  <si>
    <t>CÁCERES</t>
  </si>
  <si>
    <t>SEBASTIÁN CRISTÓBAL</t>
  </si>
  <si>
    <t>CATALINA ANDREA HERRERA HERNÁNDEZ</t>
  </si>
  <si>
    <t>HERRERA</t>
  </si>
  <si>
    <t>HERNÁNDEZ</t>
  </si>
  <si>
    <t>CATALINA ANDREA</t>
  </si>
  <si>
    <t>K</t>
  </si>
  <si>
    <t>JOCABED JAZMÍN GONZÁLEZ GUAJARDO</t>
  </si>
  <si>
    <t>GONZÁLEZ</t>
  </si>
  <si>
    <t>GUAJARDO</t>
  </si>
  <si>
    <t>JOCABED JAZMÍN</t>
  </si>
  <si>
    <t>NATALIA MONSERRAT MARTÍNEZ OYARZO</t>
  </si>
  <si>
    <t>MARTÍNEZ</t>
  </si>
  <si>
    <t>OYARZO</t>
  </si>
  <si>
    <t>NATALIA MONSERRAT</t>
  </si>
  <si>
    <t>No rendida</t>
  </si>
  <si>
    <t>No justifica</t>
  </si>
  <si>
    <t>BARBARA IRENE PAVEZ LATORRE</t>
  </si>
  <si>
    <t>PAVEZ</t>
  </si>
  <si>
    <t>LATORRE</t>
  </si>
  <si>
    <t>BARBARA IRENE</t>
  </si>
  <si>
    <t>MELANY ALEJANDRA RODRÍGUEZ RIVERA</t>
  </si>
  <si>
    <t>RODRÍGUEZ</t>
  </si>
  <si>
    <t>RIVERA</t>
  </si>
  <si>
    <t>MELANY ALEJANDRA</t>
  </si>
  <si>
    <t>CAROLINA BELÉN ARIAS GUERRERO</t>
  </si>
  <si>
    <t>ARIAS</t>
  </si>
  <si>
    <t>GUERRERO</t>
  </si>
  <si>
    <t>CAROLINA BELÉN</t>
  </si>
  <si>
    <t>PAULINA IGNACIA HENRÍQUEZ BRIONES</t>
  </si>
  <si>
    <t>HENRÍQUEZ</t>
  </si>
  <si>
    <t>BRIONES</t>
  </si>
  <si>
    <t>PAULINA IGNACIA</t>
  </si>
  <si>
    <t>VICENTE JAVIER DONOSO GUTIÉRREZ</t>
  </si>
  <si>
    <t>DONOSO</t>
  </si>
  <si>
    <t>GUTIÉRREZ</t>
  </si>
  <si>
    <t>VICENTE JAVIER</t>
  </si>
  <si>
    <t>JERÓNIMO MANUEL URZÚA KOCH</t>
  </si>
  <si>
    <t>URZÚA</t>
  </si>
  <si>
    <t>KOCH</t>
  </si>
  <si>
    <t>JERÓNIMO MANUEL</t>
  </si>
  <si>
    <t>NATALIA VALENTINA MORENO BASAURE</t>
  </si>
  <si>
    <t>MORENO</t>
  </si>
  <si>
    <t>BASAURE</t>
  </si>
  <si>
    <t>NATALIA VALENTINA</t>
  </si>
  <si>
    <t>ISABELLA FIORENZA ANTONIA SCIARAFFIA VARELA</t>
  </si>
  <si>
    <t>SCIARAFFIA</t>
  </si>
  <si>
    <t>VARELA</t>
  </si>
  <si>
    <t>ISABELLA FIORENZA ANTONIA</t>
  </si>
  <si>
    <t>CRISTIAN FRANCISCO SÁNCHEZ UMANZOR</t>
  </si>
  <si>
    <t>SÁNCHEZ</t>
  </si>
  <si>
    <t>UMANZOR</t>
  </si>
  <si>
    <t>CRISTIAN FRANCISCO</t>
  </si>
  <si>
    <t>DEBORA ROSALIA CANTOS POLIT</t>
  </si>
  <si>
    <t>CANTOS</t>
  </si>
  <si>
    <t>POLIT</t>
  </si>
  <si>
    <t>DEBORA ROSALIA</t>
  </si>
  <si>
    <t>ISMAEL HERNÁN ANDRÉS ESCOBAR DURÁN</t>
  </si>
  <si>
    <t>ESCOBAR</t>
  </si>
  <si>
    <t>DURÁN</t>
  </si>
  <si>
    <t>ISMAEL HERNÁN ANDRÉS</t>
  </si>
  <si>
    <t>HÉCTOR MAXIMILIANO SOTO ESCOBAR</t>
  </si>
  <si>
    <t>SOTO</t>
  </si>
  <si>
    <t>HÉCTOR MAXIMILIANO</t>
  </si>
  <si>
    <t>BENJAMÍN ENRIQUE VARELA SEPÚLVEDA</t>
  </si>
  <si>
    <t>SEPÚLVEDA</t>
  </si>
  <si>
    <t>BENJAMÍN ENRIQUE</t>
  </si>
  <si>
    <t>ISIDORA VALENTINA VERGARA LEIGHTON</t>
  </si>
  <si>
    <t>VERGARA</t>
  </si>
  <si>
    <t>LEIGHTON</t>
  </si>
  <si>
    <t>ISIDORA VALENTINA</t>
  </si>
  <si>
    <t>ISIDORA VALENTINA HERRERA HERNANDEZ</t>
  </si>
  <si>
    <t>HERNANDEZ</t>
  </si>
  <si>
    <t>MARTÍN ANDRÉS PEREZ PIZARRO</t>
  </si>
  <si>
    <t>PEREZ</t>
  </si>
  <si>
    <t>PIZARRO</t>
  </si>
  <si>
    <t>MARTÍN ANDRÉS</t>
  </si>
  <si>
    <t>ISAÍAS ISAAC PINO CARRASCO</t>
  </si>
  <si>
    <t>PINO</t>
  </si>
  <si>
    <t>CARRASCO</t>
  </si>
  <si>
    <t>ISAÍAS ISAAC</t>
  </si>
  <si>
    <t>BENJAHMIN MATÍAS ANTU VÁSQUEZ GUZMÁN</t>
  </si>
  <si>
    <t>VÁSQUEZ</t>
  </si>
  <si>
    <t>GUZMÁN</t>
  </si>
  <si>
    <t>BENJAHMIN MATÍAS ANTU</t>
  </si>
  <si>
    <t>ISIDORA CATALINA BARRIOS VALENCIA</t>
  </si>
  <si>
    <t>BARRIOS</t>
  </si>
  <si>
    <t>VALENCIA</t>
  </si>
  <si>
    <t>ISIDORA CATALINA</t>
  </si>
  <si>
    <t>YANITZA POLETTE MARTÍNEZ ANDRADE</t>
  </si>
  <si>
    <t>ANDRADE</t>
  </si>
  <si>
    <t>YANITZA POLETTE</t>
  </si>
  <si>
    <t>LUIS ALBERTO DELGADO GONSALES</t>
  </si>
  <si>
    <t>DELGADO</t>
  </si>
  <si>
    <t>GONSALES</t>
  </si>
  <si>
    <t>LUIS ALBERTO</t>
  </si>
  <si>
    <t>CAMILA ANTONIA SILVA LÓPEZ</t>
  </si>
  <si>
    <t>SILVA</t>
  </si>
  <si>
    <t>LÓPEZ</t>
  </si>
  <si>
    <t>CAMILA ANTONIA</t>
  </si>
  <si>
    <t>JULIÁN ANDRÉS FLORES ROMÁN</t>
  </si>
  <si>
    <t>FLORES</t>
  </si>
  <si>
    <t>ROMÁN</t>
  </si>
  <si>
    <t>JULIÁN ANDRÉS</t>
  </si>
  <si>
    <t>MARTINA IGNACIA ARAYA ARAYA</t>
  </si>
  <si>
    <t>ARAYA</t>
  </si>
  <si>
    <t>MARTINA IGNACIA</t>
  </si>
  <si>
    <t>CAMILA IGNACIA MUÑOZ GIGOUX</t>
  </si>
  <si>
    <t>MUÑOZ</t>
  </si>
  <si>
    <t>GIGOUX</t>
  </si>
  <si>
    <t>CAMILA IGNACIA</t>
  </si>
  <si>
    <t>CARLA SOLANGE MOLINA RODRÍGUEZ</t>
  </si>
  <si>
    <t>MOLINA</t>
  </si>
  <si>
    <t>CARLA SOLANGE</t>
  </si>
  <si>
    <t>ARIELA COLOMBA JAÑA CAROCA</t>
  </si>
  <si>
    <t>JAÑA</t>
  </si>
  <si>
    <t>CAROCA</t>
  </si>
  <si>
    <t>ARIELA COLOMBA</t>
  </si>
  <si>
    <t>TYLOR ALEXANDER PEÑA GÁLVEZ</t>
  </si>
  <si>
    <t>PEÑA</t>
  </si>
  <si>
    <t>GÁLVEZ</t>
  </si>
  <si>
    <t>TYLOR ALEXANDER</t>
  </si>
  <si>
    <r>
      <rPr>
        <b/>
        <u/>
        <sz val="12"/>
        <color theme="1"/>
        <rFont val="Aptos Narrow"/>
        <family val="2"/>
        <scheme val="minor"/>
      </rPr>
      <t>Actividad problema 1</t>
    </r>
    <r>
      <rPr>
        <i/>
        <sz val="11"/>
        <color theme="1"/>
        <rFont val="Aptos Narrow"/>
        <family val="2"/>
        <scheme val="minor"/>
      </rPr>
      <t xml:space="preserve">
</t>
    </r>
  </si>
  <si>
    <r>
      <rPr>
        <b/>
        <u/>
        <sz val="12"/>
        <color theme="1"/>
        <rFont val="Aptos Narrow"/>
        <family val="2"/>
        <scheme val="minor"/>
      </rPr>
      <t>Actividad Problema 2</t>
    </r>
    <r>
      <rPr>
        <sz val="12"/>
        <color theme="1"/>
        <rFont val="Aptos Narrow"/>
        <family val="2"/>
        <scheme val="minor"/>
      </rPr>
      <t xml:space="preserve">
</t>
    </r>
  </si>
  <si>
    <t>Resultados Generales Cohorte</t>
  </si>
  <si>
    <t xml:space="preserve"> N Estudiantes habilitados para rendir</t>
  </si>
  <si>
    <t xml:space="preserve"> N Estudiantes que rindieron</t>
  </si>
  <si>
    <t xml:space="preserve">Porcentaje de cobertura EPI </t>
  </si>
  <si>
    <t>PORCENTAJE DE LOGRO EPI 2025</t>
  </si>
  <si>
    <t>Estado de Habilitación para rendir</t>
  </si>
  <si>
    <t>JUSTIFICATIVO DE NO RENDICIÓN</t>
  </si>
  <si>
    <t xml:space="preserve">  Puntaje según categoría</t>
  </si>
  <si>
    <t>Avance curricular suficiente o adecuado para evaluar ciclo básico</t>
  </si>
  <si>
    <t>Justifica</t>
  </si>
  <si>
    <t>Avance curricular insuficiente para evaluar ciclo básico (no rinde EPI 2025)</t>
  </si>
  <si>
    <t>EPI pendiente periodo anterior</t>
  </si>
  <si>
    <t>Rendida no válida</t>
  </si>
  <si>
    <t>No aplica</t>
  </si>
  <si>
    <t>Interrupción voluntaria (no rinde EPI 2025)</t>
  </si>
  <si>
    <t>Expulsión</t>
  </si>
  <si>
    <t>Retracto</t>
  </si>
  <si>
    <t>NOMBRE DE LA FACULTAD</t>
  </si>
  <si>
    <t xml:space="preserve">NOMBRE DEL PROGRAMA ACADÉMICO </t>
  </si>
  <si>
    <r>
      <t xml:space="preserve">PLAN DE ESTUDIO </t>
    </r>
    <r>
      <rPr>
        <b/>
        <sz val="11"/>
        <color rgb="FF0070C0"/>
        <rFont val="Aptos Narrow"/>
        <family val="2"/>
        <scheme val="minor"/>
      </rPr>
      <t>AÑO</t>
    </r>
  </si>
  <si>
    <t>Instrucciones: completar items en color azul. Se incorporan ejemplos que pueden se considerados por las unidades académicas para la elaboración de sus propuestas.</t>
  </si>
  <si>
    <t>ANÁLISIS Y TOMA DE DECISIONES BASADAS EN LA EVIDENCIA</t>
  </si>
  <si>
    <t xml:space="preserve">Se presentan, a continuación, las acciones planificadas considerando el análisis de los resultados de la aplicación EPI 2025. Estas acciones -consideradas para ser desarrolladas a corto, mediano y largo plazo- están orientadas a fortalecer el perfil intermedio intermedio del programa, teniendo a la vista las competencias con menores niveles de logro. </t>
  </si>
  <si>
    <t>N°</t>
  </si>
  <si>
    <t>TIPO DE ACCIÓN</t>
  </si>
  <si>
    <t>ACCIONES</t>
  </si>
  <si>
    <t>MEDIO DE VERIFICACIÓN</t>
  </si>
  <si>
    <t xml:space="preserve">I. </t>
  </si>
  <si>
    <t>CORTO PLAZO</t>
  </si>
  <si>
    <r>
      <t>Ejs. (acciones temporales que se realizan o buscan tener un impacto en el semestre consecutivo a la rendición de EPI)
- realizar tutorías personalizadas con estudiantes que obtuvieron bajos resultados.
- aplicar focus groups con estudiantes para indagar en variables que incidieron en los resultados (percepción sobre claridad de instrucciones, nivel de dificultad de las preguntas y nivel de preparación).
- llevar a cabo una revisión inmediata</t>
    </r>
    <r>
      <rPr>
        <i/>
        <sz val="11"/>
        <color theme="8" tint="0.39997558519241921"/>
        <rFont val="Aptos Narrow"/>
        <scheme val="minor"/>
      </rPr>
      <t xml:space="preserve"> </t>
    </r>
    <r>
      <rPr>
        <i/>
        <sz val="11"/>
        <color rgb="FF0070C0"/>
        <rFont val="Aptos Narrow"/>
        <family val="2"/>
        <scheme val="minor"/>
      </rPr>
      <t xml:space="preserve">de contenidos y metodologías </t>
    </r>
    <r>
      <rPr>
        <i/>
        <sz val="11"/>
        <color rgb="FF0070C0"/>
        <rFont val="Aptos Narrow"/>
        <scheme val="minor"/>
      </rPr>
      <t>programaciones d</t>
    </r>
    <r>
      <rPr>
        <i/>
        <sz val="11"/>
        <color rgb="FF0070C0"/>
        <rFont val="Aptos Narrow"/>
        <family val="2"/>
        <scheme val="minor"/>
      </rPr>
      <t xml:space="preserve">e las actividades curriculares del ciclo básico
-implementar evaluación diagnóstica durante ciclo básico, para detectar -de manera temprana- posibles dificultades que podrían interferir en el alcance del perfil intermedio.
</t>
    </r>
    <r>
      <rPr>
        <i/>
        <sz val="11"/>
        <color rgb="FF0070C0"/>
        <rFont val="Aptos Narrow"/>
        <scheme val="minor"/>
      </rPr>
      <t>-integrar en programaciones de actividades curriculares de 3er año, ajustes que favorezcan el desarrollo de las compentencias que evidenciaron un menor logro en EPI.
- ofrecer sesiones de refuerzo académico o tutorías personalizadas a estudiantes que han demostrado dificultades en la EPI, enfocándose en competencias en las que se hayan registrado debilidades.</t>
    </r>
  </si>
  <si>
    <t>Ejs. 
- listas de asistencia
- pauta preguntas focus group
- acta sesión del comité curricular del programa académico</t>
  </si>
  <si>
    <t xml:space="preserve">II. </t>
  </si>
  <si>
    <t>MEDIANO PLAZO</t>
  </si>
  <si>
    <r>
      <t xml:space="preserve">Ejs. (acciones temporales que se realizan o buscan tener un impacto más allá de transcurrido un semestre de la rendición de EPI)
- desarrollar jornadas de trabajo con el equipo docente y directivo del programa académico para definir ajustes en las programaciones de las actividades curriculares </t>
    </r>
    <r>
      <rPr>
        <i/>
        <sz val="11"/>
        <color rgb="FF0070C0"/>
        <rFont val="Aptos Narrow"/>
        <scheme val="minor"/>
      </rPr>
      <t xml:space="preserve">del ciclo de profundización, </t>
    </r>
    <r>
      <rPr>
        <i/>
        <sz val="11"/>
        <color rgb="FF0070C0"/>
        <rFont val="Aptos Narrow"/>
        <family val="2"/>
        <scheme val="minor"/>
      </rPr>
      <t xml:space="preserve">particularmente en lo referido a metodologías y evaluaciones.
- incorporar, en programaciones del ciclo básico, actividades de aprendizaje y evaluaciones orientadas a favorecer las competencias más descendidas en la EPI.
</t>
    </r>
    <r>
      <rPr>
        <i/>
        <sz val="11"/>
        <color rgb="FF0070C0"/>
        <rFont val="Aptos Narrow"/>
        <scheme val="minor"/>
      </rPr>
      <t>- analizar comparativamente las calificaciones obtenidas en el ciclo básico con los resultados de EPI, para evaluar nudos críticos en la implementación del plan de estudio que puedan ser abordados con anticipación.</t>
    </r>
  </si>
  <si>
    <t>Ejs. 
- programaciones de las actividades curriculares XXXX; XXXX; XXXX</t>
  </si>
  <si>
    <t xml:space="preserve">III. </t>
  </si>
  <si>
    <t>LARGO PLAZO</t>
  </si>
  <si>
    <r>
      <t xml:space="preserve">Ejs. (acciones que buscan una implementación estable o permanente en el tiempo)
- elaborar una actividad curricular de formación complementaria (OFC) orientada a fortalecer competencias más descendidas 
- actualizar plan de estudio, ajustando programas de actividades curriculares, carga académica y ubicación de actividades curriculares en el ciclo básico.
- </t>
    </r>
    <r>
      <rPr>
        <i/>
        <sz val="11"/>
        <color rgb="FF0070C0"/>
        <rFont val="Aptos Narrow"/>
        <scheme val="minor"/>
      </rPr>
      <t>generar instancias para</t>
    </r>
    <r>
      <rPr>
        <i/>
        <sz val="11"/>
        <color rgb="FF0070C0"/>
        <rFont val="Aptos Narrow"/>
        <family val="2"/>
        <scheme val="minor"/>
      </rPr>
      <t xml:space="preserve"> la colaboración entre docentes para </t>
    </r>
    <r>
      <rPr>
        <i/>
        <sz val="11"/>
        <color rgb="FF0070C0"/>
        <rFont val="Aptos Narrow"/>
        <scheme val="minor"/>
      </rPr>
      <t>con el propósito de co</t>
    </r>
    <r>
      <rPr>
        <i/>
        <sz val="11"/>
        <color rgb="FF0070C0"/>
        <rFont val="Aptos Narrow"/>
        <family val="2"/>
        <scheme val="minor"/>
      </rPr>
      <t xml:space="preserve">mpartir mejores prácticas y desarrollar estrategias pedagógicas más coherentes y efectivas en el ciclo básico del plan de estudio
</t>
    </r>
  </si>
  <si>
    <t>Ejs. 
- programa OFC
- programas de actividades curriculares del ciclo básico, actualizadas</t>
  </si>
  <si>
    <t>POR MEJORAR</t>
  </si>
  <si>
    <t>RINDE</t>
  </si>
  <si>
    <t>SUFICIENTE</t>
  </si>
  <si>
    <t>NO RINDE</t>
  </si>
  <si>
    <t>SATISFACTORIO</t>
  </si>
  <si>
    <t>ÓPTIMO</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</si>
</sst>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9">
    <font>
      <sz val="11"/>
      <color theme="1"/>
      <name val="Aptos Narrow"/>
      <family val="2"/>
      <scheme val="minor"/>
    </font>
    <font>
      <sz val="11"/>
      <color theme="9"/>
      <name val="Aptos Narrow"/>
      <family val="2"/>
      <scheme val="minor"/>
    </font>
    <font>
      <b/>
      <sz val="10"/>
      <color theme="1"/>
      <name val="Aptos Narrow"/>
      <family val="2"/>
      <scheme val="minor"/>
    </font>
    <font>
      <sz val="12"/>
      <color theme="1"/>
      <name val="Aptos"/>
      <family val="2"/>
    </font>
    <font>
      <b/>
      <sz val="11"/>
      <color theme="1"/>
      <name val="Aptos Narrow"/>
      <family val="2"/>
      <scheme val="minor"/>
    </font>
    <font>
      <b/>
      <sz val="11"/>
      <color rgb="FF000000"/>
      <name val="Aptos Narrow"/>
      <family val="2"/>
      <scheme val="minor"/>
    </font>
    <font>
      <sz val="11"/>
      <name val="Aptos Narrow"/>
      <family val="2"/>
      <scheme val="minor"/>
    </font>
    <font>
      <sz val="11"/>
      <color rgb="FF242424"/>
      <name val="Aptos Narrow"/>
      <family val="2"/>
    </font>
    <font>
      <i/>
      <sz val="11"/>
      <color theme="1"/>
      <name val="Aptos Narrow"/>
      <family val="2"/>
      <scheme val="minor"/>
    </font>
    <font>
      <sz val="12"/>
      <color theme="1"/>
      <name val="Aptos Narrow"/>
      <family val="2"/>
      <scheme val="minor"/>
    </font>
    <font>
      <b/>
      <u/>
      <sz val="12"/>
      <color theme="1"/>
      <name val="Aptos Narrow"/>
      <family val="2"/>
      <scheme val="minor"/>
    </font>
    <font>
      <sz val="10"/>
      <color theme="1"/>
      <name val="Calibri"/>
      <family val="2"/>
    </font>
    <font>
      <sz val="11"/>
      <color theme="1"/>
      <name val="Aptos Narrow"/>
      <family val="2"/>
      <scheme val="minor"/>
    </font>
    <font>
      <b/>
      <sz val="12"/>
      <color theme="1"/>
      <name val="Aptos Narrow"/>
      <family val="2"/>
      <scheme val="minor"/>
    </font>
    <font>
      <b/>
      <sz val="11"/>
      <color rgb="FF0070C0"/>
      <name val="Aptos Narrow"/>
      <family val="2"/>
      <scheme val="minor"/>
    </font>
    <font>
      <b/>
      <sz val="11"/>
      <name val="Aptos Narrow"/>
      <family val="2"/>
      <scheme val="minor"/>
    </font>
    <font>
      <i/>
      <sz val="11"/>
      <color rgb="FF0070C0"/>
      <name val="Aptos Narrow"/>
      <family val="2"/>
      <scheme val="minor"/>
    </font>
    <font>
      <i/>
      <sz val="11"/>
      <color theme="8" tint="0.39997558519241921"/>
      <name val="Aptos Narrow"/>
      <scheme val="minor"/>
    </font>
    <font>
      <i/>
      <sz val="11"/>
      <color rgb="FF0070C0"/>
      <name val="Aptos Narrow"/>
      <scheme val="minor"/>
    </font>
  </fonts>
  <fills count="10">
    <fill>
      <patternFill patternType="none"/>
    </fill>
    <fill>
      <patternFill patternType="gray125"/>
    </fill>
    <fill>
      <patternFill patternType="solid">
        <fgColor theme="9" tint="0.59999389629810485"/>
        <bgColor indexed="64"/>
      </patternFill>
    </fill>
    <fill>
      <patternFill patternType="solid">
        <fgColor rgb="FFDDEBF7"/>
        <bgColor rgb="FF000000"/>
      </patternFill>
    </fill>
    <fill>
      <patternFill patternType="solid">
        <fgColor theme="4" tint="0.79998168889431442"/>
        <bgColor indexed="64"/>
      </patternFill>
    </fill>
    <fill>
      <patternFill patternType="solid">
        <fgColor theme="9" tint="0.79998168889431442"/>
        <bgColor indexed="64"/>
      </patternFill>
    </fill>
    <fill>
      <patternFill patternType="solid">
        <fgColor theme="7" tint="0.79998168889431442"/>
        <bgColor indexed="64"/>
      </patternFill>
    </fill>
    <fill>
      <patternFill patternType="solid">
        <fgColor theme="5" tint="0.79998168889431442"/>
        <bgColor indexed="64"/>
      </patternFill>
    </fill>
    <fill>
      <patternFill patternType="solid">
        <fgColor theme="5" tint="0.59999389629810485"/>
        <bgColor indexed="64"/>
      </patternFill>
    </fill>
    <fill>
      <patternFill patternType="solid">
        <fgColor theme="0" tint="-0.14999847407452621"/>
        <bgColor indexed="64"/>
      </patternFill>
    </fill>
  </fills>
  <borders count="51">
    <border>
      <left/>
      <right/>
      <top/>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bottom style="thin">
        <color rgb="FF000000"/>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right/>
      <top/>
      <bottom style="thin">
        <color rgb="FF000000"/>
      </bottom>
      <diagonal/>
    </border>
    <border>
      <left style="medium">
        <color indexed="64"/>
      </left>
      <right style="medium">
        <color indexed="64"/>
      </right>
      <top style="medium">
        <color indexed="64"/>
      </top>
      <bottom style="medium">
        <color indexed="64"/>
      </bottom>
      <diagonal/>
    </border>
    <border>
      <left style="medium">
        <color indexed="64"/>
      </left>
      <right style="medium">
        <color indexed="64"/>
      </right>
      <top style="medium">
        <color indexed="64"/>
      </top>
      <bottom/>
      <diagonal/>
    </border>
    <border>
      <left style="medium">
        <color indexed="64"/>
      </left>
      <right/>
      <top style="medium">
        <color indexed="64"/>
      </top>
      <bottom/>
      <diagonal/>
    </border>
    <border>
      <left/>
      <right style="medium">
        <color indexed="64"/>
      </right>
      <top style="medium">
        <color indexed="64"/>
      </top>
      <bottom/>
      <diagonal/>
    </border>
    <border>
      <left style="medium">
        <color indexed="64"/>
      </left>
      <right style="medium">
        <color indexed="64"/>
      </right>
      <top/>
      <bottom style="medium">
        <color indexed="64"/>
      </bottom>
      <diagonal/>
    </border>
    <border>
      <left style="medium">
        <color indexed="64"/>
      </left>
      <right/>
      <top/>
      <bottom style="medium">
        <color indexed="64"/>
      </bottom>
      <diagonal/>
    </border>
    <border>
      <left/>
      <right style="medium">
        <color indexed="64"/>
      </right>
      <top/>
      <bottom style="medium">
        <color indexed="64"/>
      </bottom>
      <diagonal/>
    </border>
    <border>
      <left style="medium">
        <color indexed="64"/>
      </left>
      <right style="thin">
        <color indexed="64"/>
      </right>
      <top/>
      <bottom style="medium">
        <color indexed="64"/>
      </bottom>
      <diagonal/>
    </border>
    <border>
      <left style="thin">
        <color indexed="64"/>
      </left>
      <right style="thin">
        <color indexed="64"/>
      </right>
      <top/>
      <bottom style="medium">
        <color indexed="64"/>
      </bottom>
      <diagonal/>
    </border>
    <border>
      <left style="thin">
        <color indexed="64"/>
      </left>
      <right style="medium">
        <color indexed="64"/>
      </right>
      <top/>
      <bottom style="medium">
        <color indexed="64"/>
      </bottom>
      <diagonal/>
    </border>
    <border>
      <left style="thin">
        <color indexed="64"/>
      </left>
      <right style="thin">
        <color indexed="64"/>
      </right>
      <top style="thin">
        <color indexed="64"/>
      </top>
      <bottom style="thin">
        <color indexed="64"/>
      </bottom>
      <diagonal/>
    </border>
    <border>
      <left style="medium">
        <color indexed="64"/>
      </left>
      <right style="thin">
        <color indexed="64"/>
      </right>
      <top style="medium">
        <color indexed="64"/>
      </top>
      <bottom style="medium">
        <color indexed="64"/>
      </bottom>
      <diagonal/>
    </border>
    <border>
      <left style="thin">
        <color indexed="64"/>
      </left>
      <right style="thin">
        <color indexed="64"/>
      </right>
      <top style="medium">
        <color indexed="64"/>
      </top>
      <bottom style="medium">
        <color indexed="64"/>
      </bottom>
      <diagonal/>
    </border>
    <border>
      <left style="thin">
        <color indexed="64"/>
      </left>
      <right style="medium">
        <color indexed="64"/>
      </right>
      <top style="medium">
        <color indexed="64"/>
      </top>
      <bottom style="medium">
        <color indexed="64"/>
      </bottom>
      <diagonal/>
    </border>
    <border>
      <left/>
      <right style="thin">
        <color indexed="64"/>
      </right>
      <top/>
      <bottom style="thin">
        <color indexed="64"/>
      </bottom>
      <diagonal/>
    </border>
    <border>
      <left style="thin">
        <color indexed="64"/>
      </left>
      <right style="thin">
        <color indexed="64"/>
      </right>
      <top/>
      <bottom style="thin">
        <color indexed="64"/>
      </bottom>
      <diagonal/>
    </border>
    <border>
      <left style="thin">
        <color indexed="64"/>
      </left>
      <right style="medium">
        <color indexed="64"/>
      </right>
      <top/>
      <bottom style="thin">
        <color indexed="64"/>
      </bottom>
      <diagonal/>
    </border>
    <border>
      <left style="medium">
        <color indexed="64"/>
      </left>
      <right style="thin">
        <color indexed="64"/>
      </right>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style="thin">
        <color indexed="64"/>
      </top>
      <bottom style="thin">
        <color indexed="64"/>
      </bottom>
      <diagonal/>
    </border>
    <border>
      <left style="medium">
        <color indexed="64"/>
      </left>
      <right style="thin">
        <color indexed="64"/>
      </right>
      <top style="thin">
        <color indexed="64"/>
      </top>
      <bottom/>
      <diagonal/>
    </border>
    <border>
      <left style="thin">
        <color indexed="64"/>
      </left>
      <right style="thin">
        <color indexed="64"/>
      </right>
      <top style="thin">
        <color indexed="64"/>
      </top>
      <bottom/>
      <diagonal/>
    </border>
    <border>
      <left style="thin">
        <color indexed="64"/>
      </left>
      <right style="medium">
        <color indexed="64"/>
      </right>
      <top style="thin">
        <color indexed="64"/>
      </top>
      <bottom/>
      <diagonal/>
    </border>
    <border>
      <left style="thin">
        <color indexed="64"/>
      </left>
      <right style="thin">
        <color indexed="64"/>
      </right>
      <top/>
      <bottom/>
      <diagonal/>
    </border>
    <border>
      <left/>
      <right/>
      <top style="medium">
        <color indexed="64"/>
      </top>
      <bottom/>
      <diagonal/>
    </border>
    <border>
      <left/>
      <right/>
      <top/>
      <bottom style="medium">
        <color indexed="64"/>
      </bottom>
      <diagonal/>
    </border>
    <border>
      <left style="thin">
        <color rgb="FF000000"/>
      </left>
      <right style="thin">
        <color rgb="FF000000"/>
      </right>
      <top style="thin">
        <color rgb="FF000000"/>
      </top>
      <bottom/>
      <diagonal/>
    </border>
    <border>
      <left style="thin">
        <color rgb="FF000000"/>
      </left>
      <right/>
      <top style="thin">
        <color rgb="FF000000"/>
      </top>
      <bottom style="thin">
        <color rgb="FF000000"/>
      </bottom>
      <diagonal/>
    </border>
    <border>
      <left/>
      <right style="thin">
        <color rgb="FF000000"/>
      </right>
      <top style="thin">
        <color rgb="FF000000"/>
      </top>
      <bottom style="thin">
        <color rgb="FF000000"/>
      </bottom>
      <diagonal/>
    </border>
    <border>
      <left style="thin">
        <color rgb="FF000000"/>
      </left>
      <right style="thin">
        <color rgb="FF000000"/>
      </right>
      <top/>
      <bottom/>
      <diagonal/>
    </border>
    <border>
      <left/>
      <right/>
      <top style="thin">
        <color indexed="64"/>
      </top>
      <bottom style="thin">
        <color indexed="64"/>
      </bottom>
      <diagonal/>
    </border>
    <border>
      <left/>
      <right/>
      <top style="thin">
        <color rgb="FF000000"/>
      </top>
      <bottom style="thin">
        <color rgb="FF000000"/>
      </bottom>
      <diagonal/>
    </border>
    <border>
      <left style="thin">
        <color rgb="FF000000"/>
      </left>
      <right/>
      <top/>
      <bottom style="thin">
        <color rgb="FF000000"/>
      </bottom>
      <diagonal/>
    </border>
    <border>
      <left/>
      <right style="thin">
        <color rgb="FF000000"/>
      </right>
      <top/>
      <bottom style="thin">
        <color rgb="FF000000"/>
      </bottom>
      <diagonal/>
    </border>
    <border>
      <left/>
      <right/>
      <top/>
      <bottom style="thin">
        <color indexed="64"/>
      </bottom>
      <diagonal/>
    </border>
    <border>
      <left style="thin">
        <color rgb="FF000000"/>
      </left>
      <right/>
      <top style="medium">
        <color indexed="64"/>
      </top>
      <bottom style="medium">
        <color indexed="64"/>
      </bottom>
      <diagonal/>
    </border>
    <border>
      <left style="medium">
        <color indexed="64"/>
      </left>
      <right style="thin">
        <color rgb="FF000000"/>
      </right>
      <top style="medium">
        <color indexed="64"/>
      </top>
      <bottom style="medium">
        <color indexed="64"/>
      </bottom>
      <diagonal/>
    </border>
    <border>
      <left style="thin">
        <color rgb="FF000000"/>
      </left>
      <right style="thin">
        <color rgb="FF000000"/>
      </right>
      <top style="medium">
        <color indexed="64"/>
      </top>
      <bottom style="medium">
        <color indexed="64"/>
      </bottom>
      <diagonal/>
    </border>
    <border>
      <left style="thin">
        <color rgb="FF000000"/>
      </left>
      <right style="medium">
        <color indexed="64"/>
      </right>
      <top style="medium">
        <color indexed="64"/>
      </top>
      <bottom style="medium">
        <color indexed="64"/>
      </bottom>
      <diagonal/>
    </border>
    <border>
      <left style="thin">
        <color rgb="FF000000"/>
      </left>
      <right/>
      <top style="thin">
        <color rgb="FF000000"/>
      </top>
      <bottom/>
      <diagonal/>
    </border>
    <border>
      <left/>
      <right/>
      <top style="thin">
        <color rgb="FF000000"/>
      </top>
      <bottom/>
      <diagonal/>
    </border>
    <border>
      <left/>
      <right style="thin">
        <color rgb="FF000000"/>
      </right>
      <top style="thin">
        <color rgb="FF000000"/>
      </top>
      <bottom/>
      <diagonal/>
    </border>
    <border>
      <left style="medium">
        <color indexed="64"/>
      </left>
      <right style="thin">
        <color rgb="FF000000"/>
      </right>
      <top style="medium">
        <color indexed="64"/>
      </top>
      <bottom/>
      <diagonal/>
    </border>
    <border>
      <left style="thin">
        <color indexed="64"/>
      </left>
      <right/>
      <top style="medium">
        <color indexed="64"/>
      </top>
      <bottom style="medium">
        <color indexed="64"/>
      </bottom>
      <diagonal/>
    </border>
  </borders>
  <cellStyleXfs count="2">
    <xf numFmtId="0" fontId="0" fillId="0" borderId="0"/>
    <xf numFmtId="9" fontId="12" fillId="0" borderId="0" applyFont="0" applyFill="0" applyBorder="0" applyAlignment="0" applyProtection="0"/>
  </cellStyleXfs>
  <cellXfs count="147">
    <xf numFmtId="0" fontId="0" fillId="0" borderId="0" xfId="0"/>
    <xf numFmtId="0" fontId="0" fillId="0" borderId="1" xfId="0" applyBorder="1"/>
    <xf numFmtId="0" fontId="1" fillId="0" borderId="1" xfId="0" applyFont="1" applyBorder="1" applyAlignment="1">
      <alignment wrapText="1"/>
    </xf>
    <xf numFmtId="0" fontId="2" fillId="0" borderId="0" xfId="0" applyFont="1" applyAlignment="1">
      <alignment horizontal="center" wrapText="1"/>
    </xf>
    <xf numFmtId="0" fontId="3" fillId="0" borderId="0" xfId="0" applyFont="1" applyAlignment="1">
      <alignment vertical="center"/>
    </xf>
    <xf numFmtId="0" fontId="0" fillId="0" borderId="0" xfId="0" applyAlignment="1">
      <alignment horizontal="center" vertical="center"/>
    </xf>
    <xf numFmtId="0" fontId="5" fillId="3" borderId="8" xfId="0" applyFont="1" applyFill="1" applyBorder="1" applyAlignment="1">
      <alignment horizontal="center" wrapText="1"/>
    </xf>
    <xf numFmtId="0" fontId="5" fillId="3" borderId="9" xfId="0" applyFont="1" applyFill="1" applyBorder="1" applyAlignment="1">
      <alignment horizontal="center" wrapText="1"/>
    </xf>
    <xf numFmtId="0" fontId="5" fillId="3" borderId="10" xfId="0" applyFont="1" applyFill="1" applyBorder="1" applyAlignment="1">
      <alignment horizontal="center" wrapText="1"/>
    </xf>
    <xf numFmtId="0" fontId="5" fillId="3" borderId="11" xfId="0" applyFont="1" applyFill="1" applyBorder="1" applyAlignment="1">
      <alignment horizontal="center" wrapText="1"/>
    </xf>
    <xf numFmtId="0" fontId="5" fillId="3" borderId="12" xfId="0" applyFont="1" applyFill="1" applyBorder="1" applyAlignment="1">
      <alignment horizontal="center" wrapText="1"/>
    </xf>
    <xf numFmtId="0" fontId="5" fillId="3" borderId="13" xfId="0" applyFont="1" applyFill="1" applyBorder="1" applyAlignment="1">
      <alignment horizontal="center" wrapText="1"/>
    </xf>
    <xf numFmtId="0" fontId="6" fillId="3" borderId="14" xfId="0" applyFont="1" applyFill="1" applyBorder="1" applyAlignment="1">
      <alignment horizontal="center" vertical="center" wrapText="1"/>
    </xf>
    <xf numFmtId="0" fontId="6" fillId="3" borderId="15" xfId="0" applyFont="1" applyFill="1" applyBorder="1" applyAlignment="1">
      <alignment horizontal="center" vertical="center" wrapText="1"/>
    </xf>
    <xf numFmtId="0" fontId="6" fillId="3" borderId="16" xfId="0" applyFont="1" applyFill="1" applyBorder="1" applyAlignment="1">
      <alignment horizontal="center" vertical="center" wrapText="1"/>
    </xf>
    <xf numFmtId="0" fontId="0" fillId="0" borderId="0" xfId="0" applyAlignment="1">
      <alignment vertical="top" wrapText="1"/>
    </xf>
    <xf numFmtId="0" fontId="0" fillId="0" borderId="0" xfId="0" applyAlignment="1">
      <alignment vertical="top"/>
    </xf>
    <xf numFmtId="0" fontId="4" fillId="0" borderId="0" xfId="0" applyFont="1"/>
    <xf numFmtId="0" fontId="4" fillId="0" borderId="0" xfId="0" applyFont="1" applyAlignment="1">
      <alignment horizontal="center" vertical="center" wrapText="1"/>
    </xf>
    <xf numFmtId="0" fontId="4" fillId="4" borderId="18" xfId="0" applyFont="1" applyFill="1" applyBorder="1" applyAlignment="1">
      <alignment horizontal="center" vertical="center"/>
    </xf>
    <xf numFmtId="0" fontId="4" fillId="4" borderId="19" xfId="0" applyFont="1" applyFill="1" applyBorder="1" applyAlignment="1">
      <alignment horizontal="center" vertical="center"/>
    </xf>
    <xf numFmtId="0" fontId="5" fillId="4" borderId="19" xfId="0" applyFont="1" applyFill="1" applyBorder="1" applyAlignment="1">
      <alignment horizontal="center" vertical="center" wrapText="1"/>
    </xf>
    <xf numFmtId="0" fontId="0" fillId="0" borderId="0" xfId="0" applyAlignment="1">
      <alignment vertical="center"/>
    </xf>
    <xf numFmtId="0" fontId="4" fillId="4" borderId="7" xfId="0" applyFont="1" applyFill="1" applyBorder="1" applyAlignment="1">
      <alignment vertical="center" wrapText="1"/>
    </xf>
    <xf numFmtId="0" fontId="4" fillId="4" borderId="21" xfId="0" applyFont="1" applyFill="1" applyBorder="1" applyAlignment="1">
      <alignment horizontal="center" vertical="center" wrapText="1"/>
    </xf>
    <xf numFmtId="9" fontId="4" fillId="4" borderId="22" xfId="0" applyNumberFormat="1" applyFont="1" applyFill="1" applyBorder="1" applyAlignment="1">
      <alignment horizontal="center" vertical="center"/>
    </xf>
    <xf numFmtId="0" fontId="4" fillId="4" borderId="22" xfId="0" applyFont="1" applyFill="1" applyBorder="1" applyAlignment="1">
      <alignment horizontal="center" vertical="center"/>
    </xf>
    <xf numFmtId="0" fontId="0" fillId="4" borderId="17" xfId="0" applyFill="1" applyBorder="1" applyAlignment="1">
      <alignment vertical="center" wrapText="1"/>
    </xf>
    <xf numFmtId="0" fontId="0" fillId="4" borderId="7" xfId="0" applyFill="1" applyBorder="1" applyAlignment="1">
      <alignment vertical="center" wrapText="1"/>
    </xf>
    <xf numFmtId="0" fontId="0" fillId="0" borderId="17" xfId="0" applyBorder="1"/>
    <xf numFmtId="0" fontId="4" fillId="0" borderId="17" xfId="0" applyFont="1" applyBorder="1" applyAlignment="1">
      <alignment horizontal="center"/>
    </xf>
    <xf numFmtId="0" fontId="2" fillId="0" borderId="33" xfId="0" applyFont="1" applyBorder="1" applyAlignment="1">
      <alignment horizontal="center" vertical="center" wrapText="1"/>
    </xf>
    <xf numFmtId="0" fontId="0" fillId="0" borderId="1" xfId="0" applyBorder="1" applyAlignment="1">
      <alignment wrapText="1"/>
    </xf>
    <xf numFmtId="0" fontId="1" fillId="0" borderId="34" xfId="0" applyFont="1" applyBorder="1" applyAlignment="1">
      <alignment wrapText="1"/>
    </xf>
    <xf numFmtId="0" fontId="1" fillId="0" borderId="35" xfId="0" applyFont="1" applyBorder="1" applyAlignment="1">
      <alignment wrapText="1"/>
    </xf>
    <xf numFmtId="1" fontId="0" fillId="0" borderId="17" xfId="0" applyNumberFormat="1" applyBorder="1"/>
    <xf numFmtId="0" fontId="2" fillId="0" borderId="2" xfId="0" applyFont="1" applyBorder="1" applyAlignment="1">
      <alignment horizontal="center" vertical="center" wrapText="1"/>
    </xf>
    <xf numFmtId="0" fontId="1" fillId="0" borderId="1" xfId="0" applyFont="1" applyBorder="1"/>
    <xf numFmtId="0" fontId="1" fillId="0" borderId="17" xfId="0" applyFont="1" applyBorder="1" applyAlignment="1">
      <alignment wrapText="1"/>
    </xf>
    <xf numFmtId="0" fontId="1" fillId="0" borderId="37" xfId="0" applyFont="1" applyBorder="1" applyAlignment="1">
      <alignment wrapText="1"/>
    </xf>
    <xf numFmtId="0" fontId="1" fillId="0" borderId="38" xfId="0" applyFont="1" applyBorder="1" applyAlignment="1">
      <alignment wrapText="1"/>
    </xf>
    <xf numFmtId="0" fontId="0" fillId="0" borderId="34" xfId="0" applyBorder="1"/>
    <xf numFmtId="0" fontId="0" fillId="0" borderId="38" xfId="0" applyBorder="1"/>
    <xf numFmtId="0" fontId="0" fillId="0" borderId="35" xfId="0" applyBorder="1"/>
    <xf numFmtId="0" fontId="0" fillId="0" borderId="34" xfId="0" applyBorder="1" applyAlignment="1">
      <alignment wrapText="1"/>
    </xf>
    <xf numFmtId="0" fontId="0" fillId="0" borderId="17" xfId="0" applyBorder="1" applyAlignment="1">
      <alignment wrapText="1"/>
    </xf>
    <xf numFmtId="0" fontId="0" fillId="0" borderId="37" xfId="0" applyBorder="1" applyAlignment="1">
      <alignment wrapText="1"/>
    </xf>
    <xf numFmtId="0" fontId="0" fillId="0" borderId="35" xfId="0" applyBorder="1" applyAlignment="1">
      <alignment wrapText="1"/>
    </xf>
    <xf numFmtId="0" fontId="0" fillId="0" borderId="6" xfId="0" applyBorder="1" applyAlignment="1">
      <alignment wrapText="1"/>
    </xf>
    <xf numFmtId="0" fontId="0" fillId="0" borderId="38" xfId="0" applyBorder="1" applyAlignment="1">
      <alignment wrapText="1"/>
    </xf>
    <xf numFmtId="0" fontId="0" fillId="0" borderId="17" xfId="0" applyBorder="1" applyAlignment="1">
      <alignment horizontal="center"/>
    </xf>
    <xf numFmtId="0" fontId="0" fillId="0" borderId="28" xfId="0" applyBorder="1" applyAlignment="1">
      <alignment horizontal="center" vertical="center" wrapText="1"/>
    </xf>
    <xf numFmtId="0" fontId="1" fillId="0" borderId="2" xfId="0" applyFont="1" applyBorder="1"/>
    <xf numFmtId="0" fontId="2" fillId="0" borderId="40" xfId="0" applyFont="1" applyBorder="1" applyAlignment="1">
      <alignment horizontal="center" vertical="center" wrapText="1"/>
    </xf>
    <xf numFmtId="0" fontId="0" fillId="8" borderId="19" xfId="0" applyFill="1" applyBorder="1" applyAlignment="1">
      <alignment horizontal="center" vertical="center" wrapText="1"/>
    </xf>
    <xf numFmtId="0" fontId="0" fillId="8" borderId="3" xfId="0" applyFill="1" applyBorder="1" applyAlignment="1">
      <alignment horizontal="center" vertical="center" wrapText="1"/>
    </xf>
    <xf numFmtId="0" fontId="0" fillId="8" borderId="42" xfId="0" applyFill="1" applyBorder="1" applyAlignment="1">
      <alignment horizontal="center" vertical="center" wrapText="1"/>
    </xf>
    <xf numFmtId="0" fontId="1" fillId="0" borderId="40" xfId="0" applyFont="1" applyBorder="1"/>
    <xf numFmtId="0" fontId="1" fillId="0" borderId="39" xfId="0" applyFont="1" applyBorder="1"/>
    <xf numFmtId="0" fontId="1" fillId="0" borderId="22" xfId="0" applyFont="1" applyBorder="1"/>
    <xf numFmtId="0" fontId="0" fillId="0" borderId="41" xfId="0" applyBorder="1"/>
    <xf numFmtId="0" fontId="2" fillId="6" borderId="44" xfId="0" applyFont="1" applyFill="1" applyBorder="1" applyAlignment="1">
      <alignment horizontal="center" vertical="center" wrapText="1"/>
    </xf>
    <xf numFmtId="0" fontId="2" fillId="6" borderId="45" xfId="0" applyFont="1" applyFill="1" applyBorder="1" applyAlignment="1">
      <alignment horizontal="center" vertical="center" wrapText="1"/>
    </xf>
    <xf numFmtId="0" fontId="0" fillId="0" borderId="31" xfId="0" applyBorder="1" applyAlignment="1">
      <alignment horizontal="center" vertical="center" wrapText="1"/>
    </xf>
    <xf numFmtId="0" fontId="4" fillId="2" borderId="36" xfId="0" applyFont="1" applyFill="1" applyBorder="1" applyAlignment="1">
      <alignment horizontal="center" vertical="center" wrapText="1"/>
    </xf>
    <xf numFmtId="0" fontId="0" fillId="2" borderId="43" xfId="0" applyFill="1" applyBorder="1" applyAlignment="1">
      <alignment horizontal="center" vertical="center" wrapText="1"/>
    </xf>
    <xf numFmtId="0" fontId="0" fillId="2" borderId="42" xfId="0" applyFill="1" applyBorder="1" applyAlignment="1">
      <alignment horizontal="center" vertical="center" wrapText="1"/>
    </xf>
    <xf numFmtId="0" fontId="0" fillId="2" borderId="19" xfId="0" applyFill="1" applyBorder="1" applyAlignment="1">
      <alignment horizontal="center" vertical="center" wrapText="1"/>
    </xf>
    <xf numFmtId="0" fontId="0" fillId="0" borderId="46" xfId="0" applyBorder="1"/>
    <xf numFmtId="0" fontId="0" fillId="0" borderId="28" xfId="0" applyBorder="1"/>
    <xf numFmtId="0" fontId="0" fillId="0" borderId="47" xfId="0" applyBorder="1"/>
    <xf numFmtId="0" fontId="0" fillId="0" borderId="48" xfId="0" applyBorder="1"/>
    <xf numFmtId="0" fontId="0" fillId="0" borderId="33" xfId="0" applyBorder="1"/>
    <xf numFmtId="1" fontId="11" fillId="0" borderId="1" xfId="0" applyNumberFormat="1" applyFont="1" applyBorder="1" applyAlignment="1">
      <alignment horizontal="center" vertical="top" wrapText="1"/>
    </xf>
    <xf numFmtId="0" fontId="6" fillId="0" borderId="40" xfId="0" applyFont="1" applyBorder="1" applyAlignment="1">
      <alignment horizontal="center"/>
    </xf>
    <xf numFmtId="0" fontId="2" fillId="6" borderId="49" xfId="0" applyFont="1" applyFill="1" applyBorder="1" applyAlignment="1">
      <alignment horizontal="center" vertical="center" wrapText="1"/>
    </xf>
    <xf numFmtId="0" fontId="0" fillId="0" borderId="28" xfId="0" applyBorder="1" applyAlignment="1">
      <alignment horizontal="center" vertical="center"/>
    </xf>
    <xf numFmtId="9" fontId="1" fillId="0" borderId="1" xfId="1" applyFont="1" applyBorder="1"/>
    <xf numFmtId="0" fontId="0" fillId="0" borderId="17" xfId="0" applyBorder="1" applyAlignment="1">
      <alignment horizontal="center" vertical="center" wrapText="1"/>
    </xf>
    <xf numFmtId="0" fontId="0" fillId="8" borderId="50" xfId="0" applyFill="1" applyBorder="1" applyAlignment="1">
      <alignment horizontal="center" vertical="center" wrapText="1"/>
    </xf>
    <xf numFmtId="0" fontId="0" fillId="0" borderId="0" xfId="0" applyAlignment="1">
      <alignment horizontal="left" vertical="center"/>
    </xf>
    <xf numFmtId="0" fontId="4" fillId="9" borderId="17" xfId="0" applyFont="1" applyFill="1" applyBorder="1" applyAlignment="1">
      <alignment horizontal="center" vertical="center"/>
    </xf>
    <xf numFmtId="0" fontId="4" fillId="9" borderId="17" xfId="0" applyFont="1" applyFill="1" applyBorder="1" applyAlignment="1">
      <alignment horizontal="left" vertical="center"/>
    </xf>
    <xf numFmtId="0" fontId="16" fillId="0" borderId="17" xfId="0" applyFont="1" applyBorder="1" applyAlignment="1">
      <alignment horizontal="left" vertical="top" wrapText="1"/>
    </xf>
    <xf numFmtId="1" fontId="11" fillId="0" borderId="1" xfId="0" applyNumberFormat="1" applyFont="1" applyBorder="1" applyAlignment="1">
      <alignment horizontal="left" vertical="top" wrapText="1"/>
    </xf>
    <xf numFmtId="0" fontId="0" fillId="0" borderId="17" xfId="0" applyBorder="1" applyAlignment="1">
      <alignment horizontal="center" wrapText="1"/>
    </xf>
    <xf numFmtId="0" fontId="5" fillId="3" borderId="3" xfId="0" applyFont="1" applyFill="1" applyBorder="1" applyAlignment="1">
      <alignment horizontal="center"/>
    </xf>
    <xf numFmtId="0" fontId="5" fillId="3" borderId="4" xfId="0" applyFont="1" applyFill="1" applyBorder="1" applyAlignment="1">
      <alignment horizontal="center"/>
    </xf>
    <xf numFmtId="0" fontId="5" fillId="3" borderId="5" xfId="0" applyFont="1" applyFill="1" applyBorder="1" applyAlignment="1">
      <alignment horizontal="center"/>
    </xf>
    <xf numFmtId="0" fontId="0" fillId="0" borderId="17" xfId="0" applyBorder="1" applyAlignment="1">
      <alignment horizontal="left" wrapText="1"/>
    </xf>
    <xf numFmtId="0" fontId="0" fillId="0" borderId="17" xfId="0" applyBorder="1" applyAlignment="1">
      <alignment horizontal="left"/>
    </xf>
    <xf numFmtId="0" fontId="4" fillId="4" borderId="19" xfId="0" applyFont="1" applyFill="1" applyBorder="1" applyAlignment="1">
      <alignment horizontal="center" vertical="center"/>
    </xf>
    <xf numFmtId="0" fontId="4" fillId="4" borderId="20" xfId="0" applyFont="1" applyFill="1" applyBorder="1" applyAlignment="1">
      <alignment horizontal="center" vertical="center"/>
    </xf>
    <xf numFmtId="0" fontId="4" fillId="4" borderId="22" xfId="0" applyFont="1" applyFill="1" applyBorder="1" applyAlignment="1">
      <alignment horizontal="center" vertical="center"/>
    </xf>
    <xf numFmtId="0" fontId="4" fillId="4" borderId="23" xfId="0" applyFont="1" applyFill="1" applyBorder="1" applyAlignment="1">
      <alignment horizontal="center" vertical="center"/>
    </xf>
    <xf numFmtId="0" fontId="4" fillId="4" borderId="24" xfId="0" applyFont="1" applyFill="1" applyBorder="1" applyAlignment="1">
      <alignment horizontal="left" vertical="center"/>
    </xf>
    <xf numFmtId="0" fontId="4" fillId="4" borderId="26" xfId="0" applyFont="1" applyFill="1" applyBorder="1" applyAlignment="1">
      <alignment horizontal="left" vertical="center"/>
    </xf>
    <xf numFmtId="0" fontId="4" fillId="4" borderId="27" xfId="0" applyFont="1" applyFill="1" applyBorder="1" applyAlignment="1">
      <alignment horizontal="left" vertical="center"/>
    </xf>
    <xf numFmtId="0" fontId="0" fillId="4" borderId="17" xfId="0" applyFill="1" applyBorder="1" applyAlignment="1">
      <alignment horizontal="left" vertical="center" wrapText="1"/>
    </xf>
    <xf numFmtId="0" fontId="0" fillId="4" borderId="25" xfId="0" applyFill="1" applyBorder="1" applyAlignment="1">
      <alignment horizontal="left" vertical="center" wrapText="1"/>
    </xf>
    <xf numFmtId="0" fontId="0" fillId="4" borderId="17" xfId="0" applyFill="1" applyBorder="1" applyAlignment="1">
      <alignment horizontal="center" vertical="center" wrapText="1"/>
    </xf>
    <xf numFmtId="0" fontId="0" fillId="4" borderId="25" xfId="0" applyFill="1" applyBorder="1" applyAlignment="1">
      <alignment horizontal="center" vertical="center" wrapText="1"/>
    </xf>
    <xf numFmtId="0" fontId="7" fillId="4" borderId="28" xfId="0" applyFont="1" applyFill="1" applyBorder="1" applyAlignment="1">
      <alignment horizontal="center" vertical="center"/>
    </xf>
    <xf numFmtId="0" fontId="7" fillId="4" borderId="29" xfId="0" applyFont="1" applyFill="1" applyBorder="1" applyAlignment="1">
      <alignment horizontal="center" vertical="center"/>
    </xf>
    <xf numFmtId="0" fontId="4" fillId="0" borderId="28" xfId="0" applyFont="1" applyBorder="1" applyAlignment="1">
      <alignment horizontal="center" vertical="center"/>
    </xf>
    <xf numFmtId="0" fontId="0" fillId="0" borderId="30" xfId="0" applyBorder="1" applyAlignment="1">
      <alignment horizontal="center" vertical="center"/>
    </xf>
    <xf numFmtId="0" fontId="0" fillId="0" borderId="22" xfId="0" applyBorder="1" applyAlignment="1">
      <alignment horizontal="center" vertical="center"/>
    </xf>
    <xf numFmtId="0" fontId="6" fillId="0" borderId="28" xfId="0" applyFont="1" applyBorder="1" applyAlignment="1">
      <alignment horizontal="center" vertical="center" wrapText="1"/>
    </xf>
    <xf numFmtId="0" fontId="0" fillId="0" borderId="28" xfId="0" applyBorder="1" applyAlignment="1">
      <alignment horizontal="center" vertical="center" wrapText="1"/>
    </xf>
    <xf numFmtId="0" fontId="0" fillId="0" borderId="30" xfId="0" applyBorder="1" applyAlignment="1">
      <alignment horizontal="center" vertical="center" wrapText="1"/>
    </xf>
    <xf numFmtId="0" fontId="0" fillId="0" borderId="22" xfId="0" applyBorder="1" applyAlignment="1">
      <alignment horizontal="center" vertical="center" wrapText="1"/>
    </xf>
    <xf numFmtId="0" fontId="0" fillId="0" borderId="17" xfId="0" applyBorder="1" applyAlignment="1">
      <alignment horizontal="center" vertical="center" wrapText="1"/>
    </xf>
    <xf numFmtId="0" fontId="0" fillId="0" borderId="17" xfId="0" applyBorder="1" applyAlignment="1">
      <alignment horizontal="center" vertical="center"/>
    </xf>
    <xf numFmtId="0" fontId="4" fillId="0" borderId="9" xfId="0" applyFont="1" applyBorder="1" applyAlignment="1">
      <alignment horizontal="center" vertical="center"/>
    </xf>
    <xf numFmtId="0" fontId="0" fillId="0" borderId="31" xfId="0" applyBorder="1" applyAlignment="1">
      <alignment horizontal="center" vertical="center"/>
    </xf>
    <xf numFmtId="0" fontId="0" fillId="0" borderId="10" xfId="0" applyBorder="1" applyAlignment="1">
      <alignment horizontal="center" vertical="center"/>
    </xf>
    <xf numFmtId="0" fontId="0" fillId="0" borderId="12" xfId="0" applyBorder="1" applyAlignment="1">
      <alignment horizontal="center" vertical="center"/>
    </xf>
    <xf numFmtId="0" fontId="0" fillId="0" borderId="32" xfId="0" applyBorder="1" applyAlignment="1">
      <alignment horizontal="center" vertical="center"/>
    </xf>
    <xf numFmtId="0" fontId="0" fillId="0" borderId="13" xfId="0" applyBorder="1" applyAlignment="1">
      <alignment horizontal="center" vertical="center"/>
    </xf>
    <xf numFmtId="0" fontId="4" fillId="6" borderId="9" xfId="0" applyFont="1" applyFill="1" applyBorder="1" applyAlignment="1">
      <alignment horizontal="center" vertical="center" wrapText="1"/>
    </xf>
    <xf numFmtId="0" fontId="4" fillId="6" borderId="31" xfId="0" applyFont="1" applyFill="1" applyBorder="1" applyAlignment="1">
      <alignment horizontal="center" vertical="center" wrapText="1"/>
    </xf>
    <xf numFmtId="0" fontId="4" fillId="6" borderId="10" xfId="0" applyFont="1" applyFill="1" applyBorder="1" applyAlignment="1">
      <alignment horizontal="center" vertical="center" wrapText="1"/>
    </xf>
    <xf numFmtId="0" fontId="4" fillId="6" borderId="12" xfId="0" applyFont="1" applyFill="1" applyBorder="1" applyAlignment="1">
      <alignment horizontal="center" vertical="center" wrapText="1"/>
    </xf>
    <xf numFmtId="0" fontId="4" fillId="6" borderId="32" xfId="0" applyFont="1" applyFill="1" applyBorder="1" applyAlignment="1">
      <alignment horizontal="center" vertical="center" wrapText="1"/>
    </xf>
    <xf numFmtId="0" fontId="4" fillId="6" borderId="13" xfId="0" applyFont="1" applyFill="1" applyBorder="1" applyAlignment="1">
      <alignment horizontal="center" vertical="center" wrapText="1"/>
    </xf>
    <xf numFmtId="0" fontId="4" fillId="7" borderId="9" xfId="0" applyFont="1" applyFill="1" applyBorder="1" applyAlignment="1">
      <alignment horizontal="center" vertical="center" wrapText="1"/>
    </xf>
    <xf numFmtId="0" fontId="4" fillId="7" borderId="31" xfId="0" applyFont="1" applyFill="1" applyBorder="1" applyAlignment="1">
      <alignment horizontal="center" vertical="center" wrapText="1"/>
    </xf>
    <xf numFmtId="0" fontId="4" fillId="7" borderId="12" xfId="0" applyFont="1" applyFill="1" applyBorder="1" applyAlignment="1">
      <alignment horizontal="center" vertical="center" wrapText="1"/>
    </xf>
    <xf numFmtId="0" fontId="4" fillId="7" borderId="32" xfId="0" applyFont="1" applyFill="1" applyBorder="1" applyAlignment="1">
      <alignment horizontal="center" vertical="center" wrapText="1"/>
    </xf>
    <xf numFmtId="0" fontId="0" fillId="5" borderId="9" xfId="0" applyFill="1" applyBorder="1" applyAlignment="1">
      <alignment horizontal="center" vertical="center" wrapText="1"/>
    </xf>
    <xf numFmtId="0" fontId="0" fillId="5" borderId="31" xfId="0" applyFill="1" applyBorder="1" applyAlignment="1">
      <alignment horizontal="center" vertical="center" wrapText="1"/>
    </xf>
    <xf numFmtId="0" fontId="0" fillId="5" borderId="12" xfId="0" applyFill="1" applyBorder="1" applyAlignment="1">
      <alignment horizontal="center" vertical="center" wrapText="1"/>
    </xf>
    <xf numFmtId="0" fontId="0" fillId="5" borderId="32" xfId="0" applyFill="1" applyBorder="1" applyAlignment="1">
      <alignment horizontal="center" vertical="center" wrapText="1"/>
    </xf>
    <xf numFmtId="0" fontId="0" fillId="5" borderId="3" xfId="0" applyFill="1" applyBorder="1" applyAlignment="1">
      <alignment horizontal="center" vertical="center" wrapText="1"/>
    </xf>
    <xf numFmtId="0" fontId="0" fillId="5" borderId="4" xfId="0" applyFill="1" applyBorder="1" applyAlignment="1">
      <alignment horizontal="center" vertical="center" wrapText="1"/>
    </xf>
    <xf numFmtId="0" fontId="13" fillId="7" borderId="4" xfId="0" applyFont="1" applyFill="1" applyBorder="1" applyAlignment="1">
      <alignment horizontal="center" vertical="center" wrapText="1"/>
    </xf>
    <xf numFmtId="0" fontId="4" fillId="7" borderId="4" xfId="0" applyFont="1" applyFill="1" applyBorder="1" applyAlignment="1">
      <alignment horizontal="center" vertical="center" wrapText="1"/>
    </xf>
    <xf numFmtId="0" fontId="16" fillId="0" borderId="17" xfId="0" applyFont="1" applyBorder="1" applyAlignment="1">
      <alignment horizontal="left" vertical="top" wrapText="1"/>
    </xf>
    <xf numFmtId="0" fontId="0" fillId="0" borderId="41" xfId="0" applyBorder="1" applyAlignment="1">
      <alignment horizontal="left" vertical="center"/>
    </xf>
    <xf numFmtId="0" fontId="4" fillId="9" borderId="17" xfId="0" applyFont="1" applyFill="1" applyBorder="1" applyAlignment="1">
      <alignment horizontal="center" vertical="center"/>
    </xf>
    <xf numFmtId="0" fontId="0" fillId="0" borderId="17" xfId="0" applyBorder="1" applyAlignment="1">
      <alignment horizontal="left" vertical="center" wrapText="1"/>
    </xf>
    <xf numFmtId="0" fontId="16" fillId="0" borderId="17" xfId="0" applyFont="1" applyBorder="1" applyAlignment="1">
      <alignment horizontal="left" vertical="top"/>
    </xf>
    <xf numFmtId="0" fontId="16" fillId="0" borderId="0" xfId="0" applyFont="1" applyAlignment="1">
      <alignment horizontal="left" vertical="center"/>
    </xf>
    <xf numFmtId="0" fontId="0" fillId="0" borderId="0" xfId="0" applyAlignment="1">
      <alignment horizontal="left" vertical="center"/>
    </xf>
    <xf numFmtId="0" fontId="14" fillId="0" borderId="0" xfId="0" applyFont="1" applyAlignment="1">
      <alignment horizontal="center" vertical="center"/>
    </xf>
    <xf numFmtId="0" fontId="15" fillId="0" borderId="0" xfId="0" applyFont="1" applyAlignment="1">
      <alignment horizontal="center" vertical="center"/>
    </xf>
    <xf numFmtId="0" fontId="0" fillId="0" borderId="0" xfId="0" applyAlignment="1">
      <alignment horizontal="center" vertical="center"/>
    </xf>
  </cellXfs>
  <cellStyles count="2">
    <cellStyle name="Normal" xfId="0" builtinId="0"/>
    <cellStyle name="Porcentaje" xfId="1" builtinId="5"/>
  </cellStyles>
  <dxfs count="0"/>
  <tableStyles count="0" defaultTableStyle="TableStyleMedium2" defaultPivotStyle="PivotStyleMedium9"/>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worksheet" Target="worksheets/sheet7.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calcChain" Target="calcChain.xml"/><Relationship Id="rId5" Type="http://schemas.openxmlformats.org/officeDocument/2006/relationships/worksheet" Target="worksheets/sheet5.xml"/><Relationship Id="rId10"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styles" Target="styles.xml"/></Relationships>
</file>

<file path=xl/drawings/_rels/drawing1.xml.rels><?xml version="1.0" encoding="UTF-8" standalone="yes"?>
<Relationships xmlns="http://schemas.openxmlformats.org/package/2006/relationships"><Relationship Id="rId3" Type="http://schemas.openxmlformats.org/officeDocument/2006/relationships/image" Target="../media/image3.png"/><Relationship Id="rId2" Type="http://schemas.openxmlformats.org/officeDocument/2006/relationships/image" Target="../media/image2.png"/><Relationship Id="rId1" Type="http://schemas.openxmlformats.org/officeDocument/2006/relationships/image" Target="../media/image1.png"/><Relationship Id="rId6" Type="http://schemas.openxmlformats.org/officeDocument/2006/relationships/image" Target="../media/image6.png"/><Relationship Id="rId5" Type="http://schemas.openxmlformats.org/officeDocument/2006/relationships/image" Target="../media/image5.png"/><Relationship Id="rId4" Type="http://schemas.openxmlformats.org/officeDocument/2006/relationships/image" Target="../media/image4.png"/></Relationships>
</file>

<file path=xl/drawings/_rels/drawing2.xml.rels><?xml version="1.0" encoding="UTF-8" standalone="yes"?>
<Relationships xmlns="http://schemas.openxmlformats.org/package/2006/relationships"><Relationship Id="rId1" Type="http://schemas.openxmlformats.org/officeDocument/2006/relationships/image" Target="../media/image7.jpg"/></Relationships>
</file>

<file path=xl/drawings/drawing1.xml><?xml version="1.0" encoding="utf-8"?>
<xdr:wsDr xmlns:xdr="http://schemas.openxmlformats.org/drawingml/2006/spreadsheetDrawing" xmlns:a="http://schemas.openxmlformats.org/drawingml/2006/main">
  <xdr:twoCellAnchor editAs="oneCell">
    <xdr:from>
      <xdr:col>2</xdr:col>
      <xdr:colOff>0</xdr:colOff>
      <xdr:row>46</xdr:row>
      <xdr:rowOff>95250</xdr:rowOff>
    </xdr:from>
    <xdr:to>
      <xdr:col>2</xdr:col>
      <xdr:colOff>171473</xdr:colOff>
      <xdr:row>54</xdr:row>
      <xdr:rowOff>93559</xdr:rowOff>
    </xdr:to>
    <xdr:pic>
      <xdr:nvPicPr>
        <xdr:cNvPr id="19" name="Imagen 18">
          <a:extLst>
            <a:ext uri="{FF2B5EF4-FFF2-40B4-BE49-F238E27FC236}">
              <a16:creationId xmlns:a16="http://schemas.microsoft.com/office/drawing/2014/main" id="{00B8F573-EE53-A518-A9C8-1496A28FF60F}"/>
            </a:ext>
          </a:extLst>
        </xdr:cNvPr>
        <xdr:cNvPicPr>
          <a:picLocks noChangeAspect="1"/>
        </xdr:cNvPicPr>
      </xdr:nvPicPr>
      <xdr:blipFill>
        <a:blip xmlns:r="http://schemas.openxmlformats.org/officeDocument/2006/relationships" r:embed="rId1"/>
        <a:stretch>
          <a:fillRect/>
        </a:stretch>
      </xdr:blipFill>
      <xdr:spPr>
        <a:xfrm>
          <a:off x="2733675" y="10763250"/>
          <a:ext cx="161948" cy="1533739"/>
        </a:xfrm>
        <a:prstGeom prst="rect">
          <a:avLst/>
        </a:prstGeom>
      </xdr:spPr>
    </xdr:pic>
    <xdr:clientData/>
  </xdr:twoCellAnchor>
  <xdr:twoCellAnchor editAs="oneCell">
    <xdr:from>
      <xdr:col>2</xdr:col>
      <xdr:colOff>0</xdr:colOff>
      <xdr:row>54</xdr:row>
      <xdr:rowOff>47625</xdr:rowOff>
    </xdr:from>
    <xdr:to>
      <xdr:col>2</xdr:col>
      <xdr:colOff>188571</xdr:colOff>
      <xdr:row>63</xdr:row>
      <xdr:rowOff>91440</xdr:rowOff>
    </xdr:to>
    <xdr:pic>
      <xdr:nvPicPr>
        <xdr:cNvPr id="21" name="Imagen 20">
          <a:extLst>
            <a:ext uri="{FF2B5EF4-FFF2-40B4-BE49-F238E27FC236}">
              <a16:creationId xmlns:a16="http://schemas.microsoft.com/office/drawing/2014/main" id="{C2FAF8D7-DFE4-5FBB-FC65-A73A47656797}"/>
            </a:ext>
          </a:extLst>
        </xdr:cNvPr>
        <xdr:cNvPicPr>
          <a:picLocks noChangeAspect="1"/>
        </xdr:cNvPicPr>
      </xdr:nvPicPr>
      <xdr:blipFill>
        <a:blip xmlns:r="http://schemas.openxmlformats.org/officeDocument/2006/relationships" r:embed="rId2"/>
        <a:stretch>
          <a:fillRect/>
        </a:stretch>
      </xdr:blipFill>
      <xdr:spPr>
        <a:xfrm>
          <a:off x="2743199" y="12239625"/>
          <a:ext cx="188571" cy="1752600"/>
        </a:xfrm>
        <a:prstGeom prst="rect">
          <a:avLst/>
        </a:prstGeom>
      </xdr:spPr>
    </xdr:pic>
    <xdr:clientData/>
  </xdr:twoCellAnchor>
  <xdr:twoCellAnchor editAs="oneCell">
    <xdr:from>
      <xdr:col>15</xdr:col>
      <xdr:colOff>742950</xdr:colOff>
      <xdr:row>1</xdr:row>
      <xdr:rowOff>0</xdr:rowOff>
    </xdr:from>
    <xdr:to>
      <xdr:col>27</xdr:col>
      <xdr:colOff>677542</xdr:colOff>
      <xdr:row>36</xdr:row>
      <xdr:rowOff>172405</xdr:rowOff>
    </xdr:to>
    <xdr:pic>
      <xdr:nvPicPr>
        <xdr:cNvPr id="6" name="Imagen 5">
          <a:extLst>
            <a:ext uri="{FF2B5EF4-FFF2-40B4-BE49-F238E27FC236}">
              <a16:creationId xmlns:a16="http://schemas.microsoft.com/office/drawing/2014/main" id="{A15D1A0A-6749-E65B-3F49-992EBE2C84E7}"/>
            </a:ext>
          </a:extLst>
        </xdr:cNvPr>
        <xdr:cNvPicPr>
          <a:picLocks noChangeAspect="1"/>
        </xdr:cNvPicPr>
      </xdr:nvPicPr>
      <xdr:blipFill>
        <a:blip xmlns:r="http://schemas.openxmlformats.org/officeDocument/2006/relationships" r:embed="rId3"/>
        <a:stretch>
          <a:fillRect/>
        </a:stretch>
      </xdr:blipFill>
      <xdr:spPr>
        <a:xfrm>
          <a:off x="12172950" y="190500"/>
          <a:ext cx="9078592" cy="6839905"/>
        </a:xfrm>
        <a:prstGeom prst="rect">
          <a:avLst/>
        </a:prstGeom>
      </xdr:spPr>
    </xdr:pic>
    <xdr:clientData/>
  </xdr:twoCellAnchor>
  <xdr:twoCellAnchor editAs="oneCell">
    <xdr:from>
      <xdr:col>15</xdr:col>
      <xdr:colOff>752475</xdr:colOff>
      <xdr:row>35</xdr:row>
      <xdr:rowOff>104775</xdr:rowOff>
    </xdr:from>
    <xdr:to>
      <xdr:col>27</xdr:col>
      <xdr:colOff>706120</xdr:colOff>
      <xdr:row>72</xdr:row>
      <xdr:rowOff>968</xdr:rowOff>
    </xdr:to>
    <xdr:pic>
      <xdr:nvPicPr>
        <xdr:cNvPr id="7" name="Imagen 6">
          <a:extLst>
            <a:ext uri="{FF2B5EF4-FFF2-40B4-BE49-F238E27FC236}">
              <a16:creationId xmlns:a16="http://schemas.microsoft.com/office/drawing/2014/main" id="{8A36ADB5-EBCB-4611-164B-2C091D88C7B2}"/>
            </a:ext>
          </a:extLst>
        </xdr:cNvPr>
        <xdr:cNvPicPr>
          <a:picLocks noChangeAspect="1"/>
        </xdr:cNvPicPr>
      </xdr:nvPicPr>
      <xdr:blipFill>
        <a:blip xmlns:r="http://schemas.openxmlformats.org/officeDocument/2006/relationships" r:embed="rId4"/>
        <a:stretch>
          <a:fillRect/>
        </a:stretch>
      </xdr:blipFill>
      <xdr:spPr>
        <a:xfrm>
          <a:off x="12182475" y="6772275"/>
          <a:ext cx="9097645" cy="6935168"/>
        </a:xfrm>
        <a:prstGeom prst="rect">
          <a:avLst/>
        </a:prstGeom>
      </xdr:spPr>
    </xdr:pic>
    <xdr:clientData/>
  </xdr:twoCellAnchor>
  <xdr:twoCellAnchor editAs="oneCell">
    <xdr:from>
      <xdr:col>16</xdr:col>
      <xdr:colOff>19050</xdr:colOff>
      <xdr:row>72</xdr:row>
      <xdr:rowOff>28575</xdr:rowOff>
    </xdr:from>
    <xdr:to>
      <xdr:col>27</xdr:col>
      <xdr:colOff>544168</xdr:colOff>
      <xdr:row>107</xdr:row>
      <xdr:rowOff>153348</xdr:rowOff>
    </xdr:to>
    <xdr:pic>
      <xdr:nvPicPr>
        <xdr:cNvPr id="8" name="Imagen 7">
          <a:extLst>
            <a:ext uri="{FF2B5EF4-FFF2-40B4-BE49-F238E27FC236}">
              <a16:creationId xmlns:a16="http://schemas.microsoft.com/office/drawing/2014/main" id="{F6792D08-05A8-E38B-4C23-BFE89BBC8A24}"/>
            </a:ext>
          </a:extLst>
        </xdr:cNvPr>
        <xdr:cNvPicPr>
          <a:picLocks noChangeAspect="1"/>
        </xdr:cNvPicPr>
      </xdr:nvPicPr>
      <xdr:blipFill>
        <a:blip xmlns:r="http://schemas.openxmlformats.org/officeDocument/2006/relationships" r:embed="rId5"/>
        <a:stretch>
          <a:fillRect/>
        </a:stretch>
      </xdr:blipFill>
      <xdr:spPr>
        <a:xfrm>
          <a:off x="12211050" y="13744575"/>
          <a:ext cx="8907118" cy="6792273"/>
        </a:xfrm>
        <a:prstGeom prst="rect">
          <a:avLst/>
        </a:prstGeom>
      </xdr:spPr>
    </xdr:pic>
    <xdr:clientData/>
  </xdr:twoCellAnchor>
  <xdr:twoCellAnchor editAs="oneCell">
    <xdr:from>
      <xdr:col>16</xdr:col>
      <xdr:colOff>152400</xdr:colOff>
      <xdr:row>108</xdr:row>
      <xdr:rowOff>0</xdr:rowOff>
    </xdr:from>
    <xdr:to>
      <xdr:col>27</xdr:col>
      <xdr:colOff>572728</xdr:colOff>
      <xdr:row>143</xdr:row>
      <xdr:rowOff>134299</xdr:rowOff>
    </xdr:to>
    <xdr:pic>
      <xdr:nvPicPr>
        <xdr:cNvPr id="9" name="Imagen 8">
          <a:extLst>
            <a:ext uri="{FF2B5EF4-FFF2-40B4-BE49-F238E27FC236}">
              <a16:creationId xmlns:a16="http://schemas.microsoft.com/office/drawing/2014/main" id="{B74E3EEE-59AF-473A-301B-090360DAFADB}"/>
            </a:ext>
          </a:extLst>
        </xdr:cNvPr>
        <xdr:cNvPicPr>
          <a:picLocks noChangeAspect="1"/>
        </xdr:cNvPicPr>
      </xdr:nvPicPr>
      <xdr:blipFill>
        <a:blip xmlns:r="http://schemas.openxmlformats.org/officeDocument/2006/relationships" r:embed="rId6"/>
        <a:stretch>
          <a:fillRect/>
        </a:stretch>
      </xdr:blipFill>
      <xdr:spPr>
        <a:xfrm>
          <a:off x="12344400" y="20574000"/>
          <a:ext cx="8802328" cy="6801799"/>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6</xdr:col>
      <xdr:colOff>438150</xdr:colOff>
      <xdr:row>0</xdr:row>
      <xdr:rowOff>152400</xdr:rowOff>
    </xdr:from>
    <xdr:to>
      <xdr:col>8</xdr:col>
      <xdr:colOff>716280</xdr:colOff>
      <xdr:row>0</xdr:row>
      <xdr:rowOff>986790</xdr:rowOff>
    </xdr:to>
    <xdr:pic>
      <xdr:nvPicPr>
        <xdr:cNvPr id="2" name="Imagen 1" descr="C:\Users\Tere\Desktop\UAH_Marzo2020\DD\ImagenesDD\Logos\Docencia-01.jpg">
          <a:extLst>
            <a:ext uri="{FF2B5EF4-FFF2-40B4-BE49-F238E27FC236}">
              <a16:creationId xmlns:a16="http://schemas.microsoft.com/office/drawing/2014/main" id="{40F87752-AAE4-480F-9DEE-C494722EC565}"/>
            </a:ext>
          </a:extLst>
        </xdr:cNvPr>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5452110" y="152400"/>
          <a:ext cx="1847850" cy="834390"/>
        </a:xfrm>
        <a:prstGeom prst="rect">
          <a:avLst/>
        </a:prstGeom>
        <a:noFill/>
        <a:ln>
          <a:noFill/>
        </a:ln>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45F82"/>
      </a:accent1>
      <a:accent2>
        <a:srgbClr val="E87331"/>
      </a:accent2>
      <a:accent3>
        <a:srgbClr val="186C24"/>
      </a:accent3>
      <a:accent4>
        <a:srgbClr val="0F9ED5"/>
      </a:accent4>
      <a:accent5>
        <a:srgbClr val="A02B93"/>
      </a:accent5>
      <a:accent6>
        <a:srgbClr val="4EA72E"/>
      </a:accent6>
      <a:hlink>
        <a:srgbClr val="467886"/>
      </a:hlink>
      <a:folHlink>
        <a:srgbClr val="96607D"/>
      </a:folHlink>
    </a:clrScheme>
    <a:fontScheme name="Office">
      <a:majorFont>
        <a:latin typeface="Aptos Display"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2.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2:H34"/>
  <sheetViews>
    <sheetView topLeftCell="A5" workbookViewId="0">
      <selection activeCell="H18" sqref="H18"/>
    </sheetView>
  </sheetViews>
  <sheetFormatPr defaultColWidth="11.42578125" defaultRowHeight="14.45"/>
  <cols>
    <col min="2" max="2" width="20.5703125" customWidth="1"/>
    <col min="3" max="3" width="34" customWidth="1"/>
    <col min="4" max="4" width="43.85546875" customWidth="1"/>
    <col min="5" max="5" width="34.85546875" customWidth="1"/>
    <col min="6" max="7" width="31.28515625" customWidth="1"/>
    <col min="8" max="8" width="31.42578125" customWidth="1"/>
  </cols>
  <sheetData>
    <row r="2" spans="1:8">
      <c r="A2" t="s">
        <v>0</v>
      </c>
      <c r="B2" t="s">
        <v>1</v>
      </c>
    </row>
    <row r="3" spans="1:8" ht="15" thickBot="1"/>
    <row r="4" spans="1:8" ht="15" thickBot="1">
      <c r="C4" s="86" t="s">
        <v>2</v>
      </c>
      <c r="D4" s="87"/>
      <c r="E4" s="87"/>
      <c r="F4" s="87"/>
      <c r="G4" s="88"/>
    </row>
    <row r="5" spans="1:8">
      <c r="C5" s="6" t="s">
        <v>3</v>
      </c>
      <c r="D5" s="6" t="s">
        <v>4</v>
      </c>
      <c r="E5" s="7" t="s">
        <v>5</v>
      </c>
      <c r="F5" s="6" t="s">
        <v>6</v>
      </c>
      <c r="G5" s="8" t="s">
        <v>7</v>
      </c>
    </row>
    <row r="6" spans="1:8" ht="15" thickBot="1">
      <c r="C6" s="9" t="s">
        <v>8</v>
      </c>
      <c r="D6" s="9" t="s">
        <v>9</v>
      </c>
      <c r="E6" s="10" t="s">
        <v>10</v>
      </c>
      <c r="F6" s="9" t="s">
        <v>11</v>
      </c>
      <c r="G6" s="11" t="s">
        <v>12</v>
      </c>
    </row>
    <row r="7" spans="1:8" ht="43.9" thickBot="1">
      <c r="C7" s="12" t="s">
        <v>13</v>
      </c>
      <c r="D7" s="13" t="s">
        <v>14</v>
      </c>
      <c r="E7" s="13" t="s">
        <v>15</v>
      </c>
      <c r="F7" s="13" t="s">
        <v>16</v>
      </c>
      <c r="G7" s="14" t="s">
        <v>17</v>
      </c>
    </row>
    <row r="8" spans="1:8">
      <c r="C8" s="15"/>
      <c r="D8" s="15"/>
      <c r="E8" s="15"/>
      <c r="F8" s="15"/>
      <c r="G8" s="16"/>
    </row>
    <row r="9" spans="1:8">
      <c r="A9" t="s">
        <v>18</v>
      </c>
      <c r="B9" s="17" t="s">
        <v>19</v>
      </c>
    </row>
    <row r="10" spans="1:8">
      <c r="B10" s="89" t="s">
        <v>20</v>
      </c>
      <c r="C10" s="90"/>
      <c r="D10" s="90"/>
      <c r="E10" s="90"/>
      <c r="F10" s="90"/>
      <c r="G10" s="90"/>
    </row>
    <row r="11" spans="1:8">
      <c r="B11" s="90"/>
      <c r="C11" s="90"/>
      <c r="D11" s="90"/>
      <c r="E11" s="90"/>
      <c r="F11" s="90"/>
      <c r="G11" s="90"/>
    </row>
    <row r="12" spans="1:8">
      <c r="B12" s="90"/>
      <c r="C12" s="90"/>
      <c r="D12" s="90"/>
      <c r="E12" s="90"/>
      <c r="F12" s="90"/>
      <c r="G12" s="90"/>
    </row>
    <row r="14" spans="1:8" ht="15" thickBot="1"/>
    <row r="15" spans="1:8" ht="15" thickBot="1">
      <c r="C15" s="86" t="s">
        <v>21</v>
      </c>
      <c r="D15" s="87"/>
      <c r="E15" s="87"/>
      <c r="F15" s="87"/>
      <c r="G15" s="88"/>
    </row>
    <row r="16" spans="1:8" ht="15" thickBot="1">
      <c r="B16" s="18"/>
      <c r="C16" s="19" t="s">
        <v>3</v>
      </c>
      <c r="D16" s="20" t="s">
        <v>4</v>
      </c>
      <c r="E16" s="21" t="s">
        <v>5</v>
      </c>
      <c r="F16" s="91" t="s">
        <v>22</v>
      </c>
      <c r="G16" s="92"/>
      <c r="H16" s="22"/>
    </row>
    <row r="17" spans="2:8" ht="15" thickBot="1">
      <c r="B17" s="23" t="s">
        <v>23</v>
      </c>
      <c r="C17" s="24" t="s">
        <v>24</v>
      </c>
      <c r="D17" s="25" t="s">
        <v>25</v>
      </c>
      <c r="E17" s="26" t="s">
        <v>26</v>
      </c>
      <c r="F17" s="93" t="s">
        <v>27</v>
      </c>
      <c r="G17" s="94"/>
      <c r="H17" s="22"/>
    </row>
    <row r="18" spans="2:8" ht="130.15" thickBot="1">
      <c r="B18" s="95" t="s">
        <v>28</v>
      </c>
      <c r="C18" s="27" t="s">
        <v>29</v>
      </c>
      <c r="D18" s="27" t="s">
        <v>30</v>
      </c>
      <c r="E18" s="27" t="s">
        <v>31</v>
      </c>
      <c r="F18" s="98" t="s">
        <v>32</v>
      </c>
      <c r="G18" s="99"/>
      <c r="H18" s="28" t="s">
        <v>33</v>
      </c>
    </row>
    <row r="19" spans="2:8" ht="80.25" customHeight="1">
      <c r="B19" s="96"/>
      <c r="C19" s="100" t="s">
        <v>34</v>
      </c>
      <c r="D19" s="100"/>
      <c r="E19" s="100" t="s">
        <v>35</v>
      </c>
      <c r="F19" s="100"/>
      <c r="G19" s="101"/>
      <c r="H19" s="22"/>
    </row>
    <row r="20" spans="2:8">
      <c r="B20" s="97"/>
      <c r="C20" s="102" t="s">
        <v>36</v>
      </c>
      <c r="D20" s="102"/>
      <c r="E20" s="102"/>
      <c r="F20" s="102"/>
      <c r="G20" s="103"/>
      <c r="H20" s="22"/>
    </row>
    <row r="21" spans="2:8" ht="15" customHeight="1">
      <c r="B21" s="104" t="s">
        <v>37</v>
      </c>
      <c r="C21" s="107" t="s">
        <v>38</v>
      </c>
      <c r="D21" s="108" t="s">
        <v>39</v>
      </c>
      <c r="E21" s="108" t="s">
        <v>40</v>
      </c>
      <c r="F21" s="111" t="s">
        <v>41</v>
      </c>
      <c r="G21" s="85"/>
    </row>
    <row r="22" spans="2:8">
      <c r="B22" s="105"/>
      <c r="C22" s="105"/>
      <c r="D22" s="105"/>
      <c r="E22" s="109"/>
      <c r="F22" s="112"/>
      <c r="G22" s="85"/>
    </row>
    <row r="23" spans="2:8">
      <c r="B23" s="105"/>
      <c r="C23" s="105"/>
      <c r="D23" s="105"/>
      <c r="E23" s="109"/>
      <c r="F23" s="112"/>
      <c r="G23" s="85"/>
    </row>
    <row r="24" spans="2:8">
      <c r="B24" s="105"/>
      <c r="C24" s="105"/>
      <c r="D24" s="105"/>
      <c r="E24" s="109"/>
      <c r="F24" s="112"/>
      <c r="G24" s="85"/>
    </row>
    <row r="25" spans="2:8">
      <c r="B25" s="105"/>
      <c r="C25" s="105"/>
      <c r="D25" s="105"/>
      <c r="E25" s="109"/>
      <c r="F25" s="112"/>
      <c r="G25" s="85"/>
    </row>
    <row r="26" spans="2:8">
      <c r="B26" s="105"/>
      <c r="C26" s="105"/>
      <c r="D26" s="105"/>
      <c r="E26" s="109"/>
      <c r="F26" s="112"/>
      <c r="G26" s="85"/>
    </row>
    <row r="27" spans="2:8">
      <c r="B27" s="105"/>
      <c r="C27" s="105"/>
      <c r="D27" s="105"/>
      <c r="E27" s="109"/>
      <c r="F27" s="112"/>
      <c r="G27" s="85"/>
    </row>
    <row r="28" spans="2:8">
      <c r="B28" s="105"/>
      <c r="C28" s="105"/>
      <c r="D28" s="105"/>
      <c r="E28" s="109"/>
      <c r="F28" s="112"/>
      <c r="G28" s="85"/>
    </row>
    <row r="29" spans="2:8">
      <c r="B29" s="105"/>
      <c r="C29" s="105"/>
      <c r="D29" s="105"/>
      <c r="E29" s="109"/>
      <c r="F29" s="112"/>
      <c r="G29" s="85"/>
    </row>
    <row r="30" spans="2:8">
      <c r="B30" s="105"/>
      <c r="C30" s="105"/>
      <c r="D30" s="105"/>
      <c r="E30" s="109"/>
      <c r="F30" s="112"/>
      <c r="G30" s="85"/>
    </row>
    <row r="31" spans="2:8">
      <c r="B31" s="105"/>
      <c r="C31" s="105"/>
      <c r="D31" s="105"/>
      <c r="E31" s="109"/>
      <c r="F31" s="112"/>
      <c r="G31" s="85"/>
    </row>
    <row r="32" spans="2:8">
      <c r="B32" s="105"/>
      <c r="C32" s="105"/>
      <c r="D32" s="105"/>
      <c r="E32" s="109"/>
      <c r="F32" s="112"/>
      <c r="G32" s="85"/>
    </row>
    <row r="33" spans="2:7">
      <c r="B33" s="105"/>
      <c r="C33" s="105"/>
      <c r="D33" s="105"/>
      <c r="E33" s="109"/>
      <c r="F33" s="112"/>
      <c r="G33" s="85"/>
    </row>
    <row r="34" spans="2:7">
      <c r="B34" s="106"/>
      <c r="C34" s="106"/>
      <c r="D34" s="106"/>
      <c r="E34" s="110"/>
      <c r="F34" s="112"/>
      <c r="G34" s="85"/>
    </row>
  </sheetData>
  <mergeCells count="16">
    <mergeCell ref="G21:G34"/>
    <mergeCell ref="C4:G4"/>
    <mergeCell ref="B10:G12"/>
    <mergeCell ref="C15:G15"/>
    <mergeCell ref="F16:G16"/>
    <mergeCell ref="F17:G17"/>
    <mergeCell ref="B18:B20"/>
    <mergeCell ref="F18:G18"/>
    <mergeCell ref="C19:D19"/>
    <mergeCell ref="E19:G19"/>
    <mergeCell ref="C20:G20"/>
    <mergeCell ref="B21:B34"/>
    <mergeCell ref="C21:C34"/>
    <mergeCell ref="D21:D34"/>
    <mergeCell ref="E21:E34"/>
    <mergeCell ref="F21:F34"/>
  </mergeCell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801516C-83A6-4386-A8A3-611A1045A914}">
  <dimension ref="A1"/>
  <sheetViews>
    <sheetView topLeftCell="AJ11" workbookViewId="0">
      <selection activeCell="AJ11" sqref="AJ11"/>
    </sheetView>
  </sheetViews>
  <sheetFormatPr defaultColWidth="11.42578125" defaultRowHeight="14.45"/>
  <sheetData/>
  <pageMargins left="0.7" right="0.7" top="0.75" bottom="0.75" header="0.3" footer="0.3"/>
  <drawing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E9F2B4C-EC85-4CB8-B705-3F4642D8D0B0}">
  <dimension ref="A1:T211"/>
  <sheetViews>
    <sheetView topLeftCell="F3" workbookViewId="0">
      <selection activeCell="Q32" sqref="Q32"/>
    </sheetView>
  </sheetViews>
  <sheetFormatPr defaultColWidth="9.140625" defaultRowHeight="15" customHeight="1"/>
  <cols>
    <col min="1" max="1" width="20" customWidth="1"/>
    <col min="2" max="2" width="11.42578125" customWidth="1"/>
    <col min="3" max="3" width="40.28515625" customWidth="1"/>
    <col min="4" max="4" width="20.85546875" customWidth="1"/>
    <col min="5" max="5" width="23" customWidth="1"/>
    <col min="6" max="6" width="31.85546875" customWidth="1"/>
    <col min="7" max="7" width="36.7109375" customWidth="1"/>
    <col min="8" max="10" width="14.28515625" customWidth="1"/>
    <col min="11" max="11" width="24.85546875" customWidth="1"/>
    <col min="12" max="12" width="25.7109375" customWidth="1"/>
    <col min="13" max="13" width="32.7109375" customWidth="1"/>
    <col min="14" max="14" width="23" customWidth="1"/>
    <col min="15" max="15" width="21.42578125" customWidth="1"/>
    <col min="16" max="16" width="26" customWidth="1"/>
    <col min="17" max="17" width="33" customWidth="1"/>
    <col min="18" max="19" width="14.28515625" customWidth="1"/>
    <col min="20" max="20" width="22.7109375" customWidth="1"/>
  </cols>
  <sheetData>
    <row r="1" spans="1:20" s="5" customFormat="1" ht="93" customHeight="1">
      <c r="A1" s="119" t="s">
        <v>42</v>
      </c>
      <c r="B1" s="120"/>
      <c r="C1" s="120"/>
      <c r="D1" s="120"/>
      <c r="E1" s="120"/>
      <c r="F1" s="120"/>
      <c r="G1" s="120"/>
      <c r="H1" s="120"/>
      <c r="I1" s="120"/>
      <c r="J1" s="121"/>
      <c r="K1" s="129" t="s">
        <v>43</v>
      </c>
      <c r="L1" s="130"/>
      <c r="M1" s="130"/>
      <c r="N1" s="125" t="s">
        <v>44</v>
      </c>
      <c r="O1" s="126"/>
      <c r="P1" s="126"/>
      <c r="Q1" s="126"/>
      <c r="R1" s="113" t="s">
        <v>45</v>
      </c>
      <c r="S1" s="114"/>
      <c r="T1" s="115"/>
    </row>
    <row r="2" spans="1:20" s="5" customFormat="1" ht="93" customHeight="1" thickBot="1">
      <c r="A2" s="122"/>
      <c r="B2" s="123"/>
      <c r="C2" s="123"/>
      <c r="D2" s="123"/>
      <c r="E2" s="123"/>
      <c r="F2" s="123"/>
      <c r="G2" s="123"/>
      <c r="H2" s="123"/>
      <c r="I2" s="123"/>
      <c r="J2" s="124"/>
      <c r="K2" s="131"/>
      <c r="L2" s="132"/>
      <c r="M2" s="132"/>
      <c r="N2" s="127"/>
      <c r="O2" s="128"/>
      <c r="P2" s="128"/>
      <c r="Q2" s="128"/>
      <c r="R2" s="116"/>
      <c r="S2" s="117"/>
      <c r="T2" s="118"/>
    </row>
    <row r="3" spans="1:20" s="3" customFormat="1" ht="107.25" customHeight="1">
      <c r="A3" s="75" t="s">
        <v>46</v>
      </c>
      <c r="B3" s="61" t="s">
        <v>47</v>
      </c>
      <c r="C3" s="61"/>
      <c r="D3" s="61" t="s">
        <v>48</v>
      </c>
      <c r="E3" s="61" t="s">
        <v>49</v>
      </c>
      <c r="F3" s="61" t="s">
        <v>50</v>
      </c>
      <c r="G3" s="61" t="s">
        <v>51</v>
      </c>
      <c r="H3" s="61" t="s">
        <v>52</v>
      </c>
      <c r="I3" s="61" t="s">
        <v>53</v>
      </c>
      <c r="J3" s="62" t="s">
        <v>54</v>
      </c>
      <c r="K3" s="65" t="s">
        <v>55</v>
      </c>
      <c r="L3" s="66" t="s">
        <v>56</v>
      </c>
      <c r="M3" s="67" t="s">
        <v>57</v>
      </c>
      <c r="N3" s="55" t="s">
        <v>58</v>
      </c>
      <c r="O3" s="56" t="s">
        <v>59</v>
      </c>
      <c r="P3" s="54" t="s">
        <v>60</v>
      </c>
      <c r="Q3" s="54" t="s">
        <v>61</v>
      </c>
      <c r="R3" s="53" t="s">
        <v>62</v>
      </c>
      <c r="S3" s="36" t="s">
        <v>63</v>
      </c>
      <c r="T3" s="36" t="s">
        <v>64</v>
      </c>
    </row>
    <row r="4" spans="1:20">
      <c r="A4" s="29">
        <v>16936249</v>
      </c>
      <c r="B4" s="74">
        <v>1</v>
      </c>
      <c r="C4" s="74" t="s">
        <v>65</v>
      </c>
      <c r="D4" s="84" t="s">
        <v>66</v>
      </c>
      <c r="E4" s="84" t="s">
        <v>67</v>
      </c>
      <c r="F4" s="84" t="s">
        <v>68</v>
      </c>
      <c r="G4" s="58"/>
      <c r="H4" s="59" t="s">
        <v>69</v>
      </c>
      <c r="I4" s="60"/>
      <c r="J4" s="59"/>
      <c r="K4" s="57">
        <v>4</v>
      </c>
      <c r="L4" s="52">
        <v>0</v>
      </c>
      <c r="M4" s="52">
        <v>2</v>
      </c>
      <c r="N4" s="52">
        <v>4</v>
      </c>
      <c r="O4" s="52">
        <v>4</v>
      </c>
      <c r="P4" s="52">
        <v>4</v>
      </c>
      <c r="Q4" s="52">
        <v>4</v>
      </c>
      <c r="R4" s="37">
        <f t="shared" ref="R4:R67" si="0">SUM(K4:Q4)</f>
        <v>22</v>
      </c>
      <c r="S4" s="77">
        <f>R4/32</f>
        <v>0.6875</v>
      </c>
      <c r="T4" s="37" t="str">
        <f>IF(H4="Rendida ",IF('Resultados Individuales'!S4&lt;49.5%,"Por Mejorar",IF('Resultados Individuales'!S4&lt;64.5%,"Base",IF('Resultados Individuales'!S4&lt;84.5%,"Satisfactorio","Óptimo"))),"No rendida o no válida")</f>
        <v>Satisfactorio</v>
      </c>
    </row>
    <row r="5" spans="1:20">
      <c r="A5" s="29">
        <v>19407652</v>
      </c>
      <c r="B5" s="74">
        <v>5</v>
      </c>
      <c r="C5" s="74" t="s">
        <v>70</v>
      </c>
      <c r="D5" s="84" t="s">
        <v>71</v>
      </c>
      <c r="E5" s="84" t="s">
        <v>72</v>
      </c>
      <c r="F5" s="84" t="s">
        <v>73</v>
      </c>
      <c r="G5" s="33"/>
      <c r="H5" s="38" t="s">
        <v>69</v>
      </c>
      <c r="I5" s="39"/>
      <c r="J5" s="38"/>
      <c r="K5" s="34">
        <v>2</v>
      </c>
      <c r="L5" s="2">
        <v>2</v>
      </c>
      <c r="M5" s="2">
        <v>1</v>
      </c>
      <c r="N5" s="2">
        <v>1</v>
      </c>
      <c r="O5" s="2">
        <v>3</v>
      </c>
      <c r="P5" s="2">
        <v>3</v>
      </c>
      <c r="Q5" s="2">
        <v>3</v>
      </c>
      <c r="R5" s="37">
        <f t="shared" si="0"/>
        <v>15</v>
      </c>
      <c r="S5" s="77">
        <f t="shared" ref="S5:S68" si="1">R5/32</f>
        <v>0.46875</v>
      </c>
      <c r="T5" s="37" t="str">
        <f>IF(H5="Rendida ",IF('Resultados Individuales'!S5&lt;49.5%,"Por Mejorar",IF('Resultados Individuales'!S5&lt;64.5%,"Base",IF('Resultados Individuales'!S5&lt;84.5%,"Satisfactorio","Óptimo"))),"No rendida o no válida")</f>
        <v>Por Mejorar</v>
      </c>
    </row>
    <row r="6" spans="1:20">
      <c r="A6" s="29">
        <v>19517771</v>
      </c>
      <c r="B6" s="74">
        <v>6</v>
      </c>
      <c r="C6" s="74" t="s">
        <v>74</v>
      </c>
      <c r="D6" s="84" t="s">
        <v>75</v>
      </c>
      <c r="E6" s="84" t="s">
        <v>76</v>
      </c>
      <c r="F6" s="84" t="s">
        <v>77</v>
      </c>
      <c r="G6" s="33"/>
      <c r="H6" s="38" t="s">
        <v>69</v>
      </c>
      <c r="I6" s="39"/>
      <c r="J6" s="38"/>
      <c r="K6" s="34">
        <v>4</v>
      </c>
      <c r="L6" s="2">
        <v>4</v>
      </c>
      <c r="M6" s="2">
        <v>4</v>
      </c>
      <c r="N6" s="2">
        <v>4</v>
      </c>
      <c r="O6" s="2">
        <v>4</v>
      </c>
      <c r="P6" s="2">
        <v>4</v>
      </c>
      <c r="Q6" s="2">
        <v>4</v>
      </c>
      <c r="R6" s="37">
        <f t="shared" si="0"/>
        <v>28</v>
      </c>
      <c r="S6" s="77">
        <f t="shared" si="1"/>
        <v>0.875</v>
      </c>
      <c r="T6" s="37" t="str">
        <f>IF(H6="Rendida ",IF('Resultados Individuales'!S6&lt;49.5%,"Por Mejorar",IF('Resultados Individuales'!S6&lt;64.5%,"Base",IF('Resultados Individuales'!S6&lt;84.5%,"Satisfactorio","Óptimo"))),"No rendida o no válida")</f>
        <v>Óptimo</v>
      </c>
    </row>
    <row r="7" spans="1:20">
      <c r="A7" s="29">
        <v>19602125</v>
      </c>
      <c r="B7" s="74">
        <v>6</v>
      </c>
      <c r="C7" s="74" t="s">
        <v>78</v>
      </c>
      <c r="D7" s="84" t="s">
        <v>79</v>
      </c>
      <c r="E7" s="84" t="s">
        <v>80</v>
      </c>
      <c r="F7" s="84" t="s">
        <v>81</v>
      </c>
      <c r="G7" s="44"/>
      <c r="H7" s="45" t="s">
        <v>69</v>
      </c>
      <c r="I7" s="46"/>
      <c r="J7" s="45"/>
      <c r="K7" s="47">
        <v>3</v>
      </c>
      <c r="L7" s="2">
        <v>2</v>
      </c>
      <c r="M7" s="2">
        <v>1</v>
      </c>
      <c r="N7" s="2">
        <v>3</v>
      </c>
      <c r="O7" s="2">
        <v>2</v>
      </c>
      <c r="P7" s="2">
        <v>3</v>
      </c>
      <c r="Q7" s="2">
        <v>1</v>
      </c>
      <c r="R7" s="37">
        <f t="shared" si="0"/>
        <v>15</v>
      </c>
      <c r="S7" s="77">
        <f t="shared" si="1"/>
        <v>0.46875</v>
      </c>
      <c r="T7" s="37" t="str">
        <f>IF(H7="Rendida ",IF('Resultados Individuales'!S7&lt;49.5%,"Por Mejorar",IF('Resultados Individuales'!S7&lt;64.5%,"Base",IF('Resultados Individuales'!S7&lt;84.5%,"Satisfactorio","Óptimo"))),"No rendida o no válida")</f>
        <v>Por Mejorar</v>
      </c>
    </row>
    <row r="8" spans="1:20">
      <c r="A8" s="29">
        <v>20552682</v>
      </c>
      <c r="B8" s="74" t="s">
        <v>82</v>
      </c>
      <c r="C8" s="74" t="s">
        <v>83</v>
      </c>
      <c r="D8" s="84" t="s">
        <v>84</v>
      </c>
      <c r="E8" s="84" t="s">
        <v>85</v>
      </c>
      <c r="F8" s="84" t="s">
        <v>86</v>
      </c>
      <c r="G8" s="44"/>
      <c r="H8" s="45" t="s">
        <v>69</v>
      </c>
      <c r="I8" s="48"/>
      <c r="J8" s="45"/>
      <c r="K8" s="47">
        <v>2</v>
      </c>
      <c r="L8" s="2">
        <v>2</v>
      </c>
      <c r="M8" s="2">
        <v>1</v>
      </c>
      <c r="N8" s="2">
        <v>2</v>
      </c>
      <c r="O8" s="2">
        <v>2</v>
      </c>
      <c r="P8" s="2">
        <v>2</v>
      </c>
      <c r="Q8" s="2">
        <v>2</v>
      </c>
      <c r="R8" s="37">
        <f t="shared" si="0"/>
        <v>13</v>
      </c>
      <c r="S8" s="77">
        <f t="shared" si="1"/>
        <v>0.40625</v>
      </c>
      <c r="T8" s="37" t="str">
        <f>IF(H8="Rendida ",IF('Resultados Individuales'!S8&lt;49.5%,"Por Mejorar",IF('Resultados Individuales'!S8&lt;64.5%,"Base",IF('Resultados Individuales'!S8&lt;84.5%,"Satisfactorio","Óptimo"))),"No rendida o no válida")</f>
        <v>Por Mejorar</v>
      </c>
    </row>
    <row r="9" spans="1:20">
      <c r="A9" s="29">
        <v>20731256</v>
      </c>
      <c r="B9" s="74">
        <v>8</v>
      </c>
      <c r="C9" s="74" t="s">
        <v>87</v>
      </c>
      <c r="D9" s="84" t="s">
        <v>88</v>
      </c>
      <c r="E9" s="84" t="s">
        <v>89</v>
      </c>
      <c r="F9" s="84" t="s">
        <v>90</v>
      </c>
      <c r="G9" s="44"/>
      <c r="H9" s="45" t="s">
        <v>91</v>
      </c>
      <c r="I9" s="49"/>
      <c r="J9" s="45" t="s">
        <v>92</v>
      </c>
      <c r="K9" s="47"/>
      <c r="L9" s="2"/>
      <c r="M9" s="2"/>
      <c r="N9" s="2"/>
      <c r="O9" s="2"/>
      <c r="P9" s="2"/>
      <c r="Q9" s="2"/>
      <c r="R9" s="37">
        <f t="shared" si="0"/>
        <v>0</v>
      </c>
      <c r="S9" s="77">
        <f t="shared" si="1"/>
        <v>0</v>
      </c>
      <c r="T9" s="37" t="str">
        <f>IF(H9="Rendida ",IF('Resultados Individuales'!S9&lt;49.5%,"Por Mejorar",IF('Resultados Individuales'!S9&lt;64.5%,"Base",IF('Resultados Individuales'!S9&lt;84.5%,"Satisfactorio","Óptimo"))),"No rendida o no válida")</f>
        <v>No rendida o no válida</v>
      </c>
    </row>
    <row r="10" spans="1:20">
      <c r="A10" s="29">
        <v>20830310</v>
      </c>
      <c r="B10" s="74">
        <v>4</v>
      </c>
      <c r="C10" s="74" t="s">
        <v>93</v>
      </c>
      <c r="D10" s="84" t="s">
        <v>94</v>
      </c>
      <c r="E10" s="84" t="s">
        <v>95</v>
      </c>
      <c r="F10" s="84" t="s">
        <v>96</v>
      </c>
      <c r="G10" s="44"/>
      <c r="H10" s="45" t="s">
        <v>69</v>
      </c>
      <c r="I10" s="49"/>
      <c r="J10" s="45"/>
      <c r="K10" s="47">
        <v>1</v>
      </c>
      <c r="L10" s="2">
        <v>0</v>
      </c>
      <c r="M10" s="2">
        <v>0</v>
      </c>
      <c r="N10" s="2">
        <v>1</v>
      </c>
      <c r="O10" s="2">
        <v>1</v>
      </c>
      <c r="P10" s="2">
        <v>1</v>
      </c>
      <c r="Q10" s="2">
        <v>1</v>
      </c>
      <c r="R10" s="37">
        <f t="shared" si="0"/>
        <v>5</v>
      </c>
      <c r="S10" s="77">
        <f t="shared" si="1"/>
        <v>0.15625</v>
      </c>
      <c r="T10" s="37" t="str">
        <f>IF(H10="Rendida ",IF('Resultados Individuales'!S10&lt;49.5%,"Por Mejorar",IF('Resultados Individuales'!S10&lt;64.5%,"Base",IF('Resultados Individuales'!S10&lt;84.5%,"Satisfactorio","Óptimo"))),"No rendida o no válida")</f>
        <v>Por Mejorar</v>
      </c>
    </row>
    <row r="11" spans="1:20">
      <c r="A11" s="29">
        <v>20870582</v>
      </c>
      <c r="B11" s="74">
        <v>2</v>
      </c>
      <c r="C11" s="74" t="s">
        <v>97</v>
      </c>
      <c r="D11" s="84" t="s">
        <v>98</v>
      </c>
      <c r="E11" s="84" t="s">
        <v>99</v>
      </c>
      <c r="F11" s="84" t="s">
        <v>100</v>
      </c>
      <c r="G11" s="44"/>
      <c r="H11" s="45" t="s">
        <v>69</v>
      </c>
      <c r="I11" s="49"/>
      <c r="J11" s="45"/>
      <c r="K11" s="47">
        <v>2</v>
      </c>
      <c r="L11" s="2">
        <v>3</v>
      </c>
      <c r="M11" s="2">
        <v>1</v>
      </c>
      <c r="N11" s="2">
        <v>2</v>
      </c>
      <c r="O11" s="2">
        <v>2</v>
      </c>
      <c r="P11" s="2">
        <v>3</v>
      </c>
      <c r="Q11" s="2">
        <v>2</v>
      </c>
      <c r="R11" s="37">
        <f t="shared" si="0"/>
        <v>15</v>
      </c>
      <c r="S11" s="77">
        <f t="shared" si="1"/>
        <v>0.46875</v>
      </c>
      <c r="T11" s="37" t="str">
        <f>IF(H11="Rendida ",IF('Resultados Individuales'!S11&lt;49.5%,"Por Mejorar",IF('Resultados Individuales'!S11&lt;64.5%,"Base",IF('Resultados Individuales'!S11&lt;84.5%,"Satisfactorio","Óptimo"))),"No rendida o no válida")</f>
        <v>Por Mejorar</v>
      </c>
    </row>
    <row r="12" spans="1:20">
      <c r="A12" s="29">
        <v>20915008</v>
      </c>
      <c r="B12" s="74">
        <v>5</v>
      </c>
      <c r="C12" s="74" t="s">
        <v>101</v>
      </c>
      <c r="D12" s="84" t="s">
        <v>102</v>
      </c>
      <c r="E12" s="84" t="s">
        <v>103</v>
      </c>
      <c r="F12" s="84" t="s">
        <v>104</v>
      </c>
      <c r="G12" s="44"/>
      <c r="H12" s="45" t="s">
        <v>69</v>
      </c>
      <c r="I12" s="49"/>
      <c r="J12" s="45"/>
      <c r="K12" s="47">
        <v>2</v>
      </c>
      <c r="L12" s="2">
        <v>2</v>
      </c>
      <c r="M12" s="2">
        <v>1</v>
      </c>
      <c r="N12" s="2">
        <v>3</v>
      </c>
      <c r="O12" s="2">
        <v>2</v>
      </c>
      <c r="P12" s="2">
        <v>3</v>
      </c>
      <c r="Q12" s="2">
        <v>1</v>
      </c>
      <c r="R12" s="37">
        <f t="shared" si="0"/>
        <v>14</v>
      </c>
      <c r="S12" s="77">
        <f t="shared" si="1"/>
        <v>0.4375</v>
      </c>
      <c r="T12" s="37" t="str">
        <f>IF(H12="Rendida ",IF('Resultados Individuales'!S12&lt;49.5%,"Por Mejorar",IF('Resultados Individuales'!S12&lt;64.5%,"Base",IF('Resultados Individuales'!S12&lt;84.5%,"Satisfactorio","Óptimo"))),"No rendida o no válida")</f>
        <v>Por Mejorar</v>
      </c>
    </row>
    <row r="13" spans="1:20">
      <c r="A13" s="29">
        <v>20958183</v>
      </c>
      <c r="B13" s="74">
        <v>3</v>
      </c>
      <c r="C13" s="74" t="s">
        <v>105</v>
      </c>
      <c r="D13" s="84" t="s">
        <v>106</v>
      </c>
      <c r="E13" s="84" t="s">
        <v>107</v>
      </c>
      <c r="F13" s="84" t="s">
        <v>108</v>
      </c>
      <c r="G13" s="44"/>
      <c r="H13" s="45" t="s">
        <v>69</v>
      </c>
      <c r="I13" s="49"/>
      <c r="J13" s="45"/>
      <c r="K13" s="47">
        <v>1</v>
      </c>
      <c r="L13" s="2">
        <v>1</v>
      </c>
      <c r="M13" s="2">
        <v>0</v>
      </c>
      <c r="N13" s="2">
        <v>0</v>
      </c>
      <c r="O13" s="2">
        <v>0</v>
      </c>
      <c r="P13" s="2">
        <v>0</v>
      </c>
      <c r="Q13" s="2">
        <v>1</v>
      </c>
      <c r="R13" s="37">
        <f t="shared" si="0"/>
        <v>3</v>
      </c>
      <c r="S13" s="77">
        <f t="shared" si="1"/>
        <v>9.375E-2</v>
      </c>
      <c r="T13" s="37" t="str">
        <f>IF(H13="Rendida ",IF('Resultados Individuales'!S13&lt;49.5%,"Por Mejorar",IF('Resultados Individuales'!S13&lt;64.5%,"Base",IF('Resultados Individuales'!S13&lt;84.5%,"Satisfactorio","Óptimo"))),"No rendida o no válida")</f>
        <v>Por Mejorar</v>
      </c>
    </row>
    <row r="14" spans="1:20">
      <c r="A14" s="29">
        <v>20987063</v>
      </c>
      <c r="B14" s="74">
        <v>0</v>
      </c>
      <c r="C14" s="74" t="s">
        <v>109</v>
      </c>
      <c r="D14" s="84" t="s">
        <v>110</v>
      </c>
      <c r="E14" s="84" t="s">
        <v>111</v>
      </c>
      <c r="F14" s="84" t="s">
        <v>112</v>
      </c>
      <c r="G14" s="44"/>
      <c r="H14" s="45" t="s">
        <v>69</v>
      </c>
      <c r="I14" s="49"/>
      <c r="J14" s="45"/>
      <c r="K14" s="47">
        <v>3</v>
      </c>
      <c r="L14" s="2">
        <v>3</v>
      </c>
      <c r="M14" s="2">
        <v>3</v>
      </c>
      <c r="N14" s="2">
        <v>3</v>
      </c>
      <c r="O14" s="2">
        <v>3</v>
      </c>
      <c r="P14" s="2">
        <v>2</v>
      </c>
      <c r="Q14" s="2">
        <v>3</v>
      </c>
      <c r="R14" s="37">
        <f t="shared" si="0"/>
        <v>20</v>
      </c>
      <c r="S14" s="77">
        <f t="shared" si="1"/>
        <v>0.625</v>
      </c>
      <c r="T14" s="37" t="str">
        <f>IF(H14="Rendida ",IF('Resultados Individuales'!S14&lt;49.5%,"Por Mejorar",IF('Resultados Individuales'!S14&lt;64.5%,"Base",IF('Resultados Individuales'!S14&lt;84.5%,"Satisfactorio","Óptimo"))),"No rendida o no válida")</f>
        <v>Base</v>
      </c>
    </row>
    <row r="15" spans="1:20">
      <c r="A15" s="29">
        <v>21125860</v>
      </c>
      <c r="B15" s="74">
        <v>8</v>
      </c>
      <c r="C15" s="74" t="s">
        <v>113</v>
      </c>
      <c r="D15" s="84" t="s">
        <v>114</v>
      </c>
      <c r="E15" s="84" t="s">
        <v>115</v>
      </c>
      <c r="F15" s="84" t="s">
        <v>116</v>
      </c>
      <c r="G15" s="44"/>
      <c r="H15" s="45" t="s">
        <v>69</v>
      </c>
      <c r="I15" s="49"/>
      <c r="J15" s="45"/>
      <c r="K15" s="47">
        <v>1</v>
      </c>
      <c r="L15" s="2">
        <v>3</v>
      </c>
      <c r="M15" s="2">
        <v>1</v>
      </c>
      <c r="N15" s="2">
        <v>2</v>
      </c>
      <c r="O15" s="2">
        <v>1</v>
      </c>
      <c r="P15" s="2">
        <v>1</v>
      </c>
      <c r="Q15" s="2">
        <v>2</v>
      </c>
      <c r="R15" s="37">
        <f t="shared" si="0"/>
        <v>11</v>
      </c>
      <c r="S15" s="77">
        <f t="shared" si="1"/>
        <v>0.34375</v>
      </c>
      <c r="T15" s="37" t="str">
        <f>IF(H15="Rendida ",IF('Resultados Individuales'!S15&lt;49.5%,"Por Mejorar",IF('Resultados Individuales'!S15&lt;64.5%,"Base",IF('Resultados Individuales'!S15&lt;84.5%,"Satisfactorio","Óptimo"))),"No rendida o no válida")</f>
        <v>Por Mejorar</v>
      </c>
    </row>
    <row r="16" spans="1:20">
      <c r="A16" s="29">
        <v>21390241</v>
      </c>
      <c r="B16" s="74">
        <v>5</v>
      </c>
      <c r="C16" s="74" t="s">
        <v>117</v>
      </c>
      <c r="D16" s="84" t="s">
        <v>118</v>
      </c>
      <c r="E16" s="84" t="s">
        <v>119</v>
      </c>
      <c r="F16" s="84" t="s">
        <v>120</v>
      </c>
      <c r="G16" s="44"/>
      <c r="H16" s="45" t="s">
        <v>69</v>
      </c>
      <c r="I16" s="49"/>
      <c r="J16" s="45"/>
      <c r="K16" s="47">
        <v>0</v>
      </c>
      <c r="L16" s="2">
        <v>3</v>
      </c>
      <c r="M16" s="2">
        <v>0</v>
      </c>
      <c r="N16" s="2">
        <v>2</v>
      </c>
      <c r="O16" s="2">
        <v>2</v>
      </c>
      <c r="P16" s="2">
        <v>3</v>
      </c>
      <c r="Q16" s="2">
        <v>3</v>
      </c>
      <c r="R16" s="37">
        <f t="shared" si="0"/>
        <v>13</v>
      </c>
      <c r="S16" s="77">
        <f t="shared" si="1"/>
        <v>0.40625</v>
      </c>
      <c r="T16" s="37" t="str">
        <f>IF(H16="Rendida ",IF('Resultados Individuales'!S16&lt;49.5%,"Por Mejorar",IF('Resultados Individuales'!S16&lt;64.5%,"Base",IF('Resultados Individuales'!S16&lt;84.5%,"Satisfactorio","Óptimo"))),"No rendida o no válida")</f>
        <v>Por Mejorar</v>
      </c>
    </row>
    <row r="17" spans="1:20">
      <c r="A17" s="29">
        <v>21485902</v>
      </c>
      <c r="B17" s="74">
        <v>5</v>
      </c>
      <c r="C17" s="74" t="s">
        <v>121</v>
      </c>
      <c r="D17" s="84" t="s">
        <v>122</v>
      </c>
      <c r="E17" s="84" t="s">
        <v>123</v>
      </c>
      <c r="F17" s="84" t="s">
        <v>124</v>
      </c>
      <c r="G17" s="41"/>
      <c r="H17" s="29" t="s">
        <v>69</v>
      </c>
      <c r="I17" s="42"/>
      <c r="J17" s="29"/>
      <c r="K17" s="43">
        <v>1</v>
      </c>
      <c r="L17" s="1">
        <v>1</v>
      </c>
      <c r="M17" s="1">
        <v>1</v>
      </c>
      <c r="N17" s="1">
        <v>1</v>
      </c>
      <c r="O17" s="1">
        <v>1</v>
      </c>
      <c r="P17" s="1">
        <v>1</v>
      </c>
      <c r="Q17" s="1">
        <v>1</v>
      </c>
      <c r="R17" s="37">
        <f t="shared" si="0"/>
        <v>7</v>
      </c>
      <c r="S17" s="77">
        <f t="shared" si="1"/>
        <v>0.21875</v>
      </c>
      <c r="T17" s="37" t="str">
        <f>IF(H17="Rendida ",IF('Resultados Individuales'!S17&lt;49.5%,"Por Mejorar",IF('Resultados Individuales'!S17&lt;64.5%,"Base",IF('Resultados Individuales'!S17&lt;84.5%,"Satisfactorio","Óptimo"))),"No rendida o no válida")</f>
        <v>Por Mejorar</v>
      </c>
    </row>
    <row r="18" spans="1:20">
      <c r="A18" s="29">
        <v>21489747</v>
      </c>
      <c r="B18" s="74">
        <v>4</v>
      </c>
      <c r="C18" s="74" t="s">
        <v>125</v>
      </c>
      <c r="D18" s="84" t="s">
        <v>126</v>
      </c>
      <c r="E18" s="84" t="s">
        <v>127</v>
      </c>
      <c r="F18" s="84" t="s">
        <v>128</v>
      </c>
      <c r="G18" s="44"/>
      <c r="H18" s="45" t="s">
        <v>69</v>
      </c>
      <c r="I18" s="49"/>
      <c r="J18" s="45"/>
      <c r="K18" s="47">
        <v>1</v>
      </c>
      <c r="L18" s="2">
        <v>2</v>
      </c>
      <c r="M18" s="2">
        <v>1</v>
      </c>
      <c r="N18" s="2">
        <v>2</v>
      </c>
      <c r="O18" s="2">
        <v>1</v>
      </c>
      <c r="P18" s="2">
        <v>1</v>
      </c>
      <c r="Q18" s="2">
        <v>2</v>
      </c>
      <c r="R18" s="37">
        <f t="shared" si="0"/>
        <v>10</v>
      </c>
      <c r="S18" s="77">
        <f t="shared" si="1"/>
        <v>0.3125</v>
      </c>
      <c r="T18" s="37" t="str">
        <f>IF(H18="Rendida ",IF('Resultados Individuales'!S18&lt;49.5%,"Por Mejorar",IF('Resultados Individuales'!S18&lt;64.5%,"Base",IF('Resultados Individuales'!S18&lt;84.5%,"Satisfactorio","Óptimo"))),"No rendida o no válida")</f>
        <v>Por Mejorar</v>
      </c>
    </row>
    <row r="19" spans="1:20">
      <c r="A19" s="29">
        <v>21509472</v>
      </c>
      <c r="B19" s="74">
        <v>3</v>
      </c>
      <c r="C19" s="74" t="s">
        <v>129</v>
      </c>
      <c r="D19" s="84" t="s">
        <v>130</v>
      </c>
      <c r="E19" s="84" t="s">
        <v>131</v>
      </c>
      <c r="F19" s="84" t="s">
        <v>132</v>
      </c>
      <c r="G19" s="44"/>
      <c r="H19" s="45" t="s">
        <v>69</v>
      </c>
      <c r="I19" s="49"/>
      <c r="J19" s="45"/>
      <c r="K19" s="47">
        <v>2</v>
      </c>
      <c r="L19" s="2">
        <v>0</v>
      </c>
      <c r="M19" s="2">
        <v>0</v>
      </c>
      <c r="N19" s="2">
        <v>1</v>
      </c>
      <c r="O19" s="2">
        <v>1</v>
      </c>
      <c r="P19" s="2">
        <v>1</v>
      </c>
      <c r="Q19" s="2">
        <v>2</v>
      </c>
      <c r="R19" s="37">
        <f t="shared" si="0"/>
        <v>7</v>
      </c>
      <c r="S19" s="77">
        <f t="shared" si="1"/>
        <v>0.21875</v>
      </c>
      <c r="T19" s="37" t="str">
        <f>IF(H19="Rendida ",IF('Resultados Individuales'!S19&lt;49.5%,"Por Mejorar",IF('Resultados Individuales'!S19&lt;64.5%,"Base",IF('Resultados Individuales'!S19&lt;84.5%,"Satisfactorio","Óptimo"))),"No rendida o no válida")</f>
        <v>Por Mejorar</v>
      </c>
    </row>
    <row r="20" spans="1:20">
      <c r="A20" s="29">
        <v>21512977</v>
      </c>
      <c r="B20" s="74">
        <v>2</v>
      </c>
      <c r="C20" s="74" t="s">
        <v>133</v>
      </c>
      <c r="D20" s="84" t="s">
        <v>134</v>
      </c>
      <c r="E20" s="84" t="s">
        <v>135</v>
      </c>
      <c r="F20" s="84" t="s">
        <v>136</v>
      </c>
      <c r="G20" s="44"/>
      <c r="H20" s="45" t="s">
        <v>69</v>
      </c>
      <c r="I20" s="49"/>
      <c r="J20" s="45"/>
      <c r="K20" s="47">
        <v>1</v>
      </c>
      <c r="L20" s="2">
        <v>1</v>
      </c>
      <c r="M20" s="2">
        <v>1</v>
      </c>
      <c r="N20" s="2">
        <v>1</v>
      </c>
      <c r="O20" s="2">
        <v>1</v>
      </c>
      <c r="P20" s="2">
        <v>1</v>
      </c>
      <c r="Q20" s="2">
        <v>3</v>
      </c>
      <c r="R20" s="37">
        <f t="shared" si="0"/>
        <v>9</v>
      </c>
      <c r="S20" s="77">
        <f t="shared" si="1"/>
        <v>0.28125</v>
      </c>
      <c r="T20" s="37" t="str">
        <f>IF(H20="Rendida ",IF('Resultados Individuales'!S20&lt;49.5%,"Por Mejorar",IF('Resultados Individuales'!S20&lt;64.5%,"Base",IF('Resultados Individuales'!S20&lt;84.5%,"Satisfactorio","Óptimo"))),"No rendida o no válida")</f>
        <v>Por Mejorar</v>
      </c>
    </row>
    <row r="21" spans="1:20">
      <c r="A21" s="29">
        <v>21534063</v>
      </c>
      <c r="B21" s="74">
        <v>5</v>
      </c>
      <c r="C21" s="74" t="s">
        <v>137</v>
      </c>
      <c r="D21" s="84" t="s">
        <v>138</v>
      </c>
      <c r="E21" s="84" t="s">
        <v>134</v>
      </c>
      <c r="F21" s="84" t="s">
        <v>139</v>
      </c>
      <c r="G21" s="44"/>
      <c r="H21" s="45" t="s">
        <v>69</v>
      </c>
      <c r="I21" s="49"/>
      <c r="J21" s="45"/>
      <c r="K21" s="47">
        <v>1</v>
      </c>
      <c r="L21" s="2">
        <v>1</v>
      </c>
      <c r="M21" s="2">
        <v>1</v>
      </c>
      <c r="N21" s="2">
        <v>2</v>
      </c>
      <c r="O21" s="2">
        <v>1</v>
      </c>
      <c r="P21" s="2">
        <v>3</v>
      </c>
      <c r="Q21" s="2">
        <v>3</v>
      </c>
      <c r="R21" s="37">
        <f t="shared" si="0"/>
        <v>12</v>
      </c>
      <c r="S21" s="77">
        <f t="shared" si="1"/>
        <v>0.375</v>
      </c>
      <c r="T21" s="37" t="str">
        <f>IF(H21="Rendida ",IF('Resultados Individuales'!S21&lt;49.5%,"Por Mejorar",IF('Resultados Individuales'!S21&lt;64.5%,"Base",IF('Resultados Individuales'!S21&lt;84.5%,"Satisfactorio","Óptimo"))),"No rendida o no válida")</f>
        <v>Por Mejorar</v>
      </c>
    </row>
    <row r="22" spans="1:20">
      <c r="A22" s="29">
        <v>21562971</v>
      </c>
      <c r="B22" s="74">
        <v>6</v>
      </c>
      <c r="C22" s="74" t="s">
        <v>140</v>
      </c>
      <c r="D22" s="84" t="s">
        <v>123</v>
      </c>
      <c r="E22" s="84" t="s">
        <v>141</v>
      </c>
      <c r="F22" s="84" t="s">
        <v>142</v>
      </c>
      <c r="G22" s="44"/>
      <c r="H22" s="45" t="s">
        <v>69</v>
      </c>
      <c r="I22" s="49"/>
      <c r="J22" s="45"/>
      <c r="K22" s="47">
        <v>1</v>
      </c>
      <c r="L22" s="2">
        <v>1</v>
      </c>
      <c r="M22" s="2">
        <v>1</v>
      </c>
      <c r="N22" s="2">
        <v>1</v>
      </c>
      <c r="O22" s="2">
        <v>2</v>
      </c>
      <c r="P22" s="2">
        <v>1</v>
      </c>
      <c r="Q22" s="2">
        <v>2</v>
      </c>
      <c r="R22" s="37">
        <f t="shared" si="0"/>
        <v>9</v>
      </c>
      <c r="S22" s="77">
        <f t="shared" si="1"/>
        <v>0.28125</v>
      </c>
      <c r="T22" s="37" t="str">
        <f>IF(H22="Rendida ",IF('Resultados Individuales'!S22&lt;49.5%,"Por Mejorar",IF('Resultados Individuales'!S22&lt;64.5%,"Base",IF('Resultados Individuales'!S22&lt;84.5%,"Satisfactorio","Óptimo"))),"No rendida o no válida")</f>
        <v>Por Mejorar</v>
      </c>
    </row>
    <row r="23" spans="1:20">
      <c r="A23" s="29">
        <v>21563342</v>
      </c>
      <c r="B23" s="74" t="s">
        <v>82</v>
      </c>
      <c r="C23" s="74" t="s">
        <v>143</v>
      </c>
      <c r="D23" s="84" t="s">
        <v>144</v>
      </c>
      <c r="E23" s="84" t="s">
        <v>145</v>
      </c>
      <c r="F23" s="84" t="s">
        <v>146</v>
      </c>
      <c r="G23" s="44"/>
      <c r="H23" s="45" t="s">
        <v>69</v>
      </c>
      <c r="I23" s="49"/>
      <c r="J23" s="45"/>
      <c r="K23" s="47">
        <v>1</v>
      </c>
      <c r="L23" s="2">
        <v>2</v>
      </c>
      <c r="M23" s="2">
        <v>1</v>
      </c>
      <c r="N23" s="2">
        <v>1</v>
      </c>
      <c r="O23" s="2">
        <v>2</v>
      </c>
      <c r="P23" s="2">
        <v>0</v>
      </c>
      <c r="Q23" s="2">
        <v>2</v>
      </c>
      <c r="R23" s="37">
        <f t="shared" si="0"/>
        <v>9</v>
      </c>
      <c r="S23" s="77">
        <f t="shared" si="1"/>
        <v>0.28125</v>
      </c>
      <c r="T23" s="37" t="str">
        <f>IF(H23="Rendida ",IF('Resultados Individuales'!S23&lt;49.5%,"Por Mejorar",IF('Resultados Individuales'!S23&lt;64.5%,"Base",IF('Resultados Individuales'!S23&lt;84.5%,"Satisfactorio","Óptimo"))),"No rendida o no válida")</f>
        <v>Por Mejorar</v>
      </c>
    </row>
    <row r="24" spans="1:20">
      <c r="A24" s="29">
        <v>21566470</v>
      </c>
      <c r="B24" s="74">
        <v>8</v>
      </c>
      <c r="C24" s="74" t="s">
        <v>147</v>
      </c>
      <c r="D24" s="84" t="s">
        <v>79</v>
      </c>
      <c r="E24" s="84" t="s">
        <v>148</v>
      </c>
      <c r="F24" s="84" t="s">
        <v>146</v>
      </c>
      <c r="G24" s="44"/>
      <c r="H24" s="45" t="s">
        <v>69</v>
      </c>
      <c r="I24" s="49"/>
      <c r="J24" s="45"/>
      <c r="K24" s="47">
        <v>1</v>
      </c>
      <c r="L24" s="2">
        <v>2</v>
      </c>
      <c r="M24" s="2">
        <v>0</v>
      </c>
      <c r="N24" s="2">
        <v>1</v>
      </c>
      <c r="O24" s="2">
        <v>1</v>
      </c>
      <c r="P24" s="2">
        <v>1</v>
      </c>
      <c r="Q24" s="2">
        <v>2</v>
      </c>
      <c r="R24" s="37">
        <f t="shared" si="0"/>
        <v>8</v>
      </c>
      <c r="S24" s="77">
        <f t="shared" si="1"/>
        <v>0.25</v>
      </c>
      <c r="T24" s="37" t="str">
        <f>IF(H24="Rendida ",IF('Resultados Individuales'!S24&lt;49.5%,"Por Mejorar",IF('Resultados Individuales'!S24&lt;64.5%,"Base",IF('Resultados Individuales'!S24&lt;84.5%,"Satisfactorio","Óptimo"))),"No rendida o no válida")</f>
        <v>Por Mejorar</v>
      </c>
    </row>
    <row r="25" spans="1:20">
      <c r="A25" s="29">
        <v>21574356</v>
      </c>
      <c r="B25" s="74" t="s">
        <v>82</v>
      </c>
      <c r="C25" s="74" t="s">
        <v>149</v>
      </c>
      <c r="D25" s="84" t="s">
        <v>150</v>
      </c>
      <c r="E25" s="84" t="s">
        <v>151</v>
      </c>
      <c r="F25" s="84" t="s">
        <v>152</v>
      </c>
      <c r="G25" s="41"/>
      <c r="H25" s="29" t="s">
        <v>69</v>
      </c>
      <c r="I25" s="42"/>
      <c r="J25" s="29"/>
      <c r="K25" s="43">
        <v>3</v>
      </c>
      <c r="L25" s="1">
        <v>2</v>
      </c>
      <c r="M25" s="1">
        <v>2</v>
      </c>
      <c r="N25" s="1">
        <v>2</v>
      </c>
      <c r="O25" s="1">
        <v>2</v>
      </c>
      <c r="P25" s="1">
        <v>1</v>
      </c>
      <c r="Q25" s="1">
        <v>2</v>
      </c>
      <c r="R25" s="37">
        <f t="shared" si="0"/>
        <v>14</v>
      </c>
      <c r="S25" s="77">
        <f t="shared" si="1"/>
        <v>0.4375</v>
      </c>
      <c r="T25" s="37" t="str">
        <f>IF(H25="Rendida ",IF('Resultados Individuales'!S25&lt;49.5%,"Por Mejorar",IF('Resultados Individuales'!S25&lt;64.5%,"Base",IF('Resultados Individuales'!S25&lt;84.5%,"Satisfactorio","Óptimo"))),"No rendida o no válida")</f>
        <v>Por Mejorar</v>
      </c>
    </row>
    <row r="26" spans="1:20">
      <c r="A26" s="29">
        <v>21614212</v>
      </c>
      <c r="B26" s="74">
        <v>8</v>
      </c>
      <c r="C26" s="74" t="s">
        <v>153</v>
      </c>
      <c r="D26" s="84" t="s">
        <v>154</v>
      </c>
      <c r="E26" s="84" t="s">
        <v>155</v>
      </c>
      <c r="F26" s="84" t="s">
        <v>156</v>
      </c>
      <c r="G26" s="41"/>
      <c r="H26" s="29" t="s">
        <v>69</v>
      </c>
      <c r="I26" s="42"/>
      <c r="J26" s="29"/>
      <c r="K26" s="43">
        <v>2</v>
      </c>
      <c r="L26" s="1">
        <v>2</v>
      </c>
      <c r="M26" s="1">
        <v>0</v>
      </c>
      <c r="N26" s="1">
        <v>2</v>
      </c>
      <c r="O26" s="1">
        <v>1</v>
      </c>
      <c r="P26" s="1">
        <v>1</v>
      </c>
      <c r="Q26" s="1">
        <v>2</v>
      </c>
      <c r="R26" s="37">
        <f t="shared" si="0"/>
        <v>10</v>
      </c>
      <c r="S26" s="77">
        <f t="shared" si="1"/>
        <v>0.3125</v>
      </c>
      <c r="T26" s="37" t="str">
        <f>IF(H26="Rendida ",IF('Resultados Individuales'!S26&lt;49.5%,"Por Mejorar",IF('Resultados Individuales'!S26&lt;64.5%,"Base",IF('Resultados Individuales'!S26&lt;84.5%,"Satisfactorio","Óptimo"))),"No rendida o no válida")</f>
        <v>Por Mejorar</v>
      </c>
    </row>
    <row r="27" spans="1:20">
      <c r="A27" s="29">
        <v>21620729</v>
      </c>
      <c r="B27" s="74">
        <v>7</v>
      </c>
      <c r="C27" s="74" t="s">
        <v>157</v>
      </c>
      <c r="D27" s="84" t="s">
        <v>158</v>
      </c>
      <c r="E27" s="84" t="s">
        <v>159</v>
      </c>
      <c r="F27" s="84" t="s">
        <v>160</v>
      </c>
      <c r="G27" s="44"/>
      <c r="H27" s="45" t="s">
        <v>69</v>
      </c>
      <c r="I27" s="49"/>
      <c r="J27" s="45"/>
      <c r="K27" s="47">
        <v>2</v>
      </c>
      <c r="L27" s="2">
        <v>3</v>
      </c>
      <c r="M27" s="2">
        <v>2</v>
      </c>
      <c r="N27" s="2">
        <v>2</v>
      </c>
      <c r="O27" s="2">
        <v>1</v>
      </c>
      <c r="P27" s="2">
        <v>0</v>
      </c>
      <c r="Q27" s="2">
        <v>3</v>
      </c>
      <c r="R27" s="37">
        <f t="shared" si="0"/>
        <v>13</v>
      </c>
      <c r="S27" s="77">
        <f t="shared" si="1"/>
        <v>0.40625</v>
      </c>
      <c r="T27" s="37" t="str">
        <f>IF(H27="Rendida ",IF('Resultados Individuales'!S27&lt;49.5%,"Por Mejorar",IF('Resultados Individuales'!S27&lt;64.5%,"Base",IF('Resultados Individuales'!S27&lt;84.5%,"Satisfactorio","Óptimo"))),"No rendida o no válida")</f>
        <v>Por Mejorar</v>
      </c>
    </row>
    <row r="28" spans="1:20">
      <c r="A28" s="29">
        <v>21668681</v>
      </c>
      <c r="B28" s="74">
        <v>0</v>
      </c>
      <c r="C28" s="74" t="s">
        <v>161</v>
      </c>
      <c r="D28" s="84" t="s">
        <v>162</v>
      </c>
      <c r="E28" s="84" t="s">
        <v>163</v>
      </c>
      <c r="F28" s="84" t="s">
        <v>164</v>
      </c>
      <c r="G28" s="44"/>
      <c r="H28" s="45" t="s">
        <v>69</v>
      </c>
      <c r="I28" s="49"/>
      <c r="J28" s="45"/>
      <c r="K28" s="47">
        <v>4</v>
      </c>
      <c r="L28" s="2">
        <v>3</v>
      </c>
      <c r="M28" s="2">
        <v>3</v>
      </c>
      <c r="N28" s="2">
        <v>4</v>
      </c>
      <c r="O28" s="2">
        <v>4</v>
      </c>
      <c r="P28" s="2">
        <v>4</v>
      </c>
      <c r="Q28" s="2">
        <v>4</v>
      </c>
      <c r="R28" s="37">
        <f t="shared" si="0"/>
        <v>26</v>
      </c>
      <c r="S28" s="77">
        <f t="shared" si="1"/>
        <v>0.8125</v>
      </c>
      <c r="T28" s="37" t="str">
        <f>IF(H28="Rendida ",IF('Resultados Individuales'!S28&lt;49.5%,"Por Mejorar",IF('Resultados Individuales'!S28&lt;64.5%,"Base",IF('Resultados Individuales'!S28&lt;84.5%,"Satisfactorio","Óptimo"))),"No rendida o no válida")</f>
        <v>Satisfactorio</v>
      </c>
    </row>
    <row r="29" spans="1:20">
      <c r="A29" s="29">
        <v>21693332</v>
      </c>
      <c r="B29" s="74" t="s">
        <v>82</v>
      </c>
      <c r="C29" s="74" t="s">
        <v>165</v>
      </c>
      <c r="D29" s="84" t="s">
        <v>88</v>
      </c>
      <c r="E29" s="84" t="s">
        <v>166</v>
      </c>
      <c r="F29" s="84" t="s">
        <v>167</v>
      </c>
      <c r="G29" s="44"/>
      <c r="H29" s="45" t="s">
        <v>69</v>
      </c>
      <c r="I29" s="49"/>
      <c r="J29" s="45"/>
      <c r="K29" s="47">
        <v>2</v>
      </c>
      <c r="L29" s="2">
        <v>2</v>
      </c>
      <c r="M29" s="2">
        <v>0</v>
      </c>
      <c r="N29" s="2">
        <v>3</v>
      </c>
      <c r="O29" s="2">
        <v>2</v>
      </c>
      <c r="P29" s="2">
        <v>4</v>
      </c>
      <c r="Q29" s="2">
        <v>4</v>
      </c>
      <c r="R29" s="37">
        <f t="shared" si="0"/>
        <v>17</v>
      </c>
      <c r="S29" s="77">
        <f t="shared" si="1"/>
        <v>0.53125</v>
      </c>
      <c r="T29" s="37" t="str">
        <f>IF(H29="Rendida ",IF('Resultados Individuales'!S29&lt;49.5%,"Por Mejorar",IF('Resultados Individuales'!S29&lt;64.5%,"Base",IF('Resultados Individuales'!S29&lt;84.5%,"Satisfactorio","Óptimo"))),"No rendida o no válida")</f>
        <v>Base</v>
      </c>
    </row>
    <row r="30" spans="1:20">
      <c r="A30" s="29">
        <v>21695062</v>
      </c>
      <c r="B30" s="74">
        <v>3</v>
      </c>
      <c r="C30" s="74" t="s">
        <v>168</v>
      </c>
      <c r="D30" s="84" t="s">
        <v>169</v>
      </c>
      <c r="E30" s="84" t="s">
        <v>170</v>
      </c>
      <c r="F30" s="84" t="s">
        <v>171</v>
      </c>
      <c r="G30" s="44"/>
      <c r="H30" s="45" t="s">
        <v>69</v>
      </c>
      <c r="I30" s="49"/>
      <c r="J30" s="45"/>
      <c r="K30" s="47">
        <v>3</v>
      </c>
      <c r="L30" s="2">
        <v>1</v>
      </c>
      <c r="M30" s="2">
        <v>1</v>
      </c>
      <c r="N30" s="2">
        <v>3</v>
      </c>
      <c r="O30" s="2">
        <v>1</v>
      </c>
      <c r="P30" s="2">
        <v>2</v>
      </c>
      <c r="Q30" s="2">
        <v>3</v>
      </c>
      <c r="R30" s="37">
        <f t="shared" si="0"/>
        <v>14</v>
      </c>
      <c r="S30" s="77">
        <f t="shared" si="1"/>
        <v>0.4375</v>
      </c>
      <c r="T30" s="37" t="str">
        <f>IF(H30="Rendida ",IF('Resultados Individuales'!S30&lt;49.5%,"Por Mejorar",IF('Resultados Individuales'!S30&lt;64.5%,"Base",IF('Resultados Individuales'!S30&lt;84.5%,"Satisfactorio","Óptimo"))),"No rendida o no válida")</f>
        <v>Por Mejorar</v>
      </c>
    </row>
    <row r="31" spans="1:20">
      <c r="A31" s="29">
        <v>21700932</v>
      </c>
      <c r="B31" s="74">
        <v>4</v>
      </c>
      <c r="C31" s="74" t="s">
        <v>172</v>
      </c>
      <c r="D31" s="84" t="s">
        <v>173</v>
      </c>
      <c r="E31" s="84" t="s">
        <v>174</v>
      </c>
      <c r="F31" s="84" t="s">
        <v>175</v>
      </c>
      <c r="G31" s="44"/>
      <c r="H31" s="45" t="s">
        <v>69</v>
      </c>
      <c r="I31" s="49"/>
      <c r="J31" s="45"/>
      <c r="K31" s="47">
        <v>1</v>
      </c>
      <c r="L31" s="2">
        <v>1</v>
      </c>
      <c r="M31" s="2">
        <v>1</v>
      </c>
      <c r="N31" s="2">
        <v>3</v>
      </c>
      <c r="O31" s="2">
        <v>3</v>
      </c>
      <c r="P31" s="2">
        <v>2</v>
      </c>
      <c r="Q31" s="2">
        <v>1</v>
      </c>
      <c r="R31" s="37">
        <f t="shared" si="0"/>
        <v>12</v>
      </c>
      <c r="S31" s="77">
        <f t="shared" si="1"/>
        <v>0.375</v>
      </c>
      <c r="T31" s="37" t="str">
        <f>IF(H31="Rendida ",IF('Resultados Individuales'!S31&lt;49.5%,"Por Mejorar",IF('Resultados Individuales'!S31&lt;64.5%,"Base",IF('Resultados Individuales'!S31&lt;84.5%,"Satisfactorio","Óptimo"))),"No rendida o no válida")</f>
        <v>Por Mejorar</v>
      </c>
    </row>
    <row r="32" spans="1:20">
      <c r="A32" s="29">
        <v>21760136</v>
      </c>
      <c r="B32" s="74">
        <v>3</v>
      </c>
      <c r="C32" s="74" t="s">
        <v>176</v>
      </c>
      <c r="D32" s="84" t="s">
        <v>177</v>
      </c>
      <c r="E32" s="84" t="s">
        <v>178</v>
      </c>
      <c r="F32" s="84" t="s">
        <v>179</v>
      </c>
      <c r="G32" s="44"/>
      <c r="H32" s="45" t="s">
        <v>69</v>
      </c>
      <c r="I32" s="49"/>
      <c r="J32" s="45"/>
      <c r="K32" s="47">
        <v>1</v>
      </c>
      <c r="L32" s="2">
        <v>1</v>
      </c>
      <c r="M32" s="2">
        <v>0</v>
      </c>
      <c r="N32" s="2">
        <v>2</v>
      </c>
      <c r="O32" s="2">
        <v>1</v>
      </c>
      <c r="P32" s="2">
        <v>0</v>
      </c>
      <c r="Q32" s="2">
        <v>1</v>
      </c>
      <c r="R32" s="37">
        <f t="shared" si="0"/>
        <v>6</v>
      </c>
      <c r="S32" s="77">
        <f t="shared" si="1"/>
        <v>0.1875</v>
      </c>
      <c r="T32" s="37" t="str">
        <f>IF(H32="Rendida ",IF('Resultados Individuales'!S32&lt;49.5%,"Por Mejorar",IF('Resultados Individuales'!S32&lt;64.5%,"Base",IF('Resultados Individuales'!S32&lt;84.5%,"Satisfactorio","Óptimo"))),"No rendida o no válida")</f>
        <v>Por Mejorar</v>
      </c>
    </row>
    <row r="33" spans="1:20">
      <c r="A33" s="29">
        <v>21763717</v>
      </c>
      <c r="B33" s="74">
        <v>1</v>
      </c>
      <c r="C33" s="74" t="s">
        <v>180</v>
      </c>
      <c r="D33" s="84" t="s">
        <v>181</v>
      </c>
      <c r="E33" s="84" t="s">
        <v>181</v>
      </c>
      <c r="F33" s="84" t="s">
        <v>182</v>
      </c>
      <c r="G33" s="44"/>
      <c r="H33" s="45" t="s">
        <v>69</v>
      </c>
      <c r="I33" s="49"/>
      <c r="J33" s="45"/>
      <c r="K33" s="47">
        <v>3</v>
      </c>
      <c r="L33" s="2">
        <v>4</v>
      </c>
      <c r="M33" s="2">
        <v>4</v>
      </c>
      <c r="N33" s="2">
        <v>4</v>
      </c>
      <c r="O33" s="2">
        <v>3</v>
      </c>
      <c r="P33" s="2">
        <v>2</v>
      </c>
      <c r="Q33" s="2">
        <v>2</v>
      </c>
      <c r="R33" s="37">
        <f t="shared" si="0"/>
        <v>22</v>
      </c>
      <c r="S33" s="77">
        <f t="shared" si="1"/>
        <v>0.6875</v>
      </c>
      <c r="T33" s="37" t="str">
        <f>IF(H33="Rendida ",IF('Resultados Individuales'!S33&lt;49.5%,"Por Mejorar",IF('Resultados Individuales'!S33&lt;64.5%,"Base",IF('Resultados Individuales'!S33&lt;84.5%,"Satisfactorio","Óptimo"))),"No rendida o no válida")</f>
        <v>Satisfactorio</v>
      </c>
    </row>
    <row r="34" spans="1:20">
      <c r="A34" s="29">
        <v>21785952</v>
      </c>
      <c r="B34" s="74">
        <v>2</v>
      </c>
      <c r="C34" s="74" t="s">
        <v>183</v>
      </c>
      <c r="D34" s="84" t="s">
        <v>184</v>
      </c>
      <c r="E34" s="84" t="s">
        <v>185</v>
      </c>
      <c r="F34" s="84" t="s">
        <v>186</v>
      </c>
      <c r="G34" s="44"/>
      <c r="H34" s="45" t="s">
        <v>69</v>
      </c>
      <c r="I34" s="49"/>
      <c r="J34" s="45"/>
      <c r="K34" s="47">
        <v>1</v>
      </c>
      <c r="L34" s="2">
        <v>1</v>
      </c>
      <c r="M34" s="2">
        <v>1</v>
      </c>
      <c r="N34" s="2">
        <v>3</v>
      </c>
      <c r="O34" s="2">
        <v>1</v>
      </c>
      <c r="P34" s="2">
        <v>2</v>
      </c>
      <c r="Q34" s="2">
        <v>1</v>
      </c>
      <c r="R34" s="37">
        <f t="shared" si="0"/>
        <v>10</v>
      </c>
      <c r="S34" s="77">
        <f t="shared" si="1"/>
        <v>0.3125</v>
      </c>
      <c r="T34" s="37" t="str">
        <f>IF(H34="Rendida ",IF('Resultados Individuales'!S34&lt;49.5%,"Por Mejorar",IF('Resultados Individuales'!S34&lt;64.5%,"Base",IF('Resultados Individuales'!S34&lt;84.5%,"Satisfactorio","Óptimo"))),"No rendida o no válida")</f>
        <v>Por Mejorar</v>
      </c>
    </row>
    <row r="35" spans="1:20">
      <c r="A35" s="29">
        <v>21825263</v>
      </c>
      <c r="B35" s="74" t="s">
        <v>82</v>
      </c>
      <c r="C35" s="74" t="s">
        <v>187</v>
      </c>
      <c r="D35" s="84" t="s">
        <v>188</v>
      </c>
      <c r="E35" s="84" t="s">
        <v>98</v>
      </c>
      <c r="F35" s="84" t="s">
        <v>189</v>
      </c>
      <c r="G35" s="44"/>
      <c r="H35" s="45" t="s">
        <v>69</v>
      </c>
      <c r="I35" s="49"/>
      <c r="J35" s="45"/>
      <c r="K35" s="47">
        <v>2</v>
      </c>
      <c r="L35" s="2">
        <v>3</v>
      </c>
      <c r="M35" s="2">
        <v>1</v>
      </c>
      <c r="N35" s="2">
        <v>1</v>
      </c>
      <c r="O35" s="2">
        <v>2</v>
      </c>
      <c r="P35" s="2">
        <v>1</v>
      </c>
      <c r="Q35" s="2">
        <v>2</v>
      </c>
      <c r="R35" s="37">
        <f t="shared" si="0"/>
        <v>12</v>
      </c>
      <c r="S35" s="77">
        <f t="shared" si="1"/>
        <v>0.375</v>
      </c>
      <c r="T35" s="37" t="str">
        <f>IF(H35="Rendida ",IF('Resultados Individuales'!S35&lt;49.5%,"Por Mejorar",IF('Resultados Individuales'!S35&lt;64.5%,"Base",IF('Resultados Individuales'!S35&lt;84.5%,"Satisfactorio","Óptimo"))),"No rendida o no válida")</f>
        <v>Por Mejorar</v>
      </c>
    </row>
    <row r="36" spans="1:20">
      <c r="A36" s="29">
        <v>21831147</v>
      </c>
      <c r="B36" s="74">
        <v>4</v>
      </c>
      <c r="C36" s="74" t="s">
        <v>190</v>
      </c>
      <c r="D36" s="84" t="s">
        <v>191</v>
      </c>
      <c r="E36" s="84" t="s">
        <v>192</v>
      </c>
      <c r="F36" s="84" t="s">
        <v>193</v>
      </c>
      <c r="G36" s="44"/>
      <c r="H36" s="45" t="s">
        <v>69</v>
      </c>
      <c r="I36" s="49"/>
      <c r="J36" s="45"/>
      <c r="K36" s="47">
        <v>3</v>
      </c>
      <c r="L36" s="2">
        <v>4</v>
      </c>
      <c r="M36" s="2">
        <v>2</v>
      </c>
      <c r="N36" s="2">
        <v>3</v>
      </c>
      <c r="O36" s="2">
        <v>1</v>
      </c>
      <c r="P36" s="2">
        <v>2</v>
      </c>
      <c r="Q36" s="2">
        <v>2</v>
      </c>
      <c r="R36" s="37">
        <f t="shared" si="0"/>
        <v>17</v>
      </c>
      <c r="S36" s="77">
        <f t="shared" si="1"/>
        <v>0.53125</v>
      </c>
      <c r="T36" s="37" t="str">
        <f>IF(H36="Rendida ",IF('Resultados Individuales'!S36&lt;49.5%,"Por Mejorar",IF('Resultados Individuales'!S36&lt;64.5%,"Base",IF('Resultados Individuales'!S36&lt;84.5%,"Satisfactorio","Óptimo"))),"No rendida o no válida")</f>
        <v>Base</v>
      </c>
    </row>
    <row r="37" spans="1:20">
      <c r="A37" s="29">
        <v>21860359</v>
      </c>
      <c r="B37" s="74">
        <v>9</v>
      </c>
      <c r="C37" s="74" t="s">
        <v>194</v>
      </c>
      <c r="D37" s="84" t="s">
        <v>195</v>
      </c>
      <c r="E37" s="84" t="s">
        <v>196</v>
      </c>
      <c r="F37" s="84" t="s">
        <v>197</v>
      </c>
      <c r="G37" s="44"/>
      <c r="H37" s="45" t="s">
        <v>69</v>
      </c>
      <c r="I37" s="49"/>
      <c r="J37" s="45"/>
      <c r="K37" s="47">
        <v>1</v>
      </c>
      <c r="L37" s="2">
        <v>1</v>
      </c>
      <c r="M37" s="2">
        <v>0</v>
      </c>
      <c r="N37" s="2">
        <v>1</v>
      </c>
      <c r="O37" s="2">
        <v>1</v>
      </c>
      <c r="P37" s="2">
        <v>1</v>
      </c>
      <c r="Q37" s="2">
        <v>2</v>
      </c>
      <c r="R37" s="37">
        <f t="shared" si="0"/>
        <v>7</v>
      </c>
      <c r="S37" s="77">
        <f t="shared" si="1"/>
        <v>0.21875</v>
      </c>
      <c r="T37" s="37" t="str">
        <f>IF(H37="Rendida ",IF('Resultados Individuales'!S37&lt;49.5%,"Por Mejorar",IF('Resultados Individuales'!S37&lt;64.5%,"Base",IF('Resultados Individuales'!S37&lt;84.5%,"Satisfactorio","Óptimo"))),"No rendida o no válida")</f>
        <v>Por Mejorar</v>
      </c>
    </row>
    <row r="38" spans="1:20">
      <c r="A38" s="29"/>
      <c r="B38" s="74"/>
      <c r="C38" s="74"/>
      <c r="D38" s="73"/>
      <c r="E38" s="73"/>
      <c r="F38" s="73"/>
      <c r="G38" s="44"/>
      <c r="H38" s="45"/>
      <c r="I38" s="49"/>
      <c r="J38" s="45"/>
      <c r="K38" s="47"/>
      <c r="L38" s="2"/>
      <c r="M38" s="2"/>
      <c r="N38" s="2"/>
      <c r="O38" s="2"/>
      <c r="P38" s="2"/>
      <c r="Q38" s="2"/>
      <c r="R38" s="37">
        <f t="shared" si="0"/>
        <v>0</v>
      </c>
      <c r="S38" s="77">
        <f t="shared" si="1"/>
        <v>0</v>
      </c>
      <c r="T38" s="37" t="str">
        <f>IF(H38="Rendida ",IF('Resultados Individuales'!S38&lt;49.5%,"Por Mejorar",IF('Resultados Individuales'!S38&lt;64.5%,"Base",IF('Resultados Individuales'!S38&lt;84.5%,"Satisfactorio","Óptimo"))),"No rendida o no válida")</f>
        <v>No rendida o no válida</v>
      </c>
    </row>
    <row r="39" spans="1:20">
      <c r="A39" s="29"/>
      <c r="B39" s="74"/>
      <c r="C39" s="74"/>
      <c r="D39" s="73"/>
      <c r="E39" s="73"/>
      <c r="F39" s="73"/>
      <c r="G39" s="44"/>
      <c r="H39" s="45"/>
      <c r="I39" s="49"/>
      <c r="J39" s="45"/>
      <c r="K39" s="47"/>
      <c r="L39" s="2"/>
      <c r="M39" s="2"/>
      <c r="N39" s="2"/>
      <c r="O39" s="2"/>
      <c r="P39" s="2"/>
      <c r="Q39" s="2"/>
      <c r="R39" s="37">
        <f t="shared" si="0"/>
        <v>0</v>
      </c>
      <c r="S39" s="77">
        <f t="shared" si="1"/>
        <v>0</v>
      </c>
      <c r="T39" s="37" t="str">
        <f>IF(H39="Rendida ",IF('Resultados Individuales'!S39&lt;49.5%,"Por Mejorar",IF('Resultados Individuales'!S39&lt;64.5%,"Base",IF('Resultados Individuales'!S39&lt;84.5%,"Satisfactorio","Óptimo"))),"No rendida o no válida")</f>
        <v>No rendida o no válida</v>
      </c>
    </row>
    <row r="40" spans="1:20">
      <c r="A40" s="29"/>
      <c r="B40" s="74"/>
      <c r="C40" s="74"/>
      <c r="D40" s="73"/>
      <c r="E40" s="73"/>
      <c r="F40" s="73"/>
      <c r="G40" s="41"/>
      <c r="H40" s="29"/>
      <c r="I40" s="42"/>
      <c r="J40" s="29"/>
      <c r="K40" s="43"/>
      <c r="L40" s="1"/>
      <c r="M40" s="1"/>
      <c r="N40" s="1"/>
      <c r="O40" s="1"/>
      <c r="P40" s="1"/>
      <c r="Q40" s="1"/>
      <c r="R40" s="37">
        <f t="shared" si="0"/>
        <v>0</v>
      </c>
      <c r="S40" s="77">
        <f t="shared" si="1"/>
        <v>0</v>
      </c>
      <c r="T40" s="37" t="str">
        <f>IF(H40="Rendida ",IF('Resultados Individuales'!S40&lt;49.5%,"Por Mejorar",IF('Resultados Individuales'!S40&lt;64.5%,"Base",IF('Resultados Individuales'!S40&lt;84.5%,"Satisfactorio","Óptimo"))),"No rendida o no válida")</f>
        <v>No rendida o no válida</v>
      </c>
    </row>
    <row r="41" spans="1:20">
      <c r="A41" s="29"/>
      <c r="B41" s="74"/>
      <c r="C41" s="74"/>
      <c r="D41" s="73"/>
      <c r="E41" s="73"/>
      <c r="F41" s="73"/>
      <c r="G41" s="44"/>
      <c r="H41" s="45"/>
      <c r="I41" s="49"/>
      <c r="J41" s="45"/>
      <c r="K41" s="47"/>
      <c r="L41" s="2"/>
      <c r="M41" s="2"/>
      <c r="N41" s="2"/>
      <c r="O41" s="2"/>
      <c r="P41" s="2"/>
      <c r="Q41" s="2"/>
      <c r="R41" s="37">
        <f t="shared" si="0"/>
        <v>0</v>
      </c>
      <c r="S41" s="77">
        <f t="shared" si="1"/>
        <v>0</v>
      </c>
      <c r="T41" s="37" t="str">
        <f>IF(H41="Rendida ",IF('Resultados Individuales'!S41&lt;49.5%,"Por Mejorar",IF('Resultados Individuales'!S41&lt;64.5%,"Base",IF('Resultados Individuales'!S41&lt;84.5%,"Satisfactorio","Óptimo"))),"No rendida o no válida")</f>
        <v>No rendida o no válida</v>
      </c>
    </row>
    <row r="42" spans="1:20">
      <c r="A42" s="29"/>
      <c r="B42" s="74"/>
      <c r="C42" s="74"/>
      <c r="D42" s="73"/>
      <c r="E42" s="73"/>
      <c r="F42" s="73"/>
      <c r="G42" s="44"/>
      <c r="H42" s="45"/>
      <c r="I42" s="49"/>
      <c r="J42" s="45"/>
      <c r="K42" s="47"/>
      <c r="L42" s="2"/>
      <c r="M42" s="2"/>
      <c r="N42" s="2"/>
      <c r="O42" s="2"/>
      <c r="P42" s="2"/>
      <c r="Q42" s="2"/>
      <c r="R42" s="37">
        <f t="shared" si="0"/>
        <v>0</v>
      </c>
      <c r="S42" s="77">
        <f t="shared" si="1"/>
        <v>0</v>
      </c>
      <c r="T42" s="37" t="str">
        <f>IF(H42="Rendida ",IF('Resultados Individuales'!S42&lt;49.5%,"Por Mejorar",IF('Resultados Individuales'!S42&lt;64.5%,"Base",IF('Resultados Individuales'!S42&lt;84.5%,"Satisfactorio","Óptimo"))),"No rendida o no válida")</f>
        <v>No rendida o no válida</v>
      </c>
    </row>
    <row r="43" spans="1:20">
      <c r="A43" s="29"/>
      <c r="B43" s="74"/>
      <c r="C43" s="74"/>
      <c r="D43" s="73"/>
      <c r="E43" s="73"/>
      <c r="F43" s="73"/>
      <c r="G43" s="44"/>
      <c r="H43" s="45"/>
      <c r="I43" s="49"/>
      <c r="J43" s="45"/>
      <c r="K43" s="47"/>
      <c r="L43" s="2"/>
      <c r="M43" s="2"/>
      <c r="N43" s="2"/>
      <c r="O43" s="2"/>
      <c r="P43" s="2"/>
      <c r="Q43" s="2"/>
      <c r="R43" s="37">
        <f t="shared" si="0"/>
        <v>0</v>
      </c>
      <c r="S43" s="77">
        <f t="shared" si="1"/>
        <v>0</v>
      </c>
      <c r="T43" s="37" t="str">
        <f>IF(H43="Rendida ",IF('Resultados Individuales'!S43&lt;49.5%,"Por Mejorar",IF('Resultados Individuales'!S43&lt;64.5%,"Base",IF('Resultados Individuales'!S43&lt;84.5%,"Satisfactorio","Óptimo"))),"No rendida o no válida")</f>
        <v>No rendida o no válida</v>
      </c>
    </row>
    <row r="44" spans="1:20">
      <c r="A44" s="29"/>
      <c r="B44" s="74"/>
      <c r="C44" s="74"/>
      <c r="D44" s="73"/>
      <c r="E44" s="73"/>
      <c r="F44" s="73"/>
      <c r="G44" s="44"/>
      <c r="H44" s="45"/>
      <c r="I44" s="49"/>
      <c r="J44" s="45"/>
      <c r="K44" s="47"/>
      <c r="L44" s="2"/>
      <c r="M44" s="2"/>
      <c r="N44" s="2"/>
      <c r="O44" s="2"/>
      <c r="P44" s="2"/>
      <c r="Q44" s="2"/>
      <c r="R44" s="37">
        <f t="shared" si="0"/>
        <v>0</v>
      </c>
      <c r="S44" s="77">
        <f t="shared" si="1"/>
        <v>0</v>
      </c>
      <c r="T44" s="37" t="str">
        <f>IF(H44="Rendida ",IF('Resultados Individuales'!S44&lt;49.5%,"Por Mejorar",IF('Resultados Individuales'!S44&lt;64.5%,"Base",IF('Resultados Individuales'!S44&lt;84.5%,"Satisfactorio","Óptimo"))),"No rendida o no válida")</f>
        <v>No rendida o no válida</v>
      </c>
    </row>
    <row r="45" spans="1:20">
      <c r="A45" s="29"/>
      <c r="B45" s="74"/>
      <c r="C45" s="74"/>
      <c r="D45" s="73"/>
      <c r="E45" s="73"/>
      <c r="F45" s="73"/>
      <c r="G45" s="44"/>
      <c r="H45" s="45"/>
      <c r="I45" s="49"/>
      <c r="J45" s="45"/>
      <c r="K45" s="47"/>
      <c r="L45" s="2"/>
      <c r="M45" s="2"/>
      <c r="N45" s="2"/>
      <c r="O45" s="2"/>
      <c r="P45" s="2"/>
      <c r="Q45" s="2"/>
      <c r="R45" s="37">
        <f t="shared" si="0"/>
        <v>0</v>
      </c>
      <c r="S45" s="77">
        <f t="shared" si="1"/>
        <v>0</v>
      </c>
      <c r="T45" s="37" t="str">
        <f>IF(H45="Rendida ",IF('Resultados Individuales'!S45&lt;49.5%,"Por Mejorar",IF('Resultados Individuales'!S45&lt;64.5%,"Base",IF('Resultados Individuales'!S45&lt;84.5%,"Satisfactorio","Óptimo"))),"No rendida o no válida")</f>
        <v>No rendida o no válida</v>
      </c>
    </row>
    <row r="46" spans="1:20">
      <c r="A46" s="29"/>
      <c r="B46" s="74"/>
      <c r="C46" s="74"/>
      <c r="D46" s="73"/>
      <c r="E46" s="73"/>
      <c r="F46" s="73"/>
      <c r="G46" s="44"/>
      <c r="H46" s="45"/>
      <c r="I46" s="49"/>
      <c r="J46" s="45"/>
      <c r="K46" s="47"/>
      <c r="L46" s="2"/>
      <c r="M46" s="2"/>
      <c r="N46" s="2"/>
      <c r="O46" s="2"/>
      <c r="P46" s="2"/>
      <c r="Q46" s="2"/>
      <c r="R46" s="37">
        <f t="shared" si="0"/>
        <v>0</v>
      </c>
      <c r="S46" s="77">
        <f t="shared" si="1"/>
        <v>0</v>
      </c>
      <c r="T46" s="37" t="str">
        <f>IF(H46="Rendida ",IF('Resultados Individuales'!S46&lt;49.5%,"Por Mejorar",IF('Resultados Individuales'!S46&lt;64.5%,"Base",IF('Resultados Individuales'!S46&lt;84.5%,"Satisfactorio","Óptimo"))),"No rendida o no válida")</f>
        <v>No rendida o no válida</v>
      </c>
    </row>
    <row r="47" spans="1:20">
      <c r="A47" s="29"/>
      <c r="B47" s="74"/>
      <c r="C47" s="74"/>
      <c r="D47" s="73"/>
      <c r="E47" s="73"/>
      <c r="F47" s="73"/>
      <c r="G47" s="44"/>
      <c r="H47" s="45"/>
      <c r="I47" s="49"/>
      <c r="J47" s="45"/>
      <c r="K47" s="47"/>
      <c r="L47" s="2"/>
      <c r="M47" s="2"/>
      <c r="N47" s="2"/>
      <c r="O47" s="2"/>
      <c r="P47" s="2"/>
      <c r="Q47" s="2"/>
      <c r="R47" s="37">
        <f t="shared" si="0"/>
        <v>0</v>
      </c>
      <c r="S47" s="77">
        <f t="shared" si="1"/>
        <v>0</v>
      </c>
      <c r="T47" s="37" t="str">
        <f>IF(H47="Rendida ",IF('Resultados Individuales'!S47&lt;49.5%,"Por Mejorar",IF('Resultados Individuales'!S47&lt;64.5%,"Base",IF('Resultados Individuales'!S47&lt;84.5%,"Satisfactorio","Óptimo"))),"No rendida o no válida")</f>
        <v>No rendida o no válida</v>
      </c>
    </row>
    <row r="48" spans="1:20">
      <c r="A48" s="29"/>
      <c r="B48" s="74"/>
      <c r="C48" s="74"/>
      <c r="D48" s="73"/>
      <c r="E48" s="73"/>
      <c r="F48" s="73"/>
      <c r="G48" s="41"/>
      <c r="H48" s="29"/>
      <c r="I48" s="42"/>
      <c r="J48" s="29"/>
      <c r="K48" s="43"/>
      <c r="L48" s="1"/>
      <c r="M48" s="1"/>
      <c r="N48" s="1"/>
      <c r="O48" s="1"/>
      <c r="P48" s="1"/>
      <c r="Q48" s="1"/>
      <c r="R48" s="37">
        <f t="shared" si="0"/>
        <v>0</v>
      </c>
      <c r="S48" s="77">
        <f t="shared" si="1"/>
        <v>0</v>
      </c>
      <c r="T48" s="37" t="str">
        <f>IF(H48="Rendida ",IF('Resultados Individuales'!S48&lt;49.5%,"Por Mejorar",IF('Resultados Individuales'!S48&lt;64.5%,"Base",IF('Resultados Individuales'!S48&lt;84.5%,"Satisfactorio","Óptimo"))),"No rendida o no válida")</f>
        <v>No rendida o no válida</v>
      </c>
    </row>
    <row r="49" spans="1:20">
      <c r="A49" s="29"/>
      <c r="B49" s="74"/>
      <c r="C49" s="74"/>
      <c r="D49" s="73"/>
      <c r="E49" s="73"/>
      <c r="F49" s="73"/>
      <c r="G49" s="44"/>
      <c r="H49" s="45"/>
      <c r="I49" s="49"/>
      <c r="J49" s="45"/>
      <c r="K49" s="47"/>
      <c r="L49" s="2"/>
      <c r="M49" s="2"/>
      <c r="N49" s="2"/>
      <c r="O49" s="2"/>
      <c r="P49" s="2"/>
      <c r="Q49" s="2"/>
      <c r="R49" s="37">
        <f t="shared" si="0"/>
        <v>0</v>
      </c>
      <c r="S49" s="77">
        <f t="shared" si="1"/>
        <v>0</v>
      </c>
      <c r="T49" s="37" t="str">
        <f>IF(H49="Rendida ",IF('Resultados Individuales'!S49&lt;49.5%,"Por Mejorar",IF('Resultados Individuales'!S49&lt;64.5%,"Base",IF('Resultados Individuales'!S49&lt;84.5%,"Satisfactorio","Óptimo"))),"No rendida o no válida")</f>
        <v>No rendida o no válida</v>
      </c>
    </row>
    <row r="50" spans="1:20">
      <c r="A50" s="29"/>
      <c r="B50" s="74"/>
      <c r="C50" s="74"/>
      <c r="D50" s="73"/>
      <c r="E50" s="73"/>
      <c r="F50" s="73"/>
      <c r="G50" s="44"/>
      <c r="H50" s="45"/>
      <c r="I50" s="49"/>
      <c r="J50" s="45"/>
      <c r="K50" s="47"/>
      <c r="L50" s="2"/>
      <c r="M50" s="2"/>
      <c r="N50" s="2"/>
      <c r="O50" s="2"/>
      <c r="P50" s="2"/>
      <c r="Q50" s="2"/>
      <c r="R50" s="37">
        <f t="shared" si="0"/>
        <v>0</v>
      </c>
      <c r="S50" s="77">
        <f t="shared" si="1"/>
        <v>0</v>
      </c>
      <c r="T50" s="37" t="str">
        <f>IF(H50="Rendida ",IF('Resultados Individuales'!S50&lt;49.5%,"Por Mejorar",IF('Resultados Individuales'!S50&lt;64.5%,"Base",IF('Resultados Individuales'!S50&lt;84.5%,"Satisfactorio","Óptimo"))),"No rendida o no válida")</f>
        <v>No rendida o no válida</v>
      </c>
    </row>
    <row r="51" spans="1:20">
      <c r="A51" s="29"/>
      <c r="B51" s="74"/>
      <c r="C51" s="74"/>
      <c r="D51" s="73"/>
      <c r="E51" s="73"/>
      <c r="F51" s="73"/>
      <c r="G51" s="44"/>
      <c r="H51" s="45"/>
      <c r="I51" s="49"/>
      <c r="J51" s="45"/>
      <c r="K51" s="47"/>
      <c r="L51" s="2"/>
      <c r="M51" s="2"/>
      <c r="N51" s="2"/>
      <c r="O51" s="2"/>
      <c r="P51" s="2"/>
      <c r="Q51" s="2"/>
      <c r="R51" s="37">
        <f t="shared" si="0"/>
        <v>0</v>
      </c>
      <c r="S51" s="77">
        <f t="shared" si="1"/>
        <v>0</v>
      </c>
      <c r="T51" s="37" t="str">
        <f>IF(H51="Rendida ",IF('Resultados Individuales'!S51&lt;49.5%,"Por Mejorar",IF('Resultados Individuales'!S51&lt;64.5%,"Base",IF('Resultados Individuales'!S51&lt;84.5%,"Satisfactorio","Óptimo"))),"No rendida o no válida")</f>
        <v>No rendida o no válida</v>
      </c>
    </row>
    <row r="52" spans="1:20">
      <c r="A52" s="29"/>
      <c r="B52" s="74"/>
      <c r="C52" s="74"/>
      <c r="D52" s="73"/>
      <c r="E52" s="73"/>
      <c r="F52" s="73"/>
      <c r="G52" s="44"/>
      <c r="H52" s="45"/>
      <c r="I52" s="49"/>
      <c r="J52" s="45"/>
      <c r="K52" s="47"/>
      <c r="L52" s="2"/>
      <c r="M52" s="2"/>
      <c r="N52" s="2"/>
      <c r="O52" s="2"/>
      <c r="P52" s="2"/>
      <c r="Q52" s="2"/>
      <c r="R52" s="37">
        <f t="shared" si="0"/>
        <v>0</v>
      </c>
      <c r="S52" s="77">
        <f t="shared" si="1"/>
        <v>0</v>
      </c>
      <c r="T52" s="37" t="str">
        <f>IF(H52="Rendida ",IF('Resultados Individuales'!S52&lt;49.5%,"Por Mejorar",IF('Resultados Individuales'!S52&lt;64.5%,"Base",IF('Resultados Individuales'!S52&lt;84.5%,"Satisfactorio","Óptimo"))),"No rendida o no válida")</f>
        <v>No rendida o no válida</v>
      </c>
    </row>
    <row r="53" spans="1:20">
      <c r="A53" s="29"/>
      <c r="B53" s="74"/>
      <c r="C53" s="74"/>
      <c r="D53" s="73"/>
      <c r="E53" s="73"/>
      <c r="F53" s="73"/>
      <c r="G53" s="44"/>
      <c r="H53" s="45"/>
      <c r="I53" s="49"/>
      <c r="J53" s="45"/>
      <c r="K53" s="47"/>
      <c r="L53" s="2"/>
      <c r="M53" s="2"/>
      <c r="N53" s="2"/>
      <c r="O53" s="2"/>
      <c r="P53" s="2"/>
      <c r="Q53" s="2"/>
      <c r="R53" s="37">
        <f t="shared" si="0"/>
        <v>0</v>
      </c>
      <c r="S53" s="77">
        <f t="shared" si="1"/>
        <v>0</v>
      </c>
      <c r="T53" s="37" t="str">
        <f>IF(H53="Rendida ",IF('Resultados Individuales'!S53&lt;49.5%,"Por Mejorar",IF('Resultados Individuales'!S53&lt;64.5%,"Base",IF('Resultados Individuales'!S53&lt;84.5%,"Satisfactorio","Óptimo"))),"No rendida o no válida")</f>
        <v>No rendida o no válida</v>
      </c>
    </row>
    <row r="54" spans="1:20">
      <c r="A54" s="29"/>
      <c r="B54" s="74"/>
      <c r="C54" s="74"/>
      <c r="D54" s="73"/>
      <c r="E54" s="73"/>
      <c r="F54" s="73"/>
      <c r="G54" s="44"/>
      <c r="H54" s="45"/>
      <c r="I54" s="49"/>
      <c r="J54" s="45"/>
      <c r="K54" s="47"/>
      <c r="L54" s="2"/>
      <c r="M54" s="2"/>
      <c r="N54" s="2"/>
      <c r="O54" s="2"/>
      <c r="P54" s="2"/>
      <c r="Q54" s="2"/>
      <c r="R54" s="37">
        <f t="shared" si="0"/>
        <v>0</v>
      </c>
      <c r="S54" s="77">
        <f t="shared" si="1"/>
        <v>0</v>
      </c>
      <c r="T54" s="37" t="str">
        <f>IF(H54="Rendida ",IF('Resultados Individuales'!S54&lt;49.5%,"Por Mejorar",IF('Resultados Individuales'!S54&lt;64.5%,"Base",IF('Resultados Individuales'!S54&lt;84.5%,"Satisfactorio","Óptimo"))),"No rendida o no válida")</f>
        <v>No rendida o no válida</v>
      </c>
    </row>
    <row r="55" spans="1:20">
      <c r="A55" s="29"/>
      <c r="B55" s="74"/>
      <c r="C55" s="74"/>
      <c r="D55" s="73"/>
      <c r="E55" s="73"/>
      <c r="F55" s="73"/>
      <c r="G55" s="41"/>
      <c r="H55" s="29"/>
      <c r="I55" s="42"/>
      <c r="J55" s="29"/>
      <c r="K55" s="43"/>
      <c r="L55" s="1"/>
      <c r="M55" s="1"/>
      <c r="N55" s="1"/>
      <c r="O55" s="1"/>
      <c r="P55" s="1"/>
      <c r="Q55" s="1"/>
      <c r="R55" s="37">
        <f t="shared" si="0"/>
        <v>0</v>
      </c>
      <c r="S55" s="77">
        <f t="shared" si="1"/>
        <v>0</v>
      </c>
      <c r="T55" s="37" t="str">
        <f>IF(H55="Rendida ",IF('Resultados Individuales'!S55&lt;49.5%,"Por Mejorar",IF('Resultados Individuales'!S55&lt;64.5%,"Base",IF('Resultados Individuales'!S55&lt;84.5%,"Satisfactorio","Óptimo"))),"No rendida o no válida")</f>
        <v>No rendida o no válida</v>
      </c>
    </row>
    <row r="56" spans="1:20">
      <c r="A56" s="29"/>
      <c r="B56" s="74"/>
      <c r="C56" s="74"/>
      <c r="D56" s="73"/>
      <c r="E56" s="73"/>
      <c r="F56" s="73"/>
      <c r="G56" s="41"/>
      <c r="H56" s="29"/>
      <c r="I56" s="42"/>
      <c r="J56" s="29"/>
      <c r="K56" s="43"/>
      <c r="L56" s="1"/>
      <c r="M56" s="1"/>
      <c r="N56" s="1"/>
      <c r="O56" s="1"/>
      <c r="P56" s="1"/>
      <c r="Q56" s="1"/>
      <c r="R56" s="37">
        <f t="shared" si="0"/>
        <v>0</v>
      </c>
      <c r="S56" s="77">
        <f t="shared" si="1"/>
        <v>0</v>
      </c>
      <c r="T56" s="37" t="str">
        <f>IF(H56="Rendida ",IF('Resultados Individuales'!S56&lt;49.5%,"Por Mejorar",IF('Resultados Individuales'!S56&lt;64.5%,"Base",IF('Resultados Individuales'!S56&lt;84.5%,"Satisfactorio","Óptimo"))),"No rendida o no válida")</f>
        <v>No rendida o no válida</v>
      </c>
    </row>
    <row r="57" spans="1:20">
      <c r="A57" s="29"/>
      <c r="B57" s="74"/>
      <c r="C57" s="74"/>
      <c r="D57" s="73"/>
      <c r="E57" s="73"/>
      <c r="F57" s="73"/>
      <c r="G57" s="44"/>
      <c r="H57" s="45"/>
      <c r="I57" s="49"/>
      <c r="J57" s="45"/>
      <c r="K57" s="47"/>
      <c r="L57" s="2"/>
      <c r="M57" s="2"/>
      <c r="N57" s="2"/>
      <c r="O57" s="2"/>
      <c r="P57" s="2"/>
      <c r="Q57" s="2"/>
      <c r="R57" s="37">
        <f t="shared" si="0"/>
        <v>0</v>
      </c>
      <c r="S57" s="77">
        <f t="shared" si="1"/>
        <v>0</v>
      </c>
      <c r="T57" s="37" t="str">
        <f>IF(H57="Rendida ",IF('Resultados Individuales'!S57&lt;49.5%,"Por Mejorar",IF('Resultados Individuales'!S57&lt;64.5%,"Base",IF('Resultados Individuales'!S57&lt;84.5%,"Satisfactorio","Óptimo"))),"No rendida o no válida")</f>
        <v>No rendida o no válida</v>
      </c>
    </row>
    <row r="58" spans="1:20">
      <c r="A58" s="29"/>
      <c r="B58" s="74"/>
      <c r="C58" s="74"/>
      <c r="D58" s="73"/>
      <c r="E58" s="73"/>
      <c r="F58" s="73"/>
      <c r="G58" s="44"/>
      <c r="H58" s="45"/>
      <c r="I58" s="49"/>
      <c r="J58" s="45"/>
      <c r="K58" s="47"/>
      <c r="L58" s="2"/>
      <c r="M58" s="2"/>
      <c r="N58" s="2"/>
      <c r="O58" s="2"/>
      <c r="P58" s="2"/>
      <c r="Q58" s="2"/>
      <c r="R58" s="37">
        <f t="shared" si="0"/>
        <v>0</v>
      </c>
      <c r="S58" s="77">
        <f t="shared" si="1"/>
        <v>0</v>
      </c>
      <c r="T58" s="37" t="str">
        <f>IF(H58="Rendida ",IF('Resultados Individuales'!S58&lt;49.5%,"Por Mejorar",IF('Resultados Individuales'!S58&lt;64.5%,"Base",IF('Resultados Individuales'!S58&lt;84.5%,"Satisfactorio","Óptimo"))),"No rendida o no válida")</f>
        <v>No rendida o no válida</v>
      </c>
    </row>
    <row r="59" spans="1:20">
      <c r="A59" s="29"/>
      <c r="B59" s="74"/>
      <c r="C59" s="74"/>
      <c r="D59" s="73"/>
      <c r="E59" s="73"/>
      <c r="F59" s="73"/>
      <c r="G59" s="44"/>
      <c r="H59" s="45"/>
      <c r="I59" s="49"/>
      <c r="J59" s="45"/>
      <c r="K59" s="47"/>
      <c r="L59" s="2"/>
      <c r="M59" s="2"/>
      <c r="N59" s="2"/>
      <c r="O59" s="2"/>
      <c r="P59" s="2"/>
      <c r="Q59" s="2"/>
      <c r="R59" s="37">
        <f t="shared" si="0"/>
        <v>0</v>
      </c>
      <c r="S59" s="77">
        <f t="shared" si="1"/>
        <v>0</v>
      </c>
      <c r="T59" s="37" t="str">
        <f>IF(H59="Rendida ",IF('Resultados Individuales'!S59&lt;49.5%,"Por Mejorar",IF('Resultados Individuales'!S59&lt;64.5%,"Base",IF('Resultados Individuales'!S59&lt;84.5%,"Satisfactorio","Óptimo"))),"No rendida o no válida")</f>
        <v>No rendida o no válida</v>
      </c>
    </row>
    <row r="60" spans="1:20">
      <c r="A60" s="29"/>
      <c r="B60" s="74"/>
      <c r="C60" s="74"/>
      <c r="D60" s="73"/>
      <c r="E60" s="73"/>
      <c r="F60" s="73"/>
      <c r="G60" s="44"/>
      <c r="H60" s="29"/>
      <c r="I60" s="42"/>
      <c r="J60" s="45"/>
      <c r="K60" s="47"/>
      <c r="L60" s="2"/>
      <c r="M60" s="2"/>
      <c r="N60" s="2"/>
      <c r="O60" s="2"/>
      <c r="P60" s="2"/>
      <c r="Q60" s="2"/>
      <c r="R60" s="37">
        <f t="shared" si="0"/>
        <v>0</v>
      </c>
      <c r="S60" s="77">
        <f t="shared" si="1"/>
        <v>0</v>
      </c>
      <c r="T60" s="37" t="str">
        <f>IF(H60="Rendida ",IF('Resultados Individuales'!S60&lt;49.5%,"Por Mejorar",IF('Resultados Individuales'!S60&lt;64.5%,"Base",IF('Resultados Individuales'!S60&lt;84.5%,"Satisfactorio","Óptimo"))),"No rendida o no válida")</f>
        <v>No rendida o no válida</v>
      </c>
    </row>
    <row r="61" spans="1:20">
      <c r="A61" s="29"/>
      <c r="B61" s="74"/>
      <c r="C61" s="74"/>
      <c r="D61" s="73"/>
      <c r="E61" s="73"/>
      <c r="F61" s="73"/>
      <c r="G61" s="44"/>
      <c r="H61" s="45"/>
      <c r="I61" s="49"/>
      <c r="J61" s="45"/>
      <c r="K61" s="47"/>
      <c r="L61" s="2"/>
      <c r="M61" s="2"/>
      <c r="N61" s="2"/>
      <c r="O61" s="2"/>
      <c r="P61" s="2"/>
      <c r="Q61" s="2"/>
      <c r="R61" s="37">
        <f t="shared" si="0"/>
        <v>0</v>
      </c>
      <c r="S61" s="77">
        <f t="shared" si="1"/>
        <v>0</v>
      </c>
      <c r="T61" s="37" t="str">
        <f>IF(H61="Rendida ",IF('Resultados Individuales'!S61&lt;49.5%,"Por Mejorar",IF('Resultados Individuales'!S61&lt;64.5%,"Base",IF('Resultados Individuales'!S61&lt;84.5%,"Satisfactorio","Óptimo"))),"No rendida o no válida")</f>
        <v>No rendida o no válida</v>
      </c>
    </row>
    <row r="62" spans="1:20">
      <c r="A62" s="29"/>
      <c r="B62" s="74"/>
      <c r="C62" s="74"/>
      <c r="D62" s="73"/>
      <c r="E62" s="73"/>
      <c r="F62" s="73"/>
      <c r="G62" s="44"/>
      <c r="H62" s="45"/>
      <c r="I62" s="49"/>
      <c r="J62" s="45"/>
      <c r="K62" s="47"/>
      <c r="L62" s="2"/>
      <c r="M62" s="2"/>
      <c r="N62" s="2"/>
      <c r="O62" s="2"/>
      <c r="P62" s="2"/>
      <c r="Q62" s="2"/>
      <c r="R62" s="37">
        <f t="shared" si="0"/>
        <v>0</v>
      </c>
      <c r="S62" s="77">
        <f t="shared" si="1"/>
        <v>0</v>
      </c>
      <c r="T62" s="37" t="str">
        <f>IF(H62="Rendida ",IF('Resultados Individuales'!S62&lt;49.5%,"Por Mejorar",IF('Resultados Individuales'!S62&lt;64.5%,"Base",IF('Resultados Individuales'!S62&lt;84.5%,"Satisfactorio","Óptimo"))),"No rendida o no válida")</f>
        <v>No rendida o no válida</v>
      </c>
    </row>
    <row r="63" spans="1:20">
      <c r="A63" s="29"/>
      <c r="B63" s="74"/>
      <c r="C63" s="74"/>
      <c r="D63" s="73"/>
      <c r="E63" s="73"/>
      <c r="F63" s="73"/>
      <c r="G63" s="44"/>
      <c r="H63" s="45"/>
      <c r="I63" s="49"/>
      <c r="J63" s="45"/>
      <c r="K63" s="47"/>
      <c r="L63" s="2"/>
      <c r="M63" s="2"/>
      <c r="N63" s="2"/>
      <c r="O63" s="2"/>
      <c r="P63" s="2"/>
      <c r="Q63" s="2"/>
      <c r="R63" s="37">
        <f t="shared" si="0"/>
        <v>0</v>
      </c>
      <c r="S63" s="77">
        <f t="shared" si="1"/>
        <v>0</v>
      </c>
      <c r="T63" s="37" t="str">
        <f>IF(H63="Rendida ",IF('Resultados Individuales'!S63&lt;49.5%,"Por Mejorar",IF('Resultados Individuales'!S63&lt;64.5%,"Base",IF('Resultados Individuales'!S63&lt;84.5%,"Satisfactorio","Óptimo"))),"No rendida o no válida")</f>
        <v>No rendida o no válida</v>
      </c>
    </row>
    <row r="64" spans="1:20">
      <c r="A64" s="29"/>
      <c r="B64" s="74"/>
      <c r="C64" s="74"/>
      <c r="D64" s="73"/>
      <c r="E64" s="73"/>
      <c r="F64" s="73"/>
      <c r="G64" s="44"/>
      <c r="H64" s="45"/>
      <c r="I64" s="49"/>
      <c r="J64" s="45"/>
      <c r="K64" s="47"/>
      <c r="L64" s="2"/>
      <c r="M64" s="2"/>
      <c r="N64" s="2"/>
      <c r="O64" s="2"/>
      <c r="P64" s="2"/>
      <c r="Q64" s="2"/>
      <c r="R64" s="37">
        <f t="shared" si="0"/>
        <v>0</v>
      </c>
      <c r="S64" s="77">
        <f t="shared" si="1"/>
        <v>0</v>
      </c>
      <c r="T64" s="37" t="str">
        <f>IF(H64="Rendida ",IF('Resultados Individuales'!S64&lt;49.5%,"Por Mejorar",IF('Resultados Individuales'!S64&lt;64.5%,"Base",IF('Resultados Individuales'!S64&lt;84.5%,"Satisfactorio","Óptimo"))),"No rendida o no válida")</f>
        <v>No rendida o no válida</v>
      </c>
    </row>
    <row r="65" spans="1:20">
      <c r="A65" s="29"/>
      <c r="B65" s="74"/>
      <c r="C65" s="74"/>
      <c r="D65" s="73"/>
      <c r="E65" s="73"/>
      <c r="F65" s="73"/>
      <c r="G65" s="44"/>
      <c r="H65" s="45"/>
      <c r="I65" s="49"/>
      <c r="J65" s="45"/>
      <c r="K65" s="47"/>
      <c r="L65" s="2"/>
      <c r="M65" s="2"/>
      <c r="N65" s="2"/>
      <c r="O65" s="2"/>
      <c r="P65" s="2"/>
      <c r="Q65" s="2"/>
      <c r="R65" s="37">
        <f t="shared" si="0"/>
        <v>0</v>
      </c>
      <c r="S65" s="77">
        <f t="shared" si="1"/>
        <v>0</v>
      </c>
      <c r="T65" s="37" t="str">
        <f>IF(H65="Rendida ",IF('Resultados Individuales'!S65&lt;49.5%,"Por Mejorar",IF('Resultados Individuales'!S65&lt;64.5%,"Base",IF('Resultados Individuales'!S65&lt;84.5%,"Satisfactorio","Óptimo"))),"No rendida o no válida")</f>
        <v>No rendida o no válida</v>
      </c>
    </row>
    <row r="66" spans="1:20">
      <c r="A66" s="29"/>
      <c r="B66" s="74"/>
      <c r="C66" s="74"/>
      <c r="D66" s="73"/>
      <c r="E66" s="73"/>
      <c r="F66" s="73"/>
      <c r="G66" s="44"/>
      <c r="H66" s="45"/>
      <c r="I66" s="49"/>
      <c r="J66" s="45"/>
      <c r="K66" s="47"/>
      <c r="L66" s="2"/>
      <c r="M66" s="2"/>
      <c r="N66" s="2"/>
      <c r="O66" s="2"/>
      <c r="P66" s="2"/>
      <c r="Q66" s="2"/>
      <c r="R66" s="37">
        <f t="shared" si="0"/>
        <v>0</v>
      </c>
      <c r="S66" s="77">
        <f t="shared" si="1"/>
        <v>0</v>
      </c>
      <c r="T66" s="37" t="str">
        <f>IF(H66="Rendida ",IF('Resultados Individuales'!S66&lt;49.5%,"Por Mejorar",IF('Resultados Individuales'!S66&lt;64.5%,"Base",IF('Resultados Individuales'!S66&lt;84.5%,"Satisfactorio","Óptimo"))),"No rendida o no válida")</f>
        <v>No rendida o no válida</v>
      </c>
    </row>
    <row r="67" spans="1:20">
      <c r="A67" s="29"/>
      <c r="B67" s="74"/>
      <c r="C67" s="74"/>
      <c r="D67" s="73"/>
      <c r="E67" s="73"/>
      <c r="F67" s="73"/>
      <c r="G67" s="44"/>
      <c r="H67" s="45"/>
      <c r="I67" s="49"/>
      <c r="J67" s="45"/>
      <c r="K67" s="47"/>
      <c r="L67" s="2"/>
      <c r="M67" s="2"/>
      <c r="N67" s="2"/>
      <c r="O67" s="2"/>
      <c r="P67" s="2"/>
      <c r="Q67" s="2"/>
      <c r="R67" s="37">
        <f t="shared" si="0"/>
        <v>0</v>
      </c>
      <c r="S67" s="77">
        <f t="shared" si="1"/>
        <v>0</v>
      </c>
      <c r="T67" s="37" t="str">
        <f>IF(H67="Rendida ",IF('Resultados Individuales'!S67&lt;49.5%,"Por Mejorar",IF('Resultados Individuales'!S67&lt;64.5%,"Base",IF('Resultados Individuales'!S67&lt;84.5%,"Satisfactorio","Óptimo"))),"No rendida o no válida")</f>
        <v>No rendida o no válida</v>
      </c>
    </row>
    <row r="68" spans="1:20">
      <c r="A68" s="29"/>
      <c r="B68" s="74"/>
      <c r="C68" s="74"/>
      <c r="D68" s="73"/>
      <c r="E68" s="73"/>
      <c r="F68" s="73"/>
      <c r="G68" s="44"/>
      <c r="H68" s="45"/>
      <c r="I68" s="49"/>
      <c r="J68" s="45"/>
      <c r="K68" s="47"/>
      <c r="L68" s="2"/>
      <c r="M68" s="2"/>
      <c r="N68" s="2"/>
      <c r="O68" s="2"/>
      <c r="P68" s="2"/>
      <c r="Q68" s="2"/>
      <c r="R68" s="37">
        <f t="shared" ref="R68:R131" si="2">SUM(K68:Q68)</f>
        <v>0</v>
      </c>
      <c r="S68" s="77">
        <f t="shared" si="1"/>
        <v>0</v>
      </c>
      <c r="T68" s="37" t="str">
        <f>IF(H68="Rendida ",IF('Resultados Individuales'!S68&lt;49.5%,"Por Mejorar",IF('Resultados Individuales'!S68&lt;64.5%,"Base",IF('Resultados Individuales'!S68&lt;84.5%,"Satisfactorio","Óptimo"))),"No rendida o no válida")</f>
        <v>No rendida o no válida</v>
      </c>
    </row>
    <row r="69" spans="1:20">
      <c r="A69" s="29"/>
      <c r="B69" s="74"/>
      <c r="C69" s="74"/>
      <c r="D69" s="73"/>
      <c r="E69" s="73"/>
      <c r="F69" s="73"/>
      <c r="G69" s="41"/>
      <c r="H69" s="29"/>
      <c r="I69" s="42"/>
      <c r="J69" s="29"/>
      <c r="K69" s="43"/>
      <c r="L69" s="1"/>
      <c r="M69" s="1"/>
      <c r="N69" s="1"/>
      <c r="O69" s="1"/>
      <c r="P69" s="1"/>
      <c r="Q69" s="1"/>
      <c r="R69" s="37">
        <f t="shared" si="2"/>
        <v>0</v>
      </c>
      <c r="S69" s="77">
        <f t="shared" ref="S69:S132" si="3">R69/32</f>
        <v>0</v>
      </c>
      <c r="T69" s="37" t="str">
        <f>IF(H69="Rendida ",IF('Resultados Individuales'!S69&lt;49.5%,"Por Mejorar",IF('Resultados Individuales'!S69&lt;64.5%,"Base",IF('Resultados Individuales'!S69&lt;84.5%,"Satisfactorio","Óptimo"))),"No rendida o no válida")</f>
        <v>No rendida o no válida</v>
      </c>
    </row>
    <row r="70" spans="1:20">
      <c r="A70" s="29"/>
      <c r="B70" s="74"/>
      <c r="C70" s="74"/>
      <c r="D70" s="73"/>
      <c r="E70" s="73"/>
      <c r="F70" s="73"/>
      <c r="G70" s="44"/>
      <c r="H70" s="45"/>
      <c r="I70" s="49"/>
      <c r="J70" s="45"/>
      <c r="K70" s="47"/>
      <c r="L70" s="2"/>
      <c r="M70" s="2"/>
      <c r="N70" s="2"/>
      <c r="O70" s="2"/>
      <c r="P70" s="2"/>
      <c r="Q70" s="2"/>
      <c r="R70" s="37">
        <f t="shared" si="2"/>
        <v>0</v>
      </c>
      <c r="S70" s="77">
        <f t="shared" si="3"/>
        <v>0</v>
      </c>
      <c r="T70" s="37" t="str">
        <f>IF(H70="Rendida ",IF('Resultados Individuales'!S70&lt;49.5%,"Por Mejorar",IF('Resultados Individuales'!S70&lt;64.5%,"Base",IF('Resultados Individuales'!S70&lt;84.5%,"Satisfactorio","Óptimo"))),"No rendida o no válida")</f>
        <v>No rendida o no válida</v>
      </c>
    </row>
    <row r="71" spans="1:20">
      <c r="A71" s="29"/>
      <c r="B71" s="74"/>
      <c r="C71" s="74"/>
      <c r="D71" s="73"/>
      <c r="E71" s="73"/>
      <c r="F71" s="73"/>
      <c r="G71" s="44"/>
      <c r="H71" s="45"/>
      <c r="I71" s="49"/>
      <c r="J71" s="45"/>
      <c r="K71" s="47"/>
      <c r="L71" s="2"/>
      <c r="M71" s="2"/>
      <c r="N71" s="2"/>
      <c r="O71" s="2"/>
      <c r="P71" s="2"/>
      <c r="Q71" s="2"/>
      <c r="R71" s="37">
        <f t="shared" si="2"/>
        <v>0</v>
      </c>
      <c r="S71" s="77">
        <f t="shared" si="3"/>
        <v>0</v>
      </c>
      <c r="T71" s="37" t="str">
        <f>IF(H71="Rendida ",IF('Resultados Individuales'!S71&lt;49.5%,"Por Mejorar",IF('Resultados Individuales'!S71&lt;64.5%,"Base",IF('Resultados Individuales'!S71&lt;84.5%,"Satisfactorio","Óptimo"))),"No rendida o no válida")</f>
        <v>No rendida o no válida</v>
      </c>
    </row>
    <row r="72" spans="1:20">
      <c r="A72" s="29"/>
      <c r="B72" s="74"/>
      <c r="C72" s="74"/>
      <c r="D72" s="73"/>
      <c r="E72" s="73"/>
      <c r="F72" s="73"/>
      <c r="G72" s="33"/>
      <c r="H72" s="38"/>
      <c r="I72" s="40"/>
      <c r="J72" s="38"/>
      <c r="K72" s="34"/>
      <c r="L72" s="2"/>
      <c r="M72" s="2"/>
      <c r="N72" s="2"/>
      <c r="O72" s="2"/>
      <c r="P72" s="2"/>
      <c r="Q72" s="2"/>
      <c r="R72" s="37">
        <f t="shared" si="2"/>
        <v>0</v>
      </c>
      <c r="S72" s="77">
        <f t="shared" si="3"/>
        <v>0</v>
      </c>
      <c r="T72" s="37" t="str">
        <f>IF(H72="Rendida ",IF('Resultados Individuales'!S72&lt;49.5%,"Por Mejorar",IF('Resultados Individuales'!S72&lt;64.5%,"Base",IF('Resultados Individuales'!S72&lt;84.5%,"Satisfactorio","Óptimo"))),"No rendida o no válida")</f>
        <v>No rendida o no válida</v>
      </c>
    </row>
    <row r="73" spans="1:20">
      <c r="A73" s="29"/>
      <c r="B73" s="74"/>
      <c r="C73" s="74"/>
      <c r="D73" s="73"/>
      <c r="E73" s="73"/>
      <c r="F73" s="73"/>
      <c r="G73" s="33"/>
      <c r="H73" s="38"/>
      <c r="I73" s="40"/>
      <c r="J73" s="38"/>
      <c r="K73" s="34"/>
      <c r="L73" s="2"/>
      <c r="M73" s="2"/>
      <c r="N73" s="2"/>
      <c r="O73" s="2"/>
      <c r="P73" s="2"/>
      <c r="Q73" s="2"/>
      <c r="R73" s="37">
        <f t="shared" si="2"/>
        <v>0</v>
      </c>
      <c r="S73" s="77">
        <f t="shared" si="3"/>
        <v>0</v>
      </c>
      <c r="T73" s="37" t="str">
        <f>IF(H73="Rendida ",IF('Resultados Individuales'!S73&lt;49.5%,"Por Mejorar",IF('Resultados Individuales'!S73&lt;64.5%,"Base",IF('Resultados Individuales'!S73&lt;84.5%,"Satisfactorio","Óptimo"))),"No rendida o no válida")</f>
        <v>No rendida o no válida</v>
      </c>
    </row>
    <row r="74" spans="1:20">
      <c r="A74" s="29"/>
      <c r="B74" s="74"/>
      <c r="C74" s="74"/>
      <c r="D74" s="73"/>
      <c r="E74" s="73"/>
      <c r="F74" s="73"/>
      <c r="G74" s="33"/>
      <c r="H74" s="38"/>
      <c r="I74" s="40"/>
      <c r="J74" s="38"/>
      <c r="K74" s="34"/>
      <c r="L74" s="2"/>
      <c r="M74" s="2"/>
      <c r="N74" s="2"/>
      <c r="O74" s="2"/>
      <c r="P74" s="2"/>
      <c r="Q74" s="2"/>
      <c r="R74" s="37">
        <f t="shared" si="2"/>
        <v>0</v>
      </c>
      <c r="S74" s="77">
        <f t="shared" si="3"/>
        <v>0</v>
      </c>
      <c r="T74" s="37" t="str">
        <f>IF(H74="Rendida ",IF('Resultados Individuales'!S74&lt;49.5%,"Por Mejorar",IF('Resultados Individuales'!S74&lt;64.5%,"Base",IF('Resultados Individuales'!S74&lt;84.5%,"Satisfactorio","Óptimo"))),"No rendida o no válida")</f>
        <v>No rendida o no válida</v>
      </c>
    </row>
    <row r="75" spans="1:20">
      <c r="A75" s="29"/>
      <c r="B75" s="74"/>
      <c r="C75" s="74"/>
      <c r="D75" s="73"/>
      <c r="E75" s="73"/>
      <c r="F75" s="73"/>
      <c r="G75" s="33"/>
      <c r="H75" s="38"/>
      <c r="I75" s="40"/>
      <c r="J75" s="38"/>
      <c r="K75" s="34"/>
      <c r="L75" s="2"/>
      <c r="M75" s="2"/>
      <c r="N75" s="2"/>
      <c r="O75" s="2"/>
      <c r="P75" s="2"/>
      <c r="Q75" s="2"/>
      <c r="R75" s="37">
        <f t="shared" si="2"/>
        <v>0</v>
      </c>
      <c r="S75" s="77">
        <f t="shared" si="3"/>
        <v>0</v>
      </c>
      <c r="T75" s="37" t="str">
        <f>IF(H75="Rendida ",IF('Resultados Individuales'!S75&lt;49.5%,"Por Mejorar",IF('Resultados Individuales'!S75&lt;64.5%,"Base",IF('Resultados Individuales'!S75&lt;84.5%,"Satisfactorio","Óptimo"))),"No rendida o no válida")</f>
        <v>No rendida o no válida</v>
      </c>
    </row>
    <row r="76" spans="1:20">
      <c r="A76" s="29"/>
      <c r="B76" s="74"/>
      <c r="C76" s="74"/>
      <c r="D76" s="73"/>
      <c r="E76" s="73"/>
      <c r="F76" s="73"/>
      <c r="G76" s="41"/>
      <c r="H76" s="29"/>
      <c r="I76" s="42"/>
      <c r="J76" s="29"/>
      <c r="K76" s="43"/>
      <c r="L76" s="1"/>
      <c r="M76" s="1"/>
      <c r="N76" s="1"/>
      <c r="O76" s="1"/>
      <c r="P76" s="1"/>
      <c r="Q76" s="1"/>
      <c r="R76" s="37">
        <f t="shared" si="2"/>
        <v>0</v>
      </c>
      <c r="S76" s="77">
        <f t="shared" si="3"/>
        <v>0</v>
      </c>
      <c r="T76" s="37" t="str">
        <f>IF(H76="Rendida ",IF('Resultados Individuales'!S76&lt;49.5%,"Por Mejorar",IF('Resultados Individuales'!S76&lt;64.5%,"Base",IF('Resultados Individuales'!S76&lt;84.5%,"Satisfactorio","Óptimo"))),"No rendida o no válida")</f>
        <v>No rendida o no válida</v>
      </c>
    </row>
    <row r="77" spans="1:20">
      <c r="A77" s="29"/>
      <c r="B77" s="74"/>
      <c r="C77" s="74"/>
      <c r="D77" s="73"/>
      <c r="E77" s="73"/>
      <c r="F77" s="73"/>
      <c r="G77" s="41"/>
      <c r="H77" s="29"/>
      <c r="I77" s="42"/>
      <c r="J77" s="29"/>
      <c r="K77" s="43"/>
      <c r="L77" s="1"/>
      <c r="M77" s="1"/>
      <c r="N77" s="1"/>
      <c r="O77" s="1"/>
      <c r="P77" s="1"/>
      <c r="Q77" s="1"/>
      <c r="R77" s="37">
        <f t="shared" si="2"/>
        <v>0</v>
      </c>
      <c r="S77" s="77">
        <f t="shared" si="3"/>
        <v>0</v>
      </c>
      <c r="T77" s="37" t="str">
        <f>IF(H77="Rendida ",IF('Resultados Individuales'!S77&lt;49.5%,"Por Mejorar",IF('Resultados Individuales'!S77&lt;64.5%,"Base",IF('Resultados Individuales'!S77&lt;84.5%,"Satisfactorio","Óptimo"))),"No rendida o no válida")</f>
        <v>No rendida o no válida</v>
      </c>
    </row>
    <row r="78" spans="1:20">
      <c r="A78" s="29"/>
      <c r="B78" s="74"/>
      <c r="C78" s="74"/>
      <c r="D78" s="73"/>
      <c r="E78" s="73"/>
      <c r="F78" s="73"/>
      <c r="G78" s="33"/>
      <c r="H78" s="38"/>
      <c r="I78" s="40"/>
      <c r="J78" s="38"/>
      <c r="K78" s="34"/>
      <c r="L78" s="2"/>
      <c r="M78" s="2"/>
      <c r="N78" s="2"/>
      <c r="O78" s="2"/>
      <c r="P78" s="2"/>
      <c r="Q78" s="2"/>
      <c r="R78" s="37">
        <f t="shared" si="2"/>
        <v>0</v>
      </c>
      <c r="S78" s="77">
        <f t="shared" si="3"/>
        <v>0</v>
      </c>
      <c r="T78" s="37" t="str">
        <f>IF(H78="Rendida ",IF('Resultados Individuales'!S78&lt;49.5%,"Por Mejorar",IF('Resultados Individuales'!S78&lt;64.5%,"Base",IF('Resultados Individuales'!S78&lt;84.5%,"Satisfactorio","Óptimo"))),"No rendida o no válida")</f>
        <v>No rendida o no válida</v>
      </c>
    </row>
    <row r="79" spans="1:20">
      <c r="A79" s="29"/>
      <c r="B79" s="74"/>
      <c r="C79" s="74"/>
      <c r="D79" s="73"/>
      <c r="E79" s="73"/>
      <c r="F79" s="73"/>
      <c r="G79" s="33"/>
      <c r="H79" s="38"/>
      <c r="I79" s="40"/>
      <c r="J79" s="38"/>
      <c r="K79" s="34"/>
      <c r="L79" s="2"/>
      <c r="M79" s="2"/>
      <c r="N79" s="2"/>
      <c r="O79" s="2"/>
      <c r="P79" s="2"/>
      <c r="Q79" s="2"/>
      <c r="R79" s="37">
        <f t="shared" si="2"/>
        <v>0</v>
      </c>
      <c r="S79" s="77">
        <f t="shared" si="3"/>
        <v>0</v>
      </c>
      <c r="T79" s="37" t="str">
        <f>IF(H79="Rendida ",IF('Resultados Individuales'!S79&lt;49.5%,"Por Mejorar",IF('Resultados Individuales'!S79&lt;64.5%,"Base",IF('Resultados Individuales'!S79&lt;84.5%,"Satisfactorio","Óptimo"))),"No rendida o no válida")</f>
        <v>No rendida o no válida</v>
      </c>
    </row>
    <row r="80" spans="1:20">
      <c r="A80" s="29"/>
      <c r="B80" s="74"/>
      <c r="C80" s="74"/>
      <c r="D80" s="73"/>
      <c r="E80" s="73"/>
      <c r="F80" s="73"/>
      <c r="G80" s="33"/>
      <c r="H80" s="38"/>
      <c r="I80" s="40"/>
      <c r="J80" s="38"/>
      <c r="K80" s="34"/>
      <c r="L80" s="2"/>
      <c r="M80" s="2"/>
      <c r="N80" s="2"/>
      <c r="O80" s="2"/>
      <c r="P80" s="2"/>
      <c r="Q80" s="2"/>
      <c r="R80" s="37">
        <f t="shared" si="2"/>
        <v>0</v>
      </c>
      <c r="S80" s="77">
        <f t="shared" si="3"/>
        <v>0</v>
      </c>
      <c r="T80" s="37" t="str">
        <f>IF(H80="Rendida ",IF('Resultados Individuales'!S80&lt;49.5%,"Por Mejorar",IF('Resultados Individuales'!S80&lt;64.5%,"Base",IF('Resultados Individuales'!S80&lt;84.5%,"Satisfactorio","Óptimo"))),"No rendida o no válida")</f>
        <v>No rendida o no válida</v>
      </c>
    </row>
    <row r="81" spans="1:20">
      <c r="A81" s="29"/>
      <c r="B81" s="74"/>
      <c r="C81" s="74"/>
      <c r="D81" s="73"/>
      <c r="E81" s="73"/>
      <c r="F81" s="73"/>
      <c r="G81" s="33"/>
      <c r="H81" s="38"/>
      <c r="I81" s="40"/>
      <c r="J81" s="38"/>
      <c r="K81" s="34"/>
      <c r="L81" s="2"/>
      <c r="M81" s="2"/>
      <c r="N81" s="2"/>
      <c r="O81" s="2"/>
      <c r="P81" s="2"/>
      <c r="Q81" s="2"/>
      <c r="R81" s="37">
        <f t="shared" si="2"/>
        <v>0</v>
      </c>
      <c r="S81" s="77">
        <f t="shared" si="3"/>
        <v>0</v>
      </c>
      <c r="T81" s="37" t="str">
        <f>IF(H81="Rendida ",IF('Resultados Individuales'!S81&lt;49.5%,"Por Mejorar",IF('Resultados Individuales'!S81&lt;64.5%,"Base",IF('Resultados Individuales'!S81&lt;84.5%,"Satisfactorio","Óptimo"))),"No rendida o no válida")</f>
        <v>No rendida o no válida</v>
      </c>
    </row>
    <row r="82" spans="1:20">
      <c r="A82" s="29"/>
      <c r="B82" s="74"/>
      <c r="C82" s="74"/>
      <c r="D82" s="73"/>
      <c r="E82" s="73"/>
      <c r="F82" s="73"/>
      <c r="G82" s="33"/>
      <c r="H82" s="38"/>
      <c r="I82" s="40"/>
      <c r="J82" s="38"/>
      <c r="K82" s="34"/>
      <c r="L82" s="2"/>
      <c r="M82" s="2"/>
      <c r="N82" s="2"/>
      <c r="O82" s="2"/>
      <c r="P82" s="2"/>
      <c r="Q82" s="2"/>
      <c r="R82" s="37">
        <f t="shared" si="2"/>
        <v>0</v>
      </c>
      <c r="S82" s="77">
        <f t="shared" si="3"/>
        <v>0</v>
      </c>
      <c r="T82" s="37" t="str">
        <f>IF(H82="Rendida ",IF('Resultados Individuales'!S82&lt;49.5%,"Por Mejorar",IF('Resultados Individuales'!S82&lt;64.5%,"Base",IF('Resultados Individuales'!S82&lt;84.5%,"Satisfactorio","Óptimo"))),"No rendida o no válida")</f>
        <v>No rendida o no válida</v>
      </c>
    </row>
    <row r="83" spans="1:20">
      <c r="A83" s="29"/>
      <c r="B83" s="74"/>
      <c r="C83" s="74"/>
      <c r="D83" s="73"/>
      <c r="E83" s="73"/>
      <c r="F83" s="73"/>
      <c r="G83" s="33"/>
      <c r="H83" s="38"/>
      <c r="I83" s="40"/>
      <c r="J83" s="38"/>
      <c r="K83" s="34"/>
      <c r="L83" s="2"/>
      <c r="M83" s="2"/>
      <c r="N83" s="2"/>
      <c r="O83" s="2"/>
      <c r="P83" s="2"/>
      <c r="Q83" s="2"/>
      <c r="R83" s="37">
        <f t="shared" si="2"/>
        <v>0</v>
      </c>
      <c r="S83" s="77">
        <f t="shared" si="3"/>
        <v>0</v>
      </c>
      <c r="T83" s="37" t="str">
        <f>IF(H83="Rendida ",IF('Resultados Individuales'!S83&lt;49.5%,"Por Mejorar",IF('Resultados Individuales'!S83&lt;64.5%,"Base",IF('Resultados Individuales'!S83&lt;84.5%,"Satisfactorio","Óptimo"))),"No rendida o no válida")</f>
        <v>No rendida o no válida</v>
      </c>
    </row>
    <row r="84" spans="1:20">
      <c r="A84" s="29"/>
      <c r="B84" s="74"/>
      <c r="C84" s="74"/>
      <c r="D84" s="73"/>
      <c r="E84" s="73"/>
      <c r="F84" s="73"/>
      <c r="G84" s="33"/>
      <c r="H84" s="38"/>
      <c r="I84" s="40"/>
      <c r="J84" s="38"/>
      <c r="K84" s="34"/>
      <c r="L84" s="2"/>
      <c r="M84" s="2"/>
      <c r="N84" s="2"/>
      <c r="O84" s="2"/>
      <c r="P84" s="2"/>
      <c r="Q84" s="2"/>
      <c r="R84" s="37">
        <f t="shared" si="2"/>
        <v>0</v>
      </c>
      <c r="S84" s="77">
        <f t="shared" si="3"/>
        <v>0</v>
      </c>
      <c r="T84" s="37" t="str">
        <f>IF(H84="Rendida ",IF('Resultados Individuales'!S84&lt;49.5%,"Por Mejorar",IF('Resultados Individuales'!S84&lt;64.5%,"Base",IF('Resultados Individuales'!S84&lt;84.5%,"Satisfactorio","Óptimo"))),"No rendida o no válida")</f>
        <v>No rendida o no válida</v>
      </c>
    </row>
    <row r="85" spans="1:20">
      <c r="A85" s="29"/>
      <c r="B85" s="74"/>
      <c r="C85" s="74"/>
      <c r="D85" s="73"/>
      <c r="E85" s="73"/>
      <c r="F85" s="73"/>
      <c r="G85" s="33"/>
      <c r="H85" s="38"/>
      <c r="I85" s="40"/>
      <c r="J85" s="38"/>
      <c r="K85" s="34"/>
      <c r="L85" s="2"/>
      <c r="M85" s="2"/>
      <c r="N85" s="2"/>
      <c r="O85" s="2"/>
      <c r="P85" s="2"/>
      <c r="Q85" s="2"/>
      <c r="R85" s="37">
        <f t="shared" si="2"/>
        <v>0</v>
      </c>
      <c r="S85" s="77">
        <f t="shared" si="3"/>
        <v>0</v>
      </c>
      <c r="T85" s="37" t="str">
        <f>IF(H85="Rendida ",IF('Resultados Individuales'!S85&lt;49.5%,"Por Mejorar",IF('Resultados Individuales'!S85&lt;64.5%,"Base",IF('Resultados Individuales'!S85&lt;84.5%,"Satisfactorio","Óptimo"))),"No rendida o no válida")</f>
        <v>No rendida o no válida</v>
      </c>
    </row>
    <row r="86" spans="1:20">
      <c r="A86" s="29"/>
      <c r="B86" s="74"/>
      <c r="C86" s="74"/>
      <c r="D86" s="73"/>
      <c r="E86" s="73"/>
      <c r="F86" s="73"/>
      <c r="G86" s="33"/>
      <c r="H86" s="38"/>
      <c r="I86" s="40"/>
      <c r="J86" s="38"/>
      <c r="K86" s="34"/>
      <c r="L86" s="2"/>
      <c r="M86" s="2"/>
      <c r="N86" s="2"/>
      <c r="O86" s="2"/>
      <c r="P86" s="2"/>
      <c r="Q86" s="2"/>
      <c r="R86" s="37">
        <f t="shared" si="2"/>
        <v>0</v>
      </c>
      <c r="S86" s="77">
        <f t="shared" si="3"/>
        <v>0</v>
      </c>
      <c r="T86" s="37" t="str">
        <f>IF(H86="Rendida ",IF('Resultados Individuales'!S86&lt;49.5%,"Por Mejorar",IF('Resultados Individuales'!S86&lt;64.5%,"Base",IF('Resultados Individuales'!S86&lt;84.5%,"Satisfactorio","Óptimo"))),"No rendida o no válida")</f>
        <v>No rendida o no válida</v>
      </c>
    </row>
    <row r="87" spans="1:20">
      <c r="A87" s="29"/>
      <c r="B87" s="74"/>
      <c r="C87" s="74"/>
      <c r="D87" s="73"/>
      <c r="E87" s="73"/>
      <c r="F87" s="73"/>
      <c r="G87" s="41"/>
      <c r="H87" s="29"/>
      <c r="I87" s="42"/>
      <c r="J87" s="29"/>
      <c r="K87" s="43"/>
      <c r="L87" s="1"/>
      <c r="M87" s="1"/>
      <c r="N87" s="1"/>
      <c r="O87" s="1"/>
      <c r="P87" s="1"/>
      <c r="Q87" s="1"/>
      <c r="R87" s="37">
        <f t="shared" si="2"/>
        <v>0</v>
      </c>
      <c r="S87" s="77">
        <f t="shared" si="3"/>
        <v>0</v>
      </c>
      <c r="T87" s="37" t="str">
        <f>IF(H87="Rendida ",IF('Resultados Individuales'!S87&lt;49.5%,"Por Mejorar",IF('Resultados Individuales'!S87&lt;64.5%,"Base",IF('Resultados Individuales'!S87&lt;84.5%,"Satisfactorio","Óptimo"))),"No rendida o no válida")</f>
        <v>No rendida o no válida</v>
      </c>
    </row>
    <row r="88" spans="1:20">
      <c r="A88" s="29"/>
      <c r="B88" s="74"/>
      <c r="C88" s="74"/>
      <c r="D88" s="73"/>
      <c r="E88" s="73"/>
      <c r="F88" s="73"/>
      <c r="G88" s="33"/>
      <c r="H88" s="29"/>
      <c r="I88" s="42"/>
      <c r="J88" s="38"/>
      <c r="K88" s="34"/>
      <c r="L88" s="2"/>
      <c r="M88" s="2"/>
      <c r="N88" s="2"/>
      <c r="O88" s="2"/>
      <c r="P88" s="2"/>
      <c r="Q88" s="2"/>
      <c r="R88" s="37">
        <f t="shared" si="2"/>
        <v>0</v>
      </c>
      <c r="S88" s="77">
        <f t="shared" si="3"/>
        <v>0</v>
      </c>
      <c r="T88" s="37" t="str">
        <f>IF(H88="Rendida ",IF('Resultados Individuales'!S88&lt;49.5%,"Por Mejorar",IF('Resultados Individuales'!S88&lt;64.5%,"Base",IF('Resultados Individuales'!S88&lt;84.5%,"Satisfactorio","Óptimo"))),"No rendida o no válida")</f>
        <v>No rendida o no válida</v>
      </c>
    </row>
    <row r="89" spans="1:20">
      <c r="A89" s="29"/>
      <c r="B89" s="74"/>
      <c r="C89" s="74"/>
      <c r="D89" s="73"/>
      <c r="E89" s="73"/>
      <c r="F89" s="73"/>
      <c r="G89" s="33"/>
      <c r="H89" s="38"/>
      <c r="I89" s="40"/>
      <c r="J89" s="38"/>
      <c r="K89" s="34"/>
      <c r="L89" s="2"/>
      <c r="M89" s="2"/>
      <c r="N89" s="2"/>
      <c r="O89" s="2"/>
      <c r="P89" s="2"/>
      <c r="Q89" s="2"/>
      <c r="R89" s="37">
        <f t="shared" si="2"/>
        <v>0</v>
      </c>
      <c r="S89" s="77">
        <f t="shared" si="3"/>
        <v>0</v>
      </c>
      <c r="T89" s="37" t="str">
        <f>IF(H89="Rendida ",IF('Resultados Individuales'!S89&lt;49.5%,"Por Mejorar",IF('Resultados Individuales'!S89&lt;64.5%,"Base",IF('Resultados Individuales'!S89&lt;84.5%,"Satisfactorio","Óptimo"))),"No rendida o no válida")</f>
        <v>No rendida o no válida</v>
      </c>
    </row>
    <row r="90" spans="1:20">
      <c r="A90" s="29"/>
      <c r="B90" s="74"/>
      <c r="C90" s="74"/>
      <c r="D90" s="73"/>
      <c r="E90" s="73"/>
      <c r="F90" s="73"/>
      <c r="G90" s="41"/>
      <c r="H90" s="29"/>
      <c r="I90" s="42"/>
      <c r="J90" s="29"/>
      <c r="K90" s="43"/>
      <c r="L90" s="1"/>
      <c r="M90" s="1"/>
      <c r="N90" s="1"/>
      <c r="O90" s="1"/>
      <c r="P90" s="1"/>
      <c r="Q90" s="1"/>
      <c r="R90" s="37">
        <f t="shared" si="2"/>
        <v>0</v>
      </c>
      <c r="S90" s="77">
        <f t="shared" si="3"/>
        <v>0</v>
      </c>
      <c r="T90" s="37" t="str">
        <f>IF(H90="Rendida ",IF('Resultados Individuales'!S90&lt;49.5%,"Por Mejorar",IF('Resultados Individuales'!S90&lt;64.5%,"Base",IF('Resultados Individuales'!S90&lt;84.5%,"Satisfactorio","Óptimo"))),"No rendida o no válida")</f>
        <v>No rendida o no válida</v>
      </c>
    </row>
    <row r="91" spans="1:20">
      <c r="A91" s="29"/>
      <c r="B91" s="74"/>
      <c r="C91" s="74"/>
      <c r="D91" s="73"/>
      <c r="E91" s="73"/>
      <c r="F91" s="73"/>
      <c r="G91" s="33"/>
      <c r="H91" s="38"/>
      <c r="I91" s="40"/>
      <c r="J91" s="38"/>
      <c r="K91" s="34"/>
      <c r="L91" s="2"/>
      <c r="M91" s="2"/>
      <c r="N91" s="2"/>
      <c r="O91" s="2"/>
      <c r="P91" s="2"/>
      <c r="Q91" s="2"/>
      <c r="R91" s="37">
        <f t="shared" si="2"/>
        <v>0</v>
      </c>
      <c r="S91" s="77">
        <f t="shared" si="3"/>
        <v>0</v>
      </c>
      <c r="T91" s="37" t="str">
        <f>IF(H91="Rendida ",IF('Resultados Individuales'!S91&lt;49.5%,"Por Mejorar",IF('Resultados Individuales'!S91&lt;64.5%,"Base",IF('Resultados Individuales'!S91&lt;84.5%,"Satisfactorio","Óptimo"))),"No rendida o no válida")</f>
        <v>No rendida o no válida</v>
      </c>
    </row>
    <row r="92" spans="1:20">
      <c r="A92" s="29"/>
      <c r="B92" s="74"/>
      <c r="C92" s="74"/>
      <c r="D92" s="73"/>
      <c r="E92" s="73"/>
      <c r="F92" s="73"/>
      <c r="G92" s="33"/>
      <c r="H92" s="38"/>
      <c r="I92" s="40"/>
      <c r="J92" s="38"/>
      <c r="K92" s="34"/>
      <c r="L92" s="2"/>
      <c r="M92" s="2"/>
      <c r="N92" s="2"/>
      <c r="O92" s="2"/>
      <c r="P92" s="2"/>
      <c r="Q92" s="2"/>
      <c r="R92" s="37">
        <f t="shared" si="2"/>
        <v>0</v>
      </c>
      <c r="S92" s="77">
        <f t="shared" si="3"/>
        <v>0</v>
      </c>
      <c r="T92" s="37" t="str">
        <f>IF(H92="Rendida ",IF('Resultados Individuales'!S92&lt;49.5%,"Por Mejorar",IF('Resultados Individuales'!S92&lt;64.5%,"Base",IF('Resultados Individuales'!S92&lt;84.5%,"Satisfactorio","Óptimo"))),"No rendida o no válida")</f>
        <v>No rendida o no válida</v>
      </c>
    </row>
    <row r="93" spans="1:20">
      <c r="A93" s="29"/>
      <c r="B93" s="74"/>
      <c r="C93" s="74"/>
      <c r="D93" s="73"/>
      <c r="E93" s="73"/>
      <c r="F93" s="73"/>
      <c r="G93" s="33"/>
      <c r="H93" s="38"/>
      <c r="I93" s="40"/>
      <c r="J93" s="38"/>
      <c r="K93" s="34"/>
      <c r="L93" s="2"/>
      <c r="M93" s="2"/>
      <c r="N93" s="2"/>
      <c r="O93" s="2"/>
      <c r="P93" s="2"/>
      <c r="Q93" s="2"/>
      <c r="R93" s="37">
        <f t="shared" si="2"/>
        <v>0</v>
      </c>
      <c r="S93" s="77">
        <f t="shared" si="3"/>
        <v>0</v>
      </c>
      <c r="T93" s="37" t="str">
        <f>IF(H93="Rendida ",IF('Resultados Individuales'!S93&lt;49.5%,"Por Mejorar",IF('Resultados Individuales'!S93&lt;64.5%,"Base",IF('Resultados Individuales'!S93&lt;84.5%,"Satisfactorio","Óptimo"))),"No rendida o no válida")</f>
        <v>No rendida o no válida</v>
      </c>
    </row>
    <row r="94" spans="1:20">
      <c r="A94" s="29"/>
      <c r="B94" s="74"/>
      <c r="C94" s="74"/>
      <c r="D94" s="73"/>
      <c r="E94" s="73"/>
      <c r="F94" s="73"/>
      <c r="G94" s="33"/>
      <c r="H94" s="38"/>
      <c r="I94" s="40"/>
      <c r="J94" s="38"/>
      <c r="K94" s="34"/>
      <c r="L94" s="2"/>
      <c r="M94" s="2"/>
      <c r="N94" s="2"/>
      <c r="O94" s="2"/>
      <c r="P94" s="2"/>
      <c r="Q94" s="2"/>
      <c r="R94" s="37">
        <f t="shared" si="2"/>
        <v>0</v>
      </c>
      <c r="S94" s="77">
        <f t="shared" si="3"/>
        <v>0</v>
      </c>
      <c r="T94" s="37" t="str">
        <f>IF(H94="Rendida ",IF('Resultados Individuales'!S94&lt;49.5%,"Por Mejorar",IF('Resultados Individuales'!S94&lt;64.5%,"Base",IF('Resultados Individuales'!S94&lt;84.5%,"Satisfactorio","Óptimo"))),"No rendida o no válida")</f>
        <v>No rendida o no válida</v>
      </c>
    </row>
    <row r="95" spans="1:20">
      <c r="A95" s="29"/>
      <c r="B95" s="74"/>
      <c r="C95" s="74"/>
      <c r="D95" s="73"/>
      <c r="E95" s="73"/>
      <c r="F95" s="73"/>
      <c r="G95" s="33"/>
      <c r="H95" s="38"/>
      <c r="I95" s="40"/>
      <c r="J95" s="38"/>
      <c r="K95" s="34"/>
      <c r="L95" s="2"/>
      <c r="M95" s="2"/>
      <c r="N95" s="2"/>
      <c r="O95" s="2"/>
      <c r="P95" s="2"/>
      <c r="Q95" s="2"/>
      <c r="R95" s="37">
        <f t="shared" si="2"/>
        <v>0</v>
      </c>
      <c r="S95" s="77">
        <f t="shared" si="3"/>
        <v>0</v>
      </c>
      <c r="T95" s="37" t="str">
        <f>IF(H95="Rendida ",IF('Resultados Individuales'!S95&lt;49.5%,"Por Mejorar",IF('Resultados Individuales'!S95&lt;64.5%,"Base",IF('Resultados Individuales'!S95&lt;84.5%,"Satisfactorio","Óptimo"))),"No rendida o no válida")</f>
        <v>No rendida o no válida</v>
      </c>
    </row>
    <row r="96" spans="1:20">
      <c r="A96" s="29"/>
      <c r="B96" s="74"/>
      <c r="C96" s="74"/>
      <c r="D96" s="73"/>
      <c r="E96" s="73"/>
      <c r="F96" s="73"/>
      <c r="G96" s="33"/>
      <c r="H96" s="38"/>
      <c r="I96" s="40"/>
      <c r="J96" s="38"/>
      <c r="K96" s="34"/>
      <c r="L96" s="2"/>
      <c r="M96" s="2"/>
      <c r="N96" s="2"/>
      <c r="O96" s="2"/>
      <c r="P96" s="2"/>
      <c r="Q96" s="2"/>
      <c r="R96" s="37">
        <f t="shared" si="2"/>
        <v>0</v>
      </c>
      <c r="S96" s="77">
        <f t="shared" si="3"/>
        <v>0</v>
      </c>
      <c r="T96" s="37" t="str">
        <f>IF(H96="Rendida ",IF('Resultados Individuales'!S96&lt;49.5%,"Por Mejorar",IF('Resultados Individuales'!S96&lt;64.5%,"Base",IF('Resultados Individuales'!S96&lt;84.5%,"Satisfactorio","Óptimo"))),"No rendida o no válida")</f>
        <v>No rendida o no válida</v>
      </c>
    </row>
    <row r="97" spans="1:20">
      <c r="A97" s="29"/>
      <c r="B97" s="74"/>
      <c r="C97" s="74"/>
      <c r="D97" s="73"/>
      <c r="E97" s="73"/>
      <c r="F97" s="73"/>
      <c r="G97" s="33"/>
      <c r="H97" s="38"/>
      <c r="I97" s="40"/>
      <c r="J97" s="38"/>
      <c r="K97" s="34"/>
      <c r="L97" s="2"/>
      <c r="M97" s="2"/>
      <c r="N97" s="2"/>
      <c r="O97" s="2"/>
      <c r="P97" s="2"/>
      <c r="Q97" s="2"/>
      <c r="R97" s="37">
        <f t="shared" si="2"/>
        <v>0</v>
      </c>
      <c r="S97" s="77">
        <f t="shared" si="3"/>
        <v>0</v>
      </c>
      <c r="T97" s="37" t="str">
        <f>IF(H97="Rendida ",IF('Resultados Individuales'!S97&lt;49.5%,"Por Mejorar",IF('Resultados Individuales'!S97&lt;64.5%,"Base",IF('Resultados Individuales'!S97&lt;84.5%,"Satisfactorio","Óptimo"))),"No rendida o no válida")</f>
        <v>No rendida o no válida</v>
      </c>
    </row>
    <row r="98" spans="1:20">
      <c r="A98" s="29"/>
      <c r="B98" s="74"/>
      <c r="C98" s="74"/>
      <c r="D98" s="73"/>
      <c r="E98" s="73"/>
      <c r="F98" s="73"/>
      <c r="G98" s="33"/>
      <c r="H98" s="38"/>
      <c r="I98" s="40"/>
      <c r="J98" s="38"/>
      <c r="K98" s="34"/>
      <c r="L98" s="2"/>
      <c r="M98" s="2"/>
      <c r="N98" s="2"/>
      <c r="O98" s="2"/>
      <c r="P98" s="2"/>
      <c r="Q98" s="2"/>
      <c r="R98" s="37">
        <f t="shared" si="2"/>
        <v>0</v>
      </c>
      <c r="S98" s="77">
        <f t="shared" si="3"/>
        <v>0</v>
      </c>
      <c r="T98" s="37" t="str">
        <f>IF(H98="Rendida ",IF('Resultados Individuales'!S98&lt;49.5%,"Por Mejorar",IF('Resultados Individuales'!S98&lt;64.5%,"Base",IF('Resultados Individuales'!S98&lt;84.5%,"Satisfactorio","Óptimo"))),"No rendida o no válida")</f>
        <v>No rendida o no válida</v>
      </c>
    </row>
    <row r="99" spans="1:20">
      <c r="A99" s="29"/>
      <c r="B99" s="74"/>
      <c r="C99" s="74"/>
      <c r="D99" s="73"/>
      <c r="E99" s="73"/>
      <c r="F99" s="73"/>
      <c r="G99" s="33"/>
      <c r="H99" s="38"/>
      <c r="I99" s="40"/>
      <c r="J99" s="38"/>
      <c r="K99" s="34"/>
      <c r="L99" s="2"/>
      <c r="M99" s="2"/>
      <c r="N99" s="2"/>
      <c r="O99" s="2"/>
      <c r="P99" s="2"/>
      <c r="Q99" s="2"/>
      <c r="R99" s="37">
        <f t="shared" si="2"/>
        <v>0</v>
      </c>
      <c r="S99" s="77">
        <f t="shared" si="3"/>
        <v>0</v>
      </c>
      <c r="T99" s="37" t="str">
        <f>IF(H99="Rendida ",IF('Resultados Individuales'!S99&lt;49.5%,"Por Mejorar",IF('Resultados Individuales'!S99&lt;64.5%,"Base",IF('Resultados Individuales'!S99&lt;84.5%,"Satisfactorio","Óptimo"))),"No rendida o no válida")</f>
        <v>No rendida o no válida</v>
      </c>
    </row>
    <row r="100" spans="1:20">
      <c r="A100" s="29"/>
      <c r="B100" s="74"/>
      <c r="C100" s="74"/>
      <c r="D100" s="73"/>
      <c r="E100" s="73"/>
      <c r="F100" s="73"/>
      <c r="G100" s="33"/>
      <c r="H100" s="38"/>
      <c r="I100" s="40"/>
      <c r="J100" s="38"/>
      <c r="K100" s="34"/>
      <c r="L100" s="2"/>
      <c r="M100" s="2"/>
      <c r="N100" s="2"/>
      <c r="O100" s="2"/>
      <c r="P100" s="2"/>
      <c r="Q100" s="2"/>
      <c r="R100" s="37">
        <f t="shared" si="2"/>
        <v>0</v>
      </c>
      <c r="S100" s="77">
        <f t="shared" si="3"/>
        <v>0</v>
      </c>
      <c r="T100" s="37" t="str">
        <f>IF(H100="Rendida ",IF('Resultados Individuales'!S100&lt;49.5%,"Por Mejorar",IF('Resultados Individuales'!S100&lt;64.5%,"Base",IF('Resultados Individuales'!S100&lt;84.5%,"Satisfactorio","Óptimo"))),"No rendida o no válida")</f>
        <v>No rendida o no válida</v>
      </c>
    </row>
    <row r="101" spans="1:20">
      <c r="A101" s="29"/>
      <c r="B101" s="74"/>
      <c r="C101" s="74"/>
      <c r="D101" s="73"/>
      <c r="E101" s="73"/>
      <c r="F101" s="73"/>
      <c r="G101" s="33"/>
      <c r="H101" s="38"/>
      <c r="I101" s="40"/>
      <c r="J101" s="38"/>
      <c r="K101" s="34"/>
      <c r="L101" s="2"/>
      <c r="M101" s="2"/>
      <c r="N101" s="2"/>
      <c r="O101" s="2"/>
      <c r="P101" s="2"/>
      <c r="Q101" s="2"/>
      <c r="R101" s="37">
        <f t="shared" si="2"/>
        <v>0</v>
      </c>
      <c r="S101" s="77">
        <f t="shared" si="3"/>
        <v>0</v>
      </c>
      <c r="T101" s="37" t="str">
        <f>IF(H101="Rendida ",IF('Resultados Individuales'!S101&lt;49.5%,"Por Mejorar",IF('Resultados Individuales'!S101&lt;64.5%,"Base",IF('Resultados Individuales'!S101&lt;84.5%,"Satisfactorio","Óptimo"))),"No rendida o no válida")</f>
        <v>No rendida o no válida</v>
      </c>
    </row>
    <row r="102" spans="1:20">
      <c r="A102" s="29"/>
      <c r="B102" s="74"/>
      <c r="C102" s="74"/>
      <c r="D102" s="73"/>
      <c r="E102" s="73"/>
      <c r="F102" s="73"/>
      <c r="G102" s="68"/>
      <c r="H102" s="69"/>
      <c r="I102" s="70"/>
      <c r="J102" s="69"/>
      <c r="K102" s="71"/>
      <c r="L102" s="72"/>
      <c r="M102" s="72"/>
      <c r="N102" s="72"/>
      <c r="O102" s="72"/>
      <c r="P102" s="72"/>
      <c r="Q102" s="72"/>
      <c r="R102" s="37">
        <f t="shared" si="2"/>
        <v>0</v>
      </c>
      <c r="S102" s="77">
        <f t="shared" si="3"/>
        <v>0</v>
      </c>
      <c r="T102" s="37" t="str">
        <f>IF(H102="Rendida ",IF('Resultados Individuales'!S102&lt;49.5%,"Por Mejorar",IF('Resultados Individuales'!S102&lt;64.5%,"Base",IF('Resultados Individuales'!S102&lt;84.5%,"Satisfactorio","Óptimo"))),"No rendida o no válida")</f>
        <v>No rendida o no válida</v>
      </c>
    </row>
    <row r="103" spans="1:20">
      <c r="A103" s="29"/>
      <c r="B103" s="74"/>
      <c r="C103" s="74"/>
      <c r="D103" s="73"/>
      <c r="E103" s="73"/>
      <c r="F103" s="73"/>
      <c r="G103" s="38"/>
      <c r="H103" s="38"/>
      <c r="I103" s="38"/>
      <c r="J103" s="38"/>
      <c r="K103" s="38"/>
      <c r="L103" s="38"/>
      <c r="M103" s="38"/>
      <c r="N103" s="38"/>
      <c r="O103" s="38"/>
      <c r="P103" s="38"/>
      <c r="Q103" s="38"/>
      <c r="R103" s="37">
        <f t="shared" si="2"/>
        <v>0</v>
      </c>
      <c r="S103" s="77">
        <f t="shared" si="3"/>
        <v>0</v>
      </c>
      <c r="T103" s="37" t="str">
        <f>IF(H103="Rendida ",IF('Resultados Individuales'!S103&lt;49.5%,"Por Mejorar",IF('Resultados Individuales'!S103&lt;64.5%,"Base",IF('Resultados Individuales'!S103&lt;84.5%,"Satisfactorio","Óptimo"))),"No rendida o no válida")</f>
        <v>No rendida o no válida</v>
      </c>
    </row>
    <row r="104" spans="1:20">
      <c r="A104" s="29"/>
      <c r="B104" s="74"/>
      <c r="C104" s="74"/>
      <c r="D104" s="73"/>
      <c r="E104" s="73"/>
      <c r="F104" s="73"/>
      <c r="G104" s="38"/>
      <c r="H104" s="38"/>
      <c r="I104" s="38"/>
      <c r="J104" s="38"/>
      <c r="K104" s="38"/>
      <c r="L104" s="38"/>
      <c r="M104" s="38"/>
      <c r="N104" s="38"/>
      <c r="O104" s="38"/>
      <c r="P104" s="38"/>
      <c r="Q104" s="38"/>
      <c r="R104" s="37">
        <f t="shared" si="2"/>
        <v>0</v>
      </c>
      <c r="S104" s="77">
        <f t="shared" si="3"/>
        <v>0</v>
      </c>
      <c r="T104" s="37" t="str">
        <f>IF(H104="Rendida ",IF('Resultados Individuales'!S104&lt;49.5%,"Por Mejorar",IF('Resultados Individuales'!S104&lt;64.5%,"Base",IF('Resultados Individuales'!S104&lt;84.5%,"Satisfactorio","Óptimo"))),"No rendida o no válida")</f>
        <v>No rendida o no válida</v>
      </c>
    </row>
    <row r="105" spans="1:20">
      <c r="A105" s="29"/>
      <c r="B105" s="74"/>
      <c r="C105" s="74"/>
      <c r="D105" s="73"/>
      <c r="E105" s="73"/>
      <c r="F105" s="73"/>
      <c r="G105" s="38"/>
      <c r="H105" s="38"/>
      <c r="I105" s="38"/>
      <c r="J105" s="38"/>
      <c r="K105" s="38"/>
      <c r="L105" s="38"/>
      <c r="M105" s="38"/>
      <c r="N105" s="38"/>
      <c r="O105" s="38"/>
      <c r="P105" s="38"/>
      <c r="Q105" s="38"/>
      <c r="R105" s="37">
        <f t="shared" si="2"/>
        <v>0</v>
      </c>
      <c r="S105" s="77">
        <f t="shared" si="3"/>
        <v>0</v>
      </c>
      <c r="T105" s="37" t="str">
        <f>IF(H105="Rendida ",IF('Resultados Individuales'!S105&lt;49.5%,"Por Mejorar",IF('Resultados Individuales'!S105&lt;64.5%,"Base",IF('Resultados Individuales'!S105&lt;84.5%,"Satisfactorio","Óptimo"))),"No rendida o no válida")</f>
        <v>No rendida o no válida</v>
      </c>
    </row>
    <row r="106" spans="1:20">
      <c r="A106" s="29"/>
      <c r="B106" s="74"/>
      <c r="C106" s="74"/>
      <c r="D106" s="73"/>
      <c r="E106" s="73"/>
      <c r="F106" s="73"/>
      <c r="G106" s="38"/>
      <c r="H106" s="38"/>
      <c r="I106" s="38"/>
      <c r="J106" s="38"/>
      <c r="K106" s="38"/>
      <c r="L106" s="38"/>
      <c r="M106" s="38"/>
      <c r="N106" s="38"/>
      <c r="O106" s="38"/>
      <c r="P106" s="38"/>
      <c r="Q106" s="38"/>
      <c r="R106" s="37">
        <f t="shared" si="2"/>
        <v>0</v>
      </c>
      <c r="S106" s="77">
        <f t="shared" si="3"/>
        <v>0</v>
      </c>
      <c r="T106" s="37" t="str">
        <f>IF(H106="Rendida ",IF('Resultados Individuales'!S106&lt;49.5%,"Por Mejorar",IF('Resultados Individuales'!S106&lt;64.5%,"Base",IF('Resultados Individuales'!S106&lt;84.5%,"Satisfactorio","Óptimo"))),"No rendida o no válida")</f>
        <v>No rendida o no válida</v>
      </c>
    </row>
    <row r="107" spans="1:20">
      <c r="A107" s="29"/>
      <c r="B107" s="74"/>
      <c r="C107" s="74"/>
      <c r="D107" s="73"/>
      <c r="E107" s="73"/>
      <c r="F107" s="73"/>
      <c r="G107" s="38"/>
      <c r="H107" s="38"/>
      <c r="I107" s="38"/>
      <c r="J107" s="38"/>
      <c r="K107" s="38"/>
      <c r="L107" s="38"/>
      <c r="M107" s="38"/>
      <c r="N107" s="38"/>
      <c r="O107" s="38"/>
      <c r="P107" s="38"/>
      <c r="Q107" s="38"/>
      <c r="R107" s="37">
        <f t="shared" si="2"/>
        <v>0</v>
      </c>
      <c r="S107" s="77">
        <f t="shared" si="3"/>
        <v>0</v>
      </c>
      <c r="T107" s="37" t="str">
        <f>IF(H107="Rendida ",IF('Resultados Individuales'!S107&lt;49.5%,"Por Mejorar",IF('Resultados Individuales'!S107&lt;64.5%,"Base",IF('Resultados Individuales'!S107&lt;84.5%,"Satisfactorio","Óptimo"))),"No rendida o no válida")</f>
        <v>No rendida o no válida</v>
      </c>
    </row>
    <row r="108" spans="1:20">
      <c r="A108" s="29"/>
      <c r="B108" s="74"/>
      <c r="C108" s="74"/>
      <c r="D108" s="73"/>
      <c r="E108" s="73"/>
      <c r="F108" s="73"/>
      <c r="G108" s="38"/>
      <c r="H108" s="38"/>
      <c r="I108" s="38"/>
      <c r="J108" s="38"/>
      <c r="K108" s="38"/>
      <c r="L108" s="38"/>
      <c r="M108" s="38"/>
      <c r="N108" s="38"/>
      <c r="O108" s="38"/>
      <c r="P108" s="38"/>
      <c r="Q108" s="38"/>
      <c r="R108" s="37">
        <f t="shared" si="2"/>
        <v>0</v>
      </c>
      <c r="S108" s="77">
        <f t="shared" si="3"/>
        <v>0</v>
      </c>
      <c r="T108" s="37" t="str">
        <f>IF(H108="Rendida ",IF('Resultados Individuales'!S108&lt;49.5%,"Por Mejorar",IF('Resultados Individuales'!S108&lt;64.5%,"Base",IF('Resultados Individuales'!S108&lt;84.5%,"Satisfactorio","Óptimo"))),"No rendida o no válida")</f>
        <v>No rendida o no válida</v>
      </c>
    </row>
    <row r="109" spans="1:20">
      <c r="A109" s="29"/>
      <c r="B109" s="74"/>
      <c r="C109" s="74"/>
      <c r="D109" s="73"/>
      <c r="E109" s="73"/>
      <c r="F109" s="73"/>
      <c r="G109" s="29"/>
      <c r="H109" s="29"/>
      <c r="I109" s="29"/>
      <c r="J109" s="29"/>
      <c r="K109" s="29"/>
      <c r="L109" s="29"/>
      <c r="M109" s="29"/>
      <c r="N109" s="29"/>
      <c r="O109" s="29"/>
      <c r="P109" s="29"/>
      <c r="Q109" s="29"/>
      <c r="R109" s="37">
        <f t="shared" si="2"/>
        <v>0</v>
      </c>
      <c r="S109" s="77">
        <f t="shared" si="3"/>
        <v>0</v>
      </c>
      <c r="T109" s="37" t="str">
        <f>IF(H109="Rendida ",IF('Resultados Individuales'!S109&lt;49.5%,"Por Mejorar",IF('Resultados Individuales'!S109&lt;64.5%,"Base",IF('Resultados Individuales'!S109&lt;84.5%,"Satisfactorio","Óptimo"))),"No rendida o no válida")</f>
        <v>No rendida o no válida</v>
      </c>
    </row>
    <row r="110" spans="1:20">
      <c r="A110" s="29"/>
      <c r="B110" s="74"/>
      <c r="C110" s="74"/>
      <c r="D110" s="73"/>
      <c r="E110" s="73"/>
      <c r="F110" s="73"/>
      <c r="G110" s="38"/>
      <c r="H110" s="38"/>
      <c r="I110" s="38"/>
      <c r="J110" s="38"/>
      <c r="K110" s="38"/>
      <c r="L110" s="38"/>
      <c r="M110" s="38"/>
      <c r="N110" s="38"/>
      <c r="O110" s="38"/>
      <c r="P110" s="38"/>
      <c r="Q110" s="38"/>
      <c r="R110" s="37">
        <f t="shared" si="2"/>
        <v>0</v>
      </c>
      <c r="S110" s="77">
        <f t="shared" si="3"/>
        <v>0</v>
      </c>
      <c r="T110" s="37" t="str">
        <f>IF(H110="Rendida ",IF('Resultados Individuales'!S110&lt;49.5%,"Por Mejorar",IF('Resultados Individuales'!S110&lt;64.5%,"Base",IF('Resultados Individuales'!S110&lt;84.5%,"Satisfactorio","Óptimo"))),"No rendida o no válida")</f>
        <v>No rendida o no válida</v>
      </c>
    </row>
    <row r="111" spans="1:20">
      <c r="A111" s="29"/>
      <c r="B111" s="74"/>
      <c r="C111" s="74"/>
      <c r="D111" s="73"/>
      <c r="E111" s="73"/>
      <c r="F111" s="73"/>
      <c r="G111" s="38"/>
      <c r="H111" s="38"/>
      <c r="I111" s="38"/>
      <c r="J111" s="38"/>
      <c r="K111" s="38"/>
      <c r="L111" s="38"/>
      <c r="M111" s="38"/>
      <c r="N111" s="38"/>
      <c r="O111" s="38"/>
      <c r="P111" s="38"/>
      <c r="Q111" s="38"/>
      <c r="R111" s="37">
        <f t="shared" si="2"/>
        <v>0</v>
      </c>
      <c r="S111" s="77">
        <f t="shared" si="3"/>
        <v>0</v>
      </c>
      <c r="T111" s="37" t="str">
        <f>IF(H111="Rendida ",IF('Resultados Individuales'!S111&lt;49.5%,"Por Mejorar",IF('Resultados Individuales'!S111&lt;64.5%,"Base",IF('Resultados Individuales'!S111&lt;84.5%,"Satisfactorio","Óptimo"))),"No rendida o no válida")</f>
        <v>No rendida o no válida</v>
      </c>
    </row>
    <row r="112" spans="1:20">
      <c r="A112" s="29"/>
      <c r="B112" s="74"/>
      <c r="C112" s="74"/>
      <c r="D112" s="73"/>
      <c r="E112" s="73"/>
      <c r="F112" s="73"/>
      <c r="G112" s="38"/>
      <c r="H112" s="38"/>
      <c r="I112" s="38"/>
      <c r="J112" s="38"/>
      <c r="K112" s="38"/>
      <c r="L112" s="38"/>
      <c r="M112" s="38"/>
      <c r="N112" s="38"/>
      <c r="O112" s="38"/>
      <c r="P112" s="38"/>
      <c r="Q112" s="38"/>
      <c r="R112" s="37">
        <f t="shared" si="2"/>
        <v>0</v>
      </c>
      <c r="S112" s="77">
        <f t="shared" si="3"/>
        <v>0</v>
      </c>
      <c r="T112" s="37" t="str">
        <f>IF(H112="Rendida ",IF('Resultados Individuales'!S112&lt;49.5%,"Por Mejorar",IF('Resultados Individuales'!S112&lt;64.5%,"Base",IF('Resultados Individuales'!S112&lt;84.5%,"Satisfactorio","Óptimo"))),"No rendida o no válida")</f>
        <v>No rendida o no válida</v>
      </c>
    </row>
    <row r="113" spans="1:20">
      <c r="A113" s="29"/>
      <c r="B113" s="74"/>
      <c r="C113" s="74"/>
      <c r="D113" s="73"/>
      <c r="E113" s="73"/>
      <c r="F113" s="73"/>
      <c r="G113" s="29"/>
      <c r="H113" s="29"/>
      <c r="I113" s="29"/>
      <c r="J113" s="29"/>
      <c r="K113" s="29"/>
      <c r="L113" s="29"/>
      <c r="M113" s="29"/>
      <c r="N113" s="29"/>
      <c r="O113" s="29"/>
      <c r="P113" s="29"/>
      <c r="Q113" s="29"/>
      <c r="R113" s="37">
        <f t="shared" si="2"/>
        <v>0</v>
      </c>
      <c r="S113" s="77">
        <f t="shared" si="3"/>
        <v>0</v>
      </c>
      <c r="T113" s="37" t="str">
        <f>IF(H113="Rendida ",IF('Resultados Individuales'!S113&lt;49.5%,"Por Mejorar",IF('Resultados Individuales'!S113&lt;64.5%,"Base",IF('Resultados Individuales'!S113&lt;84.5%,"Satisfactorio","Óptimo"))),"No rendida o no válida")</f>
        <v>No rendida o no válida</v>
      </c>
    </row>
    <row r="114" spans="1:20">
      <c r="A114" s="29"/>
      <c r="B114" s="74"/>
      <c r="C114" s="74"/>
      <c r="D114" s="73"/>
      <c r="E114" s="73"/>
      <c r="F114" s="73"/>
      <c r="G114" s="38"/>
      <c r="H114" s="38"/>
      <c r="I114" s="38"/>
      <c r="J114" s="38"/>
      <c r="K114" s="38"/>
      <c r="L114" s="38"/>
      <c r="M114" s="38"/>
      <c r="N114" s="38"/>
      <c r="O114" s="38"/>
      <c r="P114" s="38"/>
      <c r="Q114" s="38"/>
      <c r="R114" s="37">
        <f t="shared" si="2"/>
        <v>0</v>
      </c>
      <c r="S114" s="77">
        <f t="shared" si="3"/>
        <v>0</v>
      </c>
      <c r="T114" s="37" t="str">
        <f>IF(H114="Rendida ",IF('Resultados Individuales'!S114&lt;49.5%,"Por Mejorar",IF('Resultados Individuales'!S114&lt;64.5%,"Base",IF('Resultados Individuales'!S114&lt;84.5%,"Satisfactorio","Óptimo"))),"No rendida o no válida")</f>
        <v>No rendida o no válida</v>
      </c>
    </row>
    <row r="115" spans="1:20">
      <c r="A115" s="29"/>
      <c r="B115" s="74"/>
      <c r="C115" s="74"/>
      <c r="D115" s="73"/>
      <c r="E115" s="73"/>
      <c r="F115" s="73"/>
      <c r="G115" s="29"/>
      <c r="H115" s="29"/>
      <c r="I115" s="29"/>
      <c r="J115" s="29"/>
      <c r="K115" s="29"/>
      <c r="L115" s="29"/>
      <c r="M115" s="29"/>
      <c r="N115" s="29"/>
      <c r="O115" s="29"/>
      <c r="P115" s="29"/>
      <c r="Q115" s="29"/>
      <c r="R115" s="37">
        <f t="shared" si="2"/>
        <v>0</v>
      </c>
      <c r="S115" s="77">
        <f t="shared" si="3"/>
        <v>0</v>
      </c>
      <c r="T115" s="37" t="str">
        <f>IF(H115="Rendida ",IF('Resultados Individuales'!S115&lt;49.5%,"Por Mejorar",IF('Resultados Individuales'!S115&lt;64.5%,"Base",IF('Resultados Individuales'!S115&lt;84.5%,"Satisfactorio","Óptimo"))),"No rendida o no válida")</f>
        <v>No rendida o no válida</v>
      </c>
    </row>
    <row r="116" spans="1:20">
      <c r="A116" s="29"/>
      <c r="B116" s="74"/>
      <c r="C116" s="74"/>
      <c r="D116" s="73"/>
      <c r="E116" s="73"/>
      <c r="F116" s="73"/>
      <c r="G116" s="38"/>
      <c r="H116" s="38"/>
      <c r="I116" s="38"/>
      <c r="J116" s="38"/>
      <c r="K116" s="38"/>
      <c r="L116" s="38"/>
      <c r="M116" s="38"/>
      <c r="N116" s="38"/>
      <c r="O116" s="38"/>
      <c r="P116" s="38"/>
      <c r="Q116" s="38"/>
      <c r="R116" s="37">
        <f t="shared" si="2"/>
        <v>0</v>
      </c>
      <c r="S116" s="77">
        <f t="shared" si="3"/>
        <v>0</v>
      </c>
      <c r="T116" s="37" t="str">
        <f>IF(H116="Rendida ",IF('Resultados Individuales'!S116&lt;49.5%,"Por Mejorar",IF('Resultados Individuales'!S116&lt;64.5%,"Base",IF('Resultados Individuales'!S116&lt;84.5%,"Satisfactorio","Óptimo"))),"No rendida o no válida")</f>
        <v>No rendida o no válida</v>
      </c>
    </row>
    <row r="117" spans="1:20">
      <c r="A117" s="29"/>
      <c r="B117" s="74"/>
      <c r="C117" s="74"/>
      <c r="D117" s="73"/>
      <c r="E117" s="73"/>
      <c r="F117" s="73"/>
      <c r="G117" s="29"/>
      <c r="H117" s="29"/>
      <c r="I117" s="29"/>
      <c r="J117" s="29"/>
      <c r="K117" s="29"/>
      <c r="L117" s="29"/>
      <c r="M117" s="29"/>
      <c r="N117" s="29"/>
      <c r="O117" s="29"/>
      <c r="P117" s="29"/>
      <c r="Q117" s="29"/>
      <c r="R117" s="37">
        <f t="shared" si="2"/>
        <v>0</v>
      </c>
      <c r="S117" s="77">
        <f t="shared" si="3"/>
        <v>0</v>
      </c>
      <c r="T117" s="37" t="str">
        <f>IF(H117="Rendida ",IF('Resultados Individuales'!S117&lt;49.5%,"Por Mejorar",IF('Resultados Individuales'!S117&lt;64.5%,"Base",IF('Resultados Individuales'!S117&lt;84.5%,"Satisfactorio","Óptimo"))),"No rendida o no válida")</f>
        <v>No rendida o no válida</v>
      </c>
    </row>
    <row r="118" spans="1:20">
      <c r="A118" s="29"/>
      <c r="B118" s="74"/>
      <c r="C118" s="74"/>
      <c r="D118" s="73"/>
      <c r="E118" s="73"/>
      <c r="F118" s="73"/>
      <c r="G118" s="38"/>
      <c r="H118" s="38"/>
      <c r="I118" s="38"/>
      <c r="J118" s="38"/>
      <c r="K118" s="38"/>
      <c r="L118" s="38"/>
      <c r="M118" s="38"/>
      <c r="N118" s="38"/>
      <c r="O118" s="38"/>
      <c r="P118" s="38"/>
      <c r="Q118" s="38"/>
      <c r="R118" s="37">
        <f t="shared" si="2"/>
        <v>0</v>
      </c>
      <c r="S118" s="77">
        <f t="shared" si="3"/>
        <v>0</v>
      </c>
      <c r="T118" s="37" t="str">
        <f>IF(H118="Rendida ",IF('Resultados Individuales'!S118&lt;49.5%,"Por Mejorar",IF('Resultados Individuales'!S118&lt;64.5%,"Base",IF('Resultados Individuales'!S118&lt;84.5%,"Satisfactorio","Óptimo"))),"No rendida o no válida")</f>
        <v>No rendida o no válida</v>
      </c>
    </row>
    <row r="119" spans="1:20">
      <c r="A119" s="29"/>
      <c r="B119" s="74"/>
      <c r="C119" s="74"/>
      <c r="D119" s="73"/>
      <c r="E119" s="73"/>
      <c r="F119" s="73"/>
      <c r="G119" s="29"/>
      <c r="H119" s="29"/>
      <c r="I119" s="29"/>
      <c r="J119" s="29"/>
      <c r="K119" s="29"/>
      <c r="L119" s="29"/>
      <c r="M119" s="29"/>
      <c r="N119" s="29"/>
      <c r="O119" s="29"/>
      <c r="P119" s="29"/>
      <c r="Q119" s="29"/>
      <c r="R119" s="37">
        <f t="shared" si="2"/>
        <v>0</v>
      </c>
      <c r="S119" s="77">
        <f t="shared" si="3"/>
        <v>0</v>
      </c>
      <c r="T119" s="37" t="str">
        <f>IF(H119="Rendida ",IF('Resultados Individuales'!S119&lt;49.5%,"Por Mejorar",IF('Resultados Individuales'!S119&lt;64.5%,"Base",IF('Resultados Individuales'!S119&lt;84.5%,"Satisfactorio","Óptimo"))),"No rendida o no válida")</f>
        <v>No rendida o no válida</v>
      </c>
    </row>
    <row r="120" spans="1:20">
      <c r="A120" s="29"/>
      <c r="B120" s="74"/>
      <c r="C120" s="74"/>
      <c r="D120" s="73"/>
      <c r="E120" s="73"/>
      <c r="F120" s="73"/>
      <c r="G120" s="38"/>
      <c r="H120" s="38"/>
      <c r="I120" s="38"/>
      <c r="J120" s="38"/>
      <c r="K120" s="38"/>
      <c r="L120" s="38"/>
      <c r="M120" s="38"/>
      <c r="N120" s="38"/>
      <c r="O120" s="38"/>
      <c r="P120" s="38"/>
      <c r="Q120" s="38"/>
      <c r="R120" s="37">
        <f t="shared" si="2"/>
        <v>0</v>
      </c>
      <c r="S120" s="77">
        <f t="shared" si="3"/>
        <v>0</v>
      </c>
      <c r="T120" s="37" t="str">
        <f>IF(H120="Rendida ",IF('Resultados Individuales'!S120&lt;49.5%,"Por Mejorar",IF('Resultados Individuales'!S120&lt;64.5%,"Base",IF('Resultados Individuales'!S120&lt;84.5%,"Satisfactorio","Óptimo"))),"No rendida o no válida")</f>
        <v>No rendida o no válida</v>
      </c>
    </row>
    <row r="121" spans="1:20">
      <c r="A121" s="29"/>
      <c r="B121" s="74"/>
      <c r="C121" s="74"/>
      <c r="D121" s="73"/>
      <c r="E121" s="73"/>
      <c r="F121" s="73"/>
      <c r="G121" s="29"/>
      <c r="H121" s="29"/>
      <c r="I121" s="29"/>
      <c r="J121" s="29"/>
      <c r="K121" s="29"/>
      <c r="L121" s="29"/>
      <c r="M121" s="29"/>
      <c r="N121" s="29"/>
      <c r="O121" s="29"/>
      <c r="P121" s="29"/>
      <c r="Q121" s="29"/>
      <c r="R121" s="37">
        <f t="shared" si="2"/>
        <v>0</v>
      </c>
      <c r="S121" s="77">
        <f t="shared" si="3"/>
        <v>0</v>
      </c>
      <c r="T121" s="37" t="str">
        <f>IF(H121="Rendida ",IF('Resultados Individuales'!S121&lt;49.5%,"Por Mejorar",IF('Resultados Individuales'!S121&lt;64.5%,"Base",IF('Resultados Individuales'!S121&lt;84.5%,"Satisfactorio","Óptimo"))),"No rendida o no válida")</f>
        <v>No rendida o no válida</v>
      </c>
    </row>
    <row r="122" spans="1:20">
      <c r="A122" s="29"/>
      <c r="B122" s="74"/>
      <c r="C122" s="74"/>
      <c r="D122" s="73"/>
      <c r="E122" s="73"/>
      <c r="F122" s="73"/>
      <c r="G122" s="29"/>
      <c r="H122" s="29"/>
      <c r="I122" s="29"/>
      <c r="J122" s="29"/>
      <c r="K122" s="29"/>
      <c r="L122" s="29"/>
      <c r="M122" s="29"/>
      <c r="N122" s="29"/>
      <c r="O122" s="29"/>
      <c r="P122" s="29"/>
      <c r="Q122" s="29"/>
      <c r="R122" s="37">
        <f t="shared" si="2"/>
        <v>0</v>
      </c>
      <c r="S122" s="77">
        <f t="shared" si="3"/>
        <v>0</v>
      </c>
      <c r="T122" s="37" t="str">
        <f>IF(H122="Rendida ",IF('Resultados Individuales'!S122&lt;49.5%,"Por Mejorar",IF('Resultados Individuales'!S122&lt;64.5%,"Base",IF('Resultados Individuales'!S122&lt;84.5%,"Satisfactorio","Óptimo"))),"No rendida o no válida")</f>
        <v>No rendida o no válida</v>
      </c>
    </row>
    <row r="123" spans="1:20">
      <c r="A123" s="29"/>
      <c r="B123" s="74"/>
      <c r="C123" s="74"/>
      <c r="D123" s="73"/>
      <c r="E123" s="73"/>
      <c r="F123" s="73"/>
      <c r="G123" s="29"/>
      <c r="H123" s="29"/>
      <c r="I123" s="29"/>
      <c r="J123" s="29"/>
      <c r="K123" s="29"/>
      <c r="L123" s="29"/>
      <c r="M123" s="29"/>
      <c r="N123" s="29"/>
      <c r="O123" s="29"/>
      <c r="P123" s="29"/>
      <c r="Q123" s="29"/>
      <c r="R123" s="37">
        <f t="shared" si="2"/>
        <v>0</v>
      </c>
      <c r="S123" s="77">
        <f t="shared" si="3"/>
        <v>0</v>
      </c>
      <c r="T123" s="37" t="str">
        <f>IF(H123="Rendida ",IF('Resultados Individuales'!S123&lt;49.5%,"Por Mejorar",IF('Resultados Individuales'!S123&lt;64.5%,"Base",IF('Resultados Individuales'!S123&lt;84.5%,"Satisfactorio","Óptimo"))),"No rendida o no válida")</f>
        <v>No rendida o no válida</v>
      </c>
    </row>
    <row r="124" spans="1:20">
      <c r="A124" s="29"/>
      <c r="B124" s="74"/>
      <c r="C124" s="74"/>
      <c r="D124" s="73"/>
      <c r="E124" s="73"/>
      <c r="F124" s="73"/>
      <c r="G124" s="29"/>
      <c r="H124" s="29"/>
      <c r="I124" s="29"/>
      <c r="J124" s="29"/>
      <c r="K124" s="29"/>
      <c r="L124" s="29"/>
      <c r="M124" s="29"/>
      <c r="N124" s="29"/>
      <c r="O124" s="29"/>
      <c r="P124" s="29"/>
      <c r="Q124" s="29"/>
      <c r="R124" s="37">
        <f t="shared" si="2"/>
        <v>0</v>
      </c>
      <c r="S124" s="77">
        <f t="shared" si="3"/>
        <v>0</v>
      </c>
      <c r="T124" s="37" t="str">
        <f>IF(H124="Rendida ",IF('Resultados Individuales'!S124&lt;49.5%,"Por Mejorar",IF('Resultados Individuales'!S124&lt;64.5%,"Base",IF('Resultados Individuales'!S124&lt;84.5%,"Satisfactorio","Óptimo"))),"No rendida o no válida")</f>
        <v>No rendida o no válida</v>
      </c>
    </row>
    <row r="125" spans="1:20">
      <c r="A125" s="29"/>
      <c r="B125" s="74"/>
      <c r="C125" s="74"/>
      <c r="D125" s="73"/>
      <c r="E125" s="73"/>
      <c r="F125" s="73"/>
      <c r="G125" s="29"/>
      <c r="H125" s="29"/>
      <c r="I125" s="29"/>
      <c r="J125" s="29"/>
      <c r="K125" s="29"/>
      <c r="L125" s="29"/>
      <c r="M125" s="29"/>
      <c r="N125" s="29"/>
      <c r="O125" s="29"/>
      <c r="P125" s="29"/>
      <c r="Q125" s="29"/>
      <c r="R125" s="37">
        <f t="shared" si="2"/>
        <v>0</v>
      </c>
      <c r="S125" s="77">
        <f t="shared" si="3"/>
        <v>0</v>
      </c>
      <c r="T125" s="37" t="str">
        <f>IF(H125="Rendida ",IF('Resultados Individuales'!S125&lt;49.5%,"Por Mejorar",IF('Resultados Individuales'!S125&lt;64.5%,"Base",IF('Resultados Individuales'!S125&lt;84.5%,"Satisfactorio","Óptimo"))),"No rendida o no válida")</f>
        <v>No rendida o no válida</v>
      </c>
    </row>
    <row r="126" spans="1:20">
      <c r="A126" s="29"/>
      <c r="B126" s="74"/>
      <c r="C126" s="74"/>
      <c r="D126" s="73"/>
      <c r="E126" s="73"/>
      <c r="F126" s="73"/>
      <c r="G126" s="29"/>
      <c r="H126" s="29"/>
      <c r="I126" s="29"/>
      <c r="J126" s="29"/>
      <c r="K126" s="29"/>
      <c r="L126" s="29"/>
      <c r="M126" s="29"/>
      <c r="N126" s="29"/>
      <c r="O126" s="29"/>
      <c r="P126" s="29"/>
      <c r="Q126" s="29"/>
      <c r="R126" s="37">
        <f t="shared" si="2"/>
        <v>0</v>
      </c>
      <c r="S126" s="77">
        <f t="shared" si="3"/>
        <v>0</v>
      </c>
      <c r="T126" s="37" t="str">
        <f>IF(H126="Rendida ",IF('Resultados Individuales'!S126&lt;49.5%,"Por Mejorar",IF('Resultados Individuales'!S126&lt;64.5%,"Base",IF('Resultados Individuales'!S126&lt;84.5%,"Satisfactorio","Óptimo"))),"No rendida o no válida")</f>
        <v>No rendida o no válida</v>
      </c>
    </row>
    <row r="127" spans="1:20">
      <c r="A127" s="29"/>
      <c r="B127" s="74"/>
      <c r="C127" s="74"/>
      <c r="D127" s="73"/>
      <c r="E127" s="73"/>
      <c r="F127" s="73"/>
      <c r="G127" s="29"/>
      <c r="H127" s="29"/>
      <c r="I127" s="29"/>
      <c r="J127" s="29"/>
      <c r="K127" s="29"/>
      <c r="L127" s="29"/>
      <c r="M127" s="29"/>
      <c r="N127" s="29"/>
      <c r="O127" s="29"/>
      <c r="P127" s="29"/>
      <c r="Q127" s="29"/>
      <c r="R127" s="37">
        <f t="shared" si="2"/>
        <v>0</v>
      </c>
      <c r="S127" s="77">
        <f t="shared" si="3"/>
        <v>0</v>
      </c>
      <c r="T127" s="37" t="str">
        <f>IF(H127="Rendida ",IF('Resultados Individuales'!S127&lt;49.5%,"Por Mejorar",IF('Resultados Individuales'!S127&lt;64.5%,"Base",IF('Resultados Individuales'!S127&lt;84.5%,"Satisfactorio","Óptimo"))),"No rendida o no válida")</f>
        <v>No rendida o no válida</v>
      </c>
    </row>
    <row r="128" spans="1:20">
      <c r="A128" s="29"/>
      <c r="B128" s="74"/>
      <c r="C128" s="74"/>
      <c r="D128" s="73"/>
      <c r="E128" s="73"/>
      <c r="F128" s="73"/>
      <c r="G128" s="29"/>
      <c r="H128" s="29"/>
      <c r="I128" s="29"/>
      <c r="J128" s="29"/>
      <c r="K128" s="29"/>
      <c r="L128" s="29"/>
      <c r="M128" s="29"/>
      <c r="N128" s="29"/>
      <c r="O128" s="29"/>
      <c r="P128" s="29"/>
      <c r="Q128" s="29"/>
      <c r="R128" s="37">
        <f t="shared" si="2"/>
        <v>0</v>
      </c>
      <c r="S128" s="77">
        <f t="shared" si="3"/>
        <v>0</v>
      </c>
      <c r="T128" s="37" t="str">
        <f>IF(H128="Rendida ",IF('Resultados Individuales'!S128&lt;49.5%,"Por Mejorar",IF('Resultados Individuales'!S128&lt;64.5%,"Base",IF('Resultados Individuales'!S128&lt;84.5%,"Satisfactorio","Óptimo"))),"No rendida o no válida")</f>
        <v>No rendida o no válida</v>
      </c>
    </row>
    <row r="129" spans="1:20">
      <c r="A129" s="29"/>
      <c r="B129" s="74"/>
      <c r="C129" s="74"/>
      <c r="D129" s="73"/>
      <c r="E129" s="73"/>
      <c r="F129" s="73"/>
      <c r="G129" s="29"/>
      <c r="H129" s="29"/>
      <c r="I129" s="29"/>
      <c r="J129" s="29"/>
      <c r="K129" s="29"/>
      <c r="L129" s="29"/>
      <c r="M129" s="29"/>
      <c r="N129" s="29"/>
      <c r="O129" s="29"/>
      <c r="P129" s="29"/>
      <c r="Q129" s="29"/>
      <c r="R129" s="37">
        <f t="shared" si="2"/>
        <v>0</v>
      </c>
      <c r="S129" s="77">
        <f t="shared" si="3"/>
        <v>0</v>
      </c>
      <c r="T129" s="37" t="str">
        <f>IF(H129="Rendida ",IF('Resultados Individuales'!S129&lt;49.5%,"Por Mejorar",IF('Resultados Individuales'!S129&lt;64.5%,"Base",IF('Resultados Individuales'!S129&lt;84.5%,"Satisfactorio","Óptimo"))),"No rendida o no válida")</f>
        <v>No rendida o no válida</v>
      </c>
    </row>
    <row r="130" spans="1:20">
      <c r="A130" s="29"/>
      <c r="B130" s="74"/>
      <c r="C130" s="74"/>
      <c r="D130" s="73"/>
      <c r="E130" s="73"/>
      <c r="F130" s="73"/>
      <c r="G130" s="29"/>
      <c r="H130" s="29"/>
      <c r="I130" s="29"/>
      <c r="J130" s="29"/>
      <c r="K130" s="29"/>
      <c r="L130" s="29"/>
      <c r="M130" s="29"/>
      <c r="N130" s="29"/>
      <c r="O130" s="29"/>
      <c r="P130" s="29"/>
      <c r="Q130" s="29"/>
      <c r="R130" s="37">
        <f t="shared" si="2"/>
        <v>0</v>
      </c>
      <c r="S130" s="77">
        <f t="shared" si="3"/>
        <v>0</v>
      </c>
      <c r="T130" s="37" t="str">
        <f>IF(H130="Rendida ",IF('Resultados Individuales'!S130&lt;49.5%,"Por Mejorar",IF('Resultados Individuales'!S130&lt;64.5%,"Base",IF('Resultados Individuales'!S130&lt;84.5%,"Satisfactorio","Óptimo"))),"No rendida o no válida")</f>
        <v>No rendida o no válida</v>
      </c>
    </row>
    <row r="131" spans="1:20">
      <c r="A131" s="29"/>
      <c r="B131" s="74"/>
      <c r="C131" s="74"/>
      <c r="D131" s="73"/>
      <c r="E131" s="73"/>
      <c r="F131" s="73"/>
      <c r="G131" s="29"/>
      <c r="H131" s="29"/>
      <c r="I131" s="29"/>
      <c r="J131" s="29"/>
      <c r="K131" s="29"/>
      <c r="L131" s="29"/>
      <c r="M131" s="29"/>
      <c r="N131" s="29"/>
      <c r="O131" s="29"/>
      <c r="P131" s="29"/>
      <c r="Q131" s="29"/>
      <c r="R131" s="37">
        <f t="shared" si="2"/>
        <v>0</v>
      </c>
      <c r="S131" s="77">
        <f t="shared" si="3"/>
        <v>0</v>
      </c>
      <c r="T131" s="37" t="str">
        <f>IF(H131="Rendida ",IF('Resultados Individuales'!S131&lt;49.5%,"Por Mejorar",IF('Resultados Individuales'!S131&lt;64.5%,"Base",IF('Resultados Individuales'!S131&lt;84.5%,"Satisfactorio","Óptimo"))),"No rendida o no válida")</f>
        <v>No rendida o no válida</v>
      </c>
    </row>
    <row r="132" spans="1:20">
      <c r="A132" s="29"/>
      <c r="B132" s="74"/>
      <c r="C132" s="74"/>
      <c r="D132" s="73"/>
      <c r="E132" s="73"/>
      <c r="F132" s="73"/>
      <c r="G132" s="29"/>
      <c r="H132" s="29"/>
      <c r="I132" s="29"/>
      <c r="J132" s="29"/>
      <c r="K132" s="29"/>
      <c r="L132" s="29"/>
      <c r="M132" s="29"/>
      <c r="N132" s="29"/>
      <c r="O132" s="29"/>
      <c r="P132" s="29"/>
      <c r="Q132" s="29"/>
      <c r="R132" s="37">
        <f t="shared" ref="R132:R195" si="4">SUM(K132:Q132)</f>
        <v>0</v>
      </c>
      <c r="S132" s="77">
        <f t="shared" si="3"/>
        <v>0</v>
      </c>
      <c r="T132" s="37" t="str">
        <f>IF(H132="Rendida ",IF('Resultados Individuales'!S132&lt;49.5%,"Por Mejorar",IF('Resultados Individuales'!S132&lt;64.5%,"Base",IF('Resultados Individuales'!S132&lt;84.5%,"Satisfactorio","Óptimo"))),"No rendida o no válida")</f>
        <v>No rendida o no válida</v>
      </c>
    </row>
    <row r="133" spans="1:20">
      <c r="A133" s="29"/>
      <c r="B133" s="74"/>
      <c r="C133" s="74"/>
      <c r="D133" s="73"/>
      <c r="E133" s="73"/>
      <c r="F133" s="73"/>
      <c r="G133" s="29"/>
      <c r="H133" s="29"/>
      <c r="I133" s="29"/>
      <c r="J133" s="29"/>
      <c r="K133" s="29"/>
      <c r="L133" s="29"/>
      <c r="M133" s="29"/>
      <c r="N133" s="29"/>
      <c r="O133" s="29"/>
      <c r="P133" s="29"/>
      <c r="Q133" s="29"/>
      <c r="R133" s="37">
        <f t="shared" si="4"/>
        <v>0</v>
      </c>
      <c r="S133" s="77">
        <f t="shared" ref="S133:S196" si="5">R133/32</f>
        <v>0</v>
      </c>
      <c r="T133" s="37" t="str">
        <f>IF(H133="Rendida ",IF('Resultados Individuales'!S133&lt;49.5%,"Por Mejorar",IF('Resultados Individuales'!S133&lt;64.5%,"Base",IF('Resultados Individuales'!S133&lt;84.5%,"Satisfactorio","Óptimo"))),"No rendida o no válida")</f>
        <v>No rendida o no válida</v>
      </c>
    </row>
    <row r="134" spans="1:20">
      <c r="A134" s="29"/>
      <c r="B134" s="74"/>
      <c r="C134" s="74"/>
      <c r="D134" s="73"/>
      <c r="E134" s="73"/>
      <c r="F134" s="73"/>
      <c r="G134" s="29"/>
      <c r="H134" s="29"/>
      <c r="I134" s="29"/>
      <c r="J134" s="29"/>
      <c r="K134" s="29"/>
      <c r="L134" s="29"/>
      <c r="M134" s="29"/>
      <c r="N134" s="29"/>
      <c r="O134" s="29"/>
      <c r="P134" s="29"/>
      <c r="Q134" s="29"/>
      <c r="R134" s="37">
        <f t="shared" si="4"/>
        <v>0</v>
      </c>
      <c r="S134" s="77">
        <f t="shared" si="5"/>
        <v>0</v>
      </c>
      <c r="T134" s="37" t="str">
        <f>IF(H134="Rendida ",IF('Resultados Individuales'!S134&lt;49.5%,"Por Mejorar",IF('Resultados Individuales'!S134&lt;64.5%,"Base",IF('Resultados Individuales'!S134&lt;84.5%,"Satisfactorio","Óptimo"))),"No rendida o no válida")</f>
        <v>No rendida o no válida</v>
      </c>
    </row>
    <row r="135" spans="1:20">
      <c r="A135" s="29"/>
      <c r="B135" s="74"/>
      <c r="C135" s="74"/>
      <c r="D135" s="73"/>
      <c r="E135" s="73"/>
      <c r="F135" s="73"/>
      <c r="G135" s="29"/>
      <c r="H135" s="29"/>
      <c r="I135" s="29"/>
      <c r="J135" s="29"/>
      <c r="K135" s="29"/>
      <c r="L135" s="29"/>
      <c r="M135" s="29"/>
      <c r="N135" s="29"/>
      <c r="O135" s="29"/>
      <c r="P135" s="29"/>
      <c r="Q135" s="29"/>
      <c r="R135" s="37">
        <f t="shared" si="4"/>
        <v>0</v>
      </c>
      <c r="S135" s="77">
        <f t="shared" si="5"/>
        <v>0</v>
      </c>
      <c r="T135" s="37" t="str">
        <f>IF(H135="Rendida ",IF('Resultados Individuales'!S135&lt;49.5%,"Por Mejorar",IF('Resultados Individuales'!S135&lt;64.5%,"Base",IF('Resultados Individuales'!S135&lt;84.5%,"Satisfactorio","Óptimo"))),"No rendida o no válida")</f>
        <v>No rendida o no válida</v>
      </c>
    </row>
    <row r="136" spans="1:20">
      <c r="A136" s="29"/>
      <c r="B136" s="74"/>
      <c r="C136" s="74"/>
      <c r="D136" s="73"/>
      <c r="E136" s="73"/>
      <c r="F136" s="73"/>
      <c r="G136" s="29"/>
      <c r="H136" s="29"/>
      <c r="I136" s="29"/>
      <c r="J136" s="29"/>
      <c r="K136" s="29"/>
      <c r="L136" s="29"/>
      <c r="M136" s="29"/>
      <c r="N136" s="29"/>
      <c r="O136" s="29"/>
      <c r="P136" s="29"/>
      <c r="Q136" s="29"/>
      <c r="R136" s="37">
        <f t="shared" si="4"/>
        <v>0</v>
      </c>
      <c r="S136" s="77">
        <f t="shared" si="5"/>
        <v>0</v>
      </c>
      <c r="T136" s="37" t="str">
        <f>IF(H136="Rendida ",IF('Resultados Individuales'!S136&lt;49.5%,"Por Mejorar",IF('Resultados Individuales'!S136&lt;64.5%,"Base",IF('Resultados Individuales'!S136&lt;84.5%,"Satisfactorio","Óptimo"))),"No rendida o no válida")</f>
        <v>No rendida o no válida</v>
      </c>
    </row>
    <row r="137" spans="1:20">
      <c r="A137" s="29"/>
      <c r="B137" s="74"/>
      <c r="C137" s="74"/>
      <c r="D137" s="73"/>
      <c r="E137" s="73"/>
      <c r="F137" s="73"/>
      <c r="G137" s="29"/>
      <c r="H137" s="29"/>
      <c r="I137" s="29"/>
      <c r="J137" s="29"/>
      <c r="K137" s="29"/>
      <c r="L137" s="29"/>
      <c r="M137" s="29"/>
      <c r="N137" s="29"/>
      <c r="O137" s="29"/>
      <c r="P137" s="29"/>
      <c r="Q137" s="29"/>
      <c r="R137" s="37">
        <f t="shared" si="4"/>
        <v>0</v>
      </c>
      <c r="S137" s="77">
        <f t="shared" si="5"/>
        <v>0</v>
      </c>
      <c r="T137" s="37" t="str">
        <f>IF(H137="Rendida ",IF('Resultados Individuales'!S137&lt;49.5%,"Por Mejorar",IF('Resultados Individuales'!S137&lt;64.5%,"Base",IF('Resultados Individuales'!S137&lt;84.5%,"Satisfactorio","Óptimo"))),"No rendida o no válida")</f>
        <v>No rendida o no válida</v>
      </c>
    </row>
    <row r="138" spans="1:20">
      <c r="A138" s="29"/>
      <c r="B138" s="74"/>
      <c r="C138" s="74"/>
      <c r="D138" s="73"/>
      <c r="E138" s="73"/>
      <c r="F138" s="73"/>
      <c r="G138" s="29"/>
      <c r="H138" s="29"/>
      <c r="I138" s="29"/>
      <c r="J138" s="29"/>
      <c r="K138" s="29"/>
      <c r="L138" s="29"/>
      <c r="M138" s="29"/>
      <c r="N138" s="29"/>
      <c r="O138" s="29"/>
      <c r="P138" s="29"/>
      <c r="Q138" s="29"/>
      <c r="R138" s="37">
        <f t="shared" si="4"/>
        <v>0</v>
      </c>
      <c r="S138" s="77">
        <f t="shared" si="5"/>
        <v>0</v>
      </c>
      <c r="T138" s="37" t="str">
        <f>IF(H138="Rendida ",IF('Resultados Individuales'!S138&lt;49.5%,"Por Mejorar",IF('Resultados Individuales'!S138&lt;64.5%,"Base",IF('Resultados Individuales'!S138&lt;84.5%,"Satisfactorio","Óptimo"))),"No rendida o no válida")</f>
        <v>No rendida o no válida</v>
      </c>
    </row>
    <row r="139" spans="1:20">
      <c r="A139" s="29"/>
      <c r="B139" s="74"/>
      <c r="C139" s="74"/>
      <c r="D139" s="73"/>
      <c r="E139" s="73"/>
      <c r="F139" s="73"/>
      <c r="G139" s="29"/>
      <c r="H139" s="29"/>
      <c r="I139" s="29"/>
      <c r="J139" s="29"/>
      <c r="K139" s="29"/>
      <c r="L139" s="29"/>
      <c r="M139" s="29"/>
      <c r="N139" s="29"/>
      <c r="O139" s="29"/>
      <c r="P139" s="29"/>
      <c r="Q139" s="29"/>
      <c r="R139" s="37">
        <f t="shared" si="4"/>
        <v>0</v>
      </c>
      <c r="S139" s="77">
        <f t="shared" si="5"/>
        <v>0</v>
      </c>
      <c r="T139" s="37" t="str">
        <f>IF(H139="Rendida ",IF('Resultados Individuales'!S139&lt;49.5%,"Por Mejorar",IF('Resultados Individuales'!S139&lt;64.5%,"Base",IF('Resultados Individuales'!S139&lt;84.5%,"Satisfactorio","Óptimo"))),"No rendida o no válida")</f>
        <v>No rendida o no válida</v>
      </c>
    </row>
    <row r="140" spans="1:20">
      <c r="A140" s="29"/>
      <c r="B140" s="74"/>
      <c r="C140" s="74"/>
      <c r="D140" s="73"/>
      <c r="E140" s="73"/>
      <c r="F140" s="73"/>
      <c r="G140" s="29"/>
      <c r="H140" s="29"/>
      <c r="I140" s="29"/>
      <c r="J140" s="29"/>
      <c r="K140" s="29"/>
      <c r="L140" s="29"/>
      <c r="M140" s="29"/>
      <c r="N140" s="29"/>
      <c r="O140" s="29"/>
      <c r="P140" s="29"/>
      <c r="Q140" s="29"/>
      <c r="R140" s="37">
        <f t="shared" si="4"/>
        <v>0</v>
      </c>
      <c r="S140" s="77">
        <f t="shared" si="5"/>
        <v>0</v>
      </c>
      <c r="T140" s="37" t="str">
        <f>IF(H140="Rendida ",IF('Resultados Individuales'!S140&lt;49.5%,"Por Mejorar",IF('Resultados Individuales'!S140&lt;64.5%,"Base",IF('Resultados Individuales'!S140&lt;84.5%,"Satisfactorio","Óptimo"))),"No rendida o no válida")</f>
        <v>No rendida o no válida</v>
      </c>
    </row>
    <row r="141" spans="1:20">
      <c r="A141" s="29"/>
      <c r="B141" s="74"/>
      <c r="C141" s="74"/>
      <c r="D141" s="73"/>
      <c r="E141" s="73"/>
      <c r="F141" s="73"/>
      <c r="G141" s="29"/>
      <c r="H141" s="29"/>
      <c r="I141" s="29"/>
      <c r="J141" s="29"/>
      <c r="K141" s="29"/>
      <c r="L141" s="29"/>
      <c r="M141" s="29"/>
      <c r="N141" s="29"/>
      <c r="O141" s="29"/>
      <c r="P141" s="29"/>
      <c r="Q141" s="29"/>
      <c r="R141" s="37">
        <f t="shared" si="4"/>
        <v>0</v>
      </c>
      <c r="S141" s="77">
        <f t="shared" si="5"/>
        <v>0</v>
      </c>
      <c r="T141" s="37" t="str">
        <f>IF(H141="Rendida ",IF('Resultados Individuales'!S141&lt;49.5%,"Por Mejorar",IF('Resultados Individuales'!S141&lt;64.5%,"Base",IF('Resultados Individuales'!S141&lt;84.5%,"Satisfactorio","Óptimo"))),"No rendida o no válida")</f>
        <v>No rendida o no válida</v>
      </c>
    </row>
    <row r="142" spans="1:20">
      <c r="A142" s="29"/>
      <c r="B142" s="74"/>
      <c r="C142" s="74"/>
      <c r="D142" s="73"/>
      <c r="E142" s="73"/>
      <c r="F142" s="73"/>
      <c r="G142" s="29"/>
      <c r="H142" s="29"/>
      <c r="I142" s="29"/>
      <c r="J142" s="29"/>
      <c r="K142" s="29"/>
      <c r="L142" s="29"/>
      <c r="M142" s="29"/>
      <c r="N142" s="29"/>
      <c r="O142" s="29"/>
      <c r="P142" s="29"/>
      <c r="Q142" s="29"/>
      <c r="R142" s="37">
        <f t="shared" si="4"/>
        <v>0</v>
      </c>
      <c r="S142" s="77">
        <f t="shared" si="5"/>
        <v>0</v>
      </c>
      <c r="T142" s="37" t="str">
        <f>IF(H142="Rendida ",IF('Resultados Individuales'!S142&lt;49.5%,"Por Mejorar",IF('Resultados Individuales'!S142&lt;64.5%,"Base",IF('Resultados Individuales'!S142&lt;84.5%,"Satisfactorio","Óptimo"))),"No rendida o no válida")</f>
        <v>No rendida o no válida</v>
      </c>
    </row>
    <row r="143" spans="1:20">
      <c r="A143" s="29"/>
      <c r="B143" s="74"/>
      <c r="C143" s="74"/>
      <c r="D143" s="73"/>
      <c r="E143" s="73"/>
      <c r="F143" s="73"/>
      <c r="G143" s="29"/>
      <c r="H143" s="29"/>
      <c r="I143" s="29"/>
      <c r="J143" s="29"/>
      <c r="K143" s="29"/>
      <c r="L143" s="29"/>
      <c r="M143" s="29"/>
      <c r="N143" s="29"/>
      <c r="O143" s="29"/>
      <c r="P143" s="29"/>
      <c r="Q143" s="29"/>
      <c r="R143" s="37">
        <f t="shared" si="4"/>
        <v>0</v>
      </c>
      <c r="S143" s="77">
        <f t="shared" si="5"/>
        <v>0</v>
      </c>
      <c r="T143" s="37" t="str">
        <f>IF(H143="Rendida ",IF('Resultados Individuales'!S143&lt;49.5%,"Por Mejorar",IF('Resultados Individuales'!S143&lt;64.5%,"Base",IF('Resultados Individuales'!S143&lt;84.5%,"Satisfactorio","Óptimo"))),"No rendida o no válida")</f>
        <v>No rendida o no válida</v>
      </c>
    </row>
    <row r="144" spans="1:20">
      <c r="A144" s="29"/>
      <c r="B144" s="74"/>
      <c r="C144" s="74"/>
      <c r="D144" s="73"/>
      <c r="E144" s="73"/>
      <c r="F144" s="73"/>
      <c r="G144" s="29"/>
      <c r="H144" s="29"/>
      <c r="I144" s="29"/>
      <c r="J144" s="29"/>
      <c r="K144" s="29"/>
      <c r="L144" s="29"/>
      <c r="M144" s="29"/>
      <c r="N144" s="29"/>
      <c r="O144" s="29"/>
      <c r="P144" s="29"/>
      <c r="Q144" s="29"/>
      <c r="R144" s="37">
        <f t="shared" si="4"/>
        <v>0</v>
      </c>
      <c r="S144" s="77">
        <f t="shared" si="5"/>
        <v>0</v>
      </c>
      <c r="T144" s="37" t="str">
        <f>IF(H144="Rendida ",IF('Resultados Individuales'!S144&lt;49.5%,"Por Mejorar",IF('Resultados Individuales'!S144&lt;64.5%,"Base",IF('Resultados Individuales'!S144&lt;84.5%,"Satisfactorio","Óptimo"))),"No rendida o no válida")</f>
        <v>No rendida o no válida</v>
      </c>
    </row>
    <row r="145" spans="1:20">
      <c r="A145" s="29"/>
      <c r="B145" s="74"/>
      <c r="C145" s="74"/>
      <c r="D145" s="73"/>
      <c r="E145" s="73"/>
      <c r="F145" s="73"/>
      <c r="G145" s="29"/>
      <c r="H145" s="29"/>
      <c r="I145" s="29"/>
      <c r="J145" s="29"/>
      <c r="K145" s="29"/>
      <c r="L145" s="29"/>
      <c r="M145" s="29"/>
      <c r="N145" s="29"/>
      <c r="O145" s="29"/>
      <c r="P145" s="29"/>
      <c r="Q145" s="29"/>
      <c r="R145" s="37">
        <f t="shared" si="4"/>
        <v>0</v>
      </c>
      <c r="S145" s="77">
        <f t="shared" si="5"/>
        <v>0</v>
      </c>
      <c r="T145" s="37" t="str">
        <f>IF(H145="Rendida ",IF('Resultados Individuales'!S145&lt;49.5%,"Por Mejorar",IF('Resultados Individuales'!S145&lt;64.5%,"Base",IF('Resultados Individuales'!S145&lt;84.5%,"Satisfactorio","Óptimo"))),"No rendida o no válida")</f>
        <v>No rendida o no válida</v>
      </c>
    </row>
    <row r="146" spans="1:20">
      <c r="A146" s="29"/>
      <c r="B146" s="74"/>
      <c r="C146" s="74"/>
      <c r="D146" s="73"/>
      <c r="E146" s="73"/>
      <c r="F146" s="73"/>
      <c r="G146" s="29"/>
      <c r="H146" s="29"/>
      <c r="I146" s="29"/>
      <c r="J146" s="29"/>
      <c r="K146" s="29"/>
      <c r="L146" s="29"/>
      <c r="M146" s="29"/>
      <c r="N146" s="29"/>
      <c r="O146" s="29"/>
      <c r="P146" s="29"/>
      <c r="Q146" s="29"/>
      <c r="R146" s="37">
        <f t="shared" si="4"/>
        <v>0</v>
      </c>
      <c r="S146" s="77">
        <f t="shared" si="5"/>
        <v>0</v>
      </c>
      <c r="T146" s="37" t="str">
        <f>IF(H146="Rendida ",IF('Resultados Individuales'!S146&lt;49.5%,"Por Mejorar",IF('Resultados Individuales'!S146&lt;64.5%,"Base",IF('Resultados Individuales'!S146&lt;84.5%,"Satisfactorio","Óptimo"))),"No rendida o no válida")</f>
        <v>No rendida o no válida</v>
      </c>
    </row>
    <row r="147" spans="1:20">
      <c r="A147" s="29"/>
      <c r="B147" s="74"/>
      <c r="C147" s="74"/>
      <c r="D147" s="73"/>
      <c r="E147" s="73"/>
      <c r="F147" s="73"/>
      <c r="G147" s="29"/>
      <c r="H147" s="29"/>
      <c r="I147" s="29"/>
      <c r="J147" s="29"/>
      <c r="K147" s="29"/>
      <c r="L147" s="29"/>
      <c r="M147" s="29"/>
      <c r="N147" s="29"/>
      <c r="O147" s="29"/>
      <c r="P147" s="29"/>
      <c r="Q147" s="29"/>
      <c r="R147" s="37">
        <f t="shared" si="4"/>
        <v>0</v>
      </c>
      <c r="S147" s="77">
        <f t="shared" si="5"/>
        <v>0</v>
      </c>
      <c r="T147" s="37" t="str">
        <f>IF(H147="Rendida ",IF('Resultados Individuales'!S147&lt;49.5%,"Por Mejorar",IF('Resultados Individuales'!S147&lt;64.5%,"Base",IF('Resultados Individuales'!S147&lt;84.5%,"Satisfactorio","Óptimo"))),"No rendida o no válida")</f>
        <v>No rendida o no válida</v>
      </c>
    </row>
    <row r="148" spans="1:20">
      <c r="A148" s="29"/>
      <c r="B148" s="74"/>
      <c r="C148" s="74"/>
      <c r="D148" s="73"/>
      <c r="E148" s="73"/>
      <c r="F148" s="73"/>
      <c r="G148" s="29"/>
      <c r="H148" s="29"/>
      <c r="I148" s="29"/>
      <c r="J148" s="29"/>
      <c r="K148" s="29"/>
      <c r="L148" s="29"/>
      <c r="M148" s="29"/>
      <c r="N148" s="29"/>
      <c r="O148" s="29"/>
      <c r="P148" s="29"/>
      <c r="Q148" s="29"/>
      <c r="R148" s="37">
        <f t="shared" si="4"/>
        <v>0</v>
      </c>
      <c r="S148" s="77">
        <f t="shared" si="5"/>
        <v>0</v>
      </c>
      <c r="T148" s="37" t="str">
        <f>IF(H148="Rendida ",IF('Resultados Individuales'!S148&lt;49.5%,"Por Mejorar",IF('Resultados Individuales'!S148&lt;64.5%,"Base",IF('Resultados Individuales'!S148&lt;84.5%,"Satisfactorio","Óptimo"))),"No rendida o no válida")</f>
        <v>No rendida o no válida</v>
      </c>
    </row>
    <row r="149" spans="1:20">
      <c r="A149" s="29"/>
      <c r="B149" s="74"/>
      <c r="C149" s="74"/>
      <c r="D149" s="73"/>
      <c r="E149" s="73"/>
      <c r="F149" s="73"/>
      <c r="G149" s="29"/>
      <c r="H149" s="29"/>
      <c r="I149" s="29"/>
      <c r="J149" s="29"/>
      <c r="K149" s="29"/>
      <c r="L149" s="29"/>
      <c r="M149" s="29"/>
      <c r="N149" s="29"/>
      <c r="O149" s="29"/>
      <c r="P149" s="29"/>
      <c r="Q149" s="29"/>
      <c r="R149" s="37">
        <f t="shared" si="4"/>
        <v>0</v>
      </c>
      <c r="S149" s="77">
        <f t="shared" si="5"/>
        <v>0</v>
      </c>
      <c r="T149" s="37" t="str">
        <f>IF(H149="Rendida ",IF('Resultados Individuales'!S149&lt;49.5%,"Por Mejorar",IF('Resultados Individuales'!S149&lt;64.5%,"Base",IF('Resultados Individuales'!S149&lt;84.5%,"Satisfactorio","Óptimo"))),"No rendida o no válida")</f>
        <v>No rendida o no válida</v>
      </c>
    </row>
    <row r="150" spans="1:20">
      <c r="A150" s="29"/>
      <c r="B150" s="74"/>
      <c r="C150" s="74"/>
      <c r="D150" s="73"/>
      <c r="E150" s="73"/>
      <c r="F150" s="73"/>
      <c r="G150" s="29"/>
      <c r="H150" s="29"/>
      <c r="I150" s="29"/>
      <c r="J150" s="29"/>
      <c r="K150" s="29"/>
      <c r="L150" s="29"/>
      <c r="M150" s="29"/>
      <c r="N150" s="29"/>
      <c r="O150" s="29"/>
      <c r="P150" s="29"/>
      <c r="Q150" s="29"/>
      <c r="R150" s="37">
        <f t="shared" si="4"/>
        <v>0</v>
      </c>
      <c r="S150" s="77">
        <f t="shared" si="5"/>
        <v>0</v>
      </c>
      <c r="T150" s="37" t="str">
        <f>IF(H150="Rendida ",IF('Resultados Individuales'!S150&lt;49.5%,"Por Mejorar",IF('Resultados Individuales'!S150&lt;64.5%,"Base",IF('Resultados Individuales'!S150&lt;84.5%,"Satisfactorio","Óptimo"))),"No rendida o no válida")</f>
        <v>No rendida o no válida</v>
      </c>
    </row>
    <row r="151" spans="1:20">
      <c r="A151" s="29"/>
      <c r="B151" s="74"/>
      <c r="C151" s="74"/>
      <c r="D151" s="73"/>
      <c r="E151" s="73"/>
      <c r="F151" s="73"/>
      <c r="G151" s="29"/>
      <c r="H151" s="29"/>
      <c r="I151" s="29"/>
      <c r="J151" s="29"/>
      <c r="K151" s="29"/>
      <c r="L151" s="29"/>
      <c r="M151" s="29"/>
      <c r="N151" s="29"/>
      <c r="O151" s="29"/>
      <c r="P151" s="29"/>
      <c r="Q151" s="29"/>
      <c r="R151" s="37">
        <f t="shared" si="4"/>
        <v>0</v>
      </c>
      <c r="S151" s="77">
        <f t="shared" si="5"/>
        <v>0</v>
      </c>
      <c r="T151" s="37" t="str">
        <f>IF(H151="Rendida ",IF('Resultados Individuales'!S151&lt;49.5%,"Por Mejorar",IF('Resultados Individuales'!S151&lt;64.5%,"Base",IF('Resultados Individuales'!S151&lt;84.5%,"Satisfactorio","Óptimo"))),"No rendida o no válida")</f>
        <v>No rendida o no válida</v>
      </c>
    </row>
    <row r="152" spans="1:20">
      <c r="A152" s="29"/>
      <c r="B152" s="74"/>
      <c r="C152" s="74"/>
      <c r="D152" s="73"/>
      <c r="E152" s="73"/>
      <c r="F152" s="73"/>
      <c r="G152" s="29"/>
      <c r="H152" s="29"/>
      <c r="I152" s="29"/>
      <c r="J152" s="29"/>
      <c r="K152" s="29"/>
      <c r="L152" s="29"/>
      <c r="M152" s="29"/>
      <c r="N152" s="29"/>
      <c r="O152" s="29"/>
      <c r="P152" s="29"/>
      <c r="Q152" s="29"/>
      <c r="R152" s="37">
        <f t="shared" si="4"/>
        <v>0</v>
      </c>
      <c r="S152" s="77">
        <f t="shared" si="5"/>
        <v>0</v>
      </c>
      <c r="T152" s="37" t="str">
        <f>IF(H152="Rendida ",IF('Resultados Individuales'!S152&lt;49.5%,"Por Mejorar",IF('Resultados Individuales'!S152&lt;64.5%,"Base",IF('Resultados Individuales'!S152&lt;84.5%,"Satisfactorio","Óptimo"))),"No rendida o no válida")</f>
        <v>No rendida o no válida</v>
      </c>
    </row>
    <row r="153" spans="1:20">
      <c r="A153" s="29"/>
      <c r="B153" s="74"/>
      <c r="C153" s="74"/>
      <c r="D153" s="73"/>
      <c r="E153" s="73"/>
      <c r="F153" s="73"/>
      <c r="G153" s="29"/>
      <c r="H153" s="29"/>
      <c r="I153" s="29"/>
      <c r="J153" s="29"/>
      <c r="K153" s="29"/>
      <c r="L153" s="29"/>
      <c r="M153" s="29"/>
      <c r="N153" s="29"/>
      <c r="O153" s="29"/>
      <c r="P153" s="29"/>
      <c r="Q153" s="29"/>
      <c r="R153" s="37">
        <f t="shared" si="4"/>
        <v>0</v>
      </c>
      <c r="S153" s="77">
        <f t="shared" si="5"/>
        <v>0</v>
      </c>
      <c r="T153" s="37" t="str">
        <f>IF(H153="Rendida ",IF('Resultados Individuales'!S153&lt;49.5%,"Por Mejorar",IF('Resultados Individuales'!S153&lt;64.5%,"Base",IF('Resultados Individuales'!S153&lt;84.5%,"Satisfactorio","Óptimo"))),"No rendida o no válida")</f>
        <v>No rendida o no válida</v>
      </c>
    </row>
    <row r="154" spans="1:20">
      <c r="A154" s="29"/>
      <c r="B154" s="74"/>
      <c r="C154" s="74"/>
      <c r="D154" s="73"/>
      <c r="E154" s="73"/>
      <c r="F154" s="73"/>
      <c r="G154" s="29"/>
      <c r="H154" s="29"/>
      <c r="I154" s="29"/>
      <c r="J154" s="29"/>
      <c r="K154" s="29"/>
      <c r="L154" s="29"/>
      <c r="M154" s="29"/>
      <c r="N154" s="29"/>
      <c r="O154" s="29"/>
      <c r="P154" s="29"/>
      <c r="Q154" s="29"/>
      <c r="R154" s="37">
        <f t="shared" si="4"/>
        <v>0</v>
      </c>
      <c r="S154" s="77">
        <f t="shared" si="5"/>
        <v>0</v>
      </c>
      <c r="T154" s="37" t="str">
        <f>IF(H154="Rendida ",IF('Resultados Individuales'!S154&lt;49.5%,"Por Mejorar",IF('Resultados Individuales'!S154&lt;64.5%,"Base",IF('Resultados Individuales'!S154&lt;84.5%,"Satisfactorio","Óptimo"))),"No rendida o no válida")</f>
        <v>No rendida o no válida</v>
      </c>
    </row>
    <row r="155" spans="1:20">
      <c r="A155" s="29"/>
      <c r="B155" s="74"/>
      <c r="C155" s="74"/>
      <c r="D155" s="73"/>
      <c r="E155" s="73"/>
      <c r="F155" s="73"/>
      <c r="G155" s="29"/>
      <c r="H155" s="29"/>
      <c r="I155" s="29"/>
      <c r="J155" s="29"/>
      <c r="K155" s="29"/>
      <c r="L155" s="29"/>
      <c r="M155" s="29"/>
      <c r="N155" s="29"/>
      <c r="O155" s="29"/>
      <c r="P155" s="29"/>
      <c r="Q155" s="29"/>
      <c r="R155" s="37">
        <f t="shared" si="4"/>
        <v>0</v>
      </c>
      <c r="S155" s="77">
        <f t="shared" si="5"/>
        <v>0</v>
      </c>
      <c r="T155" s="37" t="str">
        <f>IF(H155="Rendida ",IF('Resultados Individuales'!S155&lt;49.5%,"Por Mejorar",IF('Resultados Individuales'!S155&lt;64.5%,"Base",IF('Resultados Individuales'!S155&lt;84.5%,"Satisfactorio","Óptimo"))),"No rendida o no válida")</f>
        <v>No rendida o no válida</v>
      </c>
    </row>
    <row r="156" spans="1:20">
      <c r="A156" s="29"/>
      <c r="B156" s="74"/>
      <c r="C156" s="74"/>
      <c r="D156" s="73"/>
      <c r="E156" s="73"/>
      <c r="F156" s="73"/>
      <c r="G156" s="29"/>
      <c r="H156" s="29"/>
      <c r="I156" s="29"/>
      <c r="J156" s="29"/>
      <c r="K156" s="29"/>
      <c r="L156" s="29"/>
      <c r="M156" s="29"/>
      <c r="N156" s="29"/>
      <c r="O156" s="29"/>
      <c r="P156" s="29"/>
      <c r="Q156" s="29"/>
      <c r="R156" s="37">
        <f t="shared" si="4"/>
        <v>0</v>
      </c>
      <c r="S156" s="77">
        <f t="shared" si="5"/>
        <v>0</v>
      </c>
      <c r="T156" s="37" t="str">
        <f>IF(H156="Rendida ",IF('Resultados Individuales'!S156&lt;49.5%,"Por Mejorar",IF('Resultados Individuales'!S156&lt;64.5%,"Base",IF('Resultados Individuales'!S156&lt;84.5%,"Satisfactorio","Óptimo"))),"No rendida o no válida")</f>
        <v>No rendida o no válida</v>
      </c>
    </row>
    <row r="157" spans="1:20">
      <c r="A157" s="29"/>
      <c r="B157" s="74"/>
      <c r="C157" s="74"/>
      <c r="D157" s="73"/>
      <c r="E157" s="73"/>
      <c r="F157" s="73"/>
      <c r="G157" s="29"/>
      <c r="H157" s="29"/>
      <c r="I157" s="29"/>
      <c r="J157" s="29"/>
      <c r="K157" s="29"/>
      <c r="L157" s="29"/>
      <c r="M157" s="29"/>
      <c r="N157" s="29"/>
      <c r="O157" s="29"/>
      <c r="P157" s="29"/>
      <c r="Q157" s="29"/>
      <c r="R157" s="37">
        <f t="shared" si="4"/>
        <v>0</v>
      </c>
      <c r="S157" s="77">
        <f t="shared" si="5"/>
        <v>0</v>
      </c>
      <c r="T157" s="37" t="str">
        <f>IF(H157="Rendida ",IF('Resultados Individuales'!S157&lt;49.5%,"Por Mejorar",IF('Resultados Individuales'!S157&lt;64.5%,"Base",IF('Resultados Individuales'!S157&lt;84.5%,"Satisfactorio","Óptimo"))),"No rendida o no válida")</f>
        <v>No rendida o no válida</v>
      </c>
    </row>
    <row r="158" spans="1:20">
      <c r="A158" s="29"/>
      <c r="B158" s="74"/>
      <c r="C158" s="74"/>
      <c r="D158" s="73"/>
      <c r="E158" s="73"/>
      <c r="F158" s="73"/>
      <c r="G158" s="29"/>
      <c r="H158" s="29"/>
      <c r="I158" s="29"/>
      <c r="J158" s="29"/>
      <c r="K158" s="29"/>
      <c r="L158" s="29"/>
      <c r="M158" s="29"/>
      <c r="N158" s="29"/>
      <c r="O158" s="29"/>
      <c r="P158" s="29"/>
      <c r="Q158" s="29"/>
      <c r="R158" s="37">
        <f t="shared" si="4"/>
        <v>0</v>
      </c>
      <c r="S158" s="77">
        <f t="shared" si="5"/>
        <v>0</v>
      </c>
      <c r="T158" s="37" t="str">
        <f>IF(H158="Rendida ",IF('Resultados Individuales'!S158&lt;49.5%,"Por Mejorar",IF('Resultados Individuales'!S158&lt;64.5%,"Base",IF('Resultados Individuales'!S158&lt;84.5%,"Satisfactorio","Óptimo"))),"No rendida o no válida")</f>
        <v>No rendida o no válida</v>
      </c>
    </row>
    <row r="159" spans="1:20">
      <c r="A159" s="29"/>
      <c r="B159" s="74"/>
      <c r="C159" s="74"/>
      <c r="D159" s="73"/>
      <c r="E159" s="73"/>
      <c r="F159" s="73"/>
      <c r="G159" s="29"/>
      <c r="H159" s="29"/>
      <c r="I159" s="29"/>
      <c r="J159" s="29"/>
      <c r="K159" s="29"/>
      <c r="L159" s="29"/>
      <c r="M159" s="29"/>
      <c r="N159" s="29"/>
      <c r="O159" s="29"/>
      <c r="P159" s="29"/>
      <c r="Q159" s="29"/>
      <c r="R159" s="37">
        <f t="shared" si="4"/>
        <v>0</v>
      </c>
      <c r="S159" s="77">
        <f t="shared" si="5"/>
        <v>0</v>
      </c>
      <c r="T159" s="37" t="str">
        <f>IF(H159="Rendida ",IF('Resultados Individuales'!S159&lt;49.5%,"Por Mejorar",IF('Resultados Individuales'!S159&lt;64.5%,"Base",IF('Resultados Individuales'!S159&lt;84.5%,"Satisfactorio","Óptimo"))),"No rendida o no válida")</f>
        <v>No rendida o no válida</v>
      </c>
    </row>
    <row r="160" spans="1:20">
      <c r="A160" s="29"/>
      <c r="B160" s="74"/>
      <c r="C160" s="74"/>
      <c r="D160" s="73"/>
      <c r="E160" s="73"/>
      <c r="F160" s="73"/>
      <c r="G160" s="29"/>
      <c r="H160" s="29"/>
      <c r="I160" s="29"/>
      <c r="J160" s="29"/>
      <c r="K160" s="29"/>
      <c r="L160" s="29"/>
      <c r="M160" s="29"/>
      <c r="N160" s="29"/>
      <c r="O160" s="29"/>
      <c r="P160" s="29"/>
      <c r="Q160" s="29"/>
      <c r="R160" s="37">
        <f t="shared" si="4"/>
        <v>0</v>
      </c>
      <c r="S160" s="77">
        <f t="shared" si="5"/>
        <v>0</v>
      </c>
      <c r="T160" s="37" t="str">
        <f>IF(H160="Rendida ",IF('Resultados Individuales'!S160&lt;49.5%,"Por Mejorar",IF('Resultados Individuales'!S160&lt;64.5%,"Base",IF('Resultados Individuales'!S160&lt;84.5%,"Satisfactorio","Óptimo"))),"No rendida o no válida")</f>
        <v>No rendida o no válida</v>
      </c>
    </row>
    <row r="161" spans="1:20">
      <c r="A161" s="29"/>
      <c r="B161" s="74"/>
      <c r="C161" s="74"/>
      <c r="D161" s="73"/>
      <c r="E161" s="73"/>
      <c r="F161" s="73"/>
      <c r="G161" s="29"/>
      <c r="H161" s="29"/>
      <c r="I161" s="29"/>
      <c r="J161" s="29"/>
      <c r="K161" s="29"/>
      <c r="L161" s="29"/>
      <c r="M161" s="29"/>
      <c r="N161" s="29"/>
      <c r="O161" s="29"/>
      <c r="P161" s="29"/>
      <c r="Q161" s="29"/>
      <c r="R161" s="37">
        <f t="shared" si="4"/>
        <v>0</v>
      </c>
      <c r="S161" s="77">
        <f t="shared" si="5"/>
        <v>0</v>
      </c>
      <c r="T161" s="37" t="str">
        <f>IF(H161="Rendida ",IF('Resultados Individuales'!S161&lt;49.5%,"Por Mejorar",IF('Resultados Individuales'!S161&lt;64.5%,"Base",IF('Resultados Individuales'!S161&lt;84.5%,"Satisfactorio","Óptimo"))),"No rendida o no válida")</f>
        <v>No rendida o no válida</v>
      </c>
    </row>
    <row r="162" spans="1:20">
      <c r="A162" s="29"/>
      <c r="B162" s="74"/>
      <c r="C162" s="74"/>
      <c r="D162" s="73"/>
      <c r="E162" s="73"/>
      <c r="F162" s="73"/>
      <c r="G162" s="29"/>
      <c r="H162" s="29"/>
      <c r="I162" s="29"/>
      <c r="J162" s="29"/>
      <c r="K162" s="29"/>
      <c r="L162" s="29"/>
      <c r="M162" s="29"/>
      <c r="N162" s="29"/>
      <c r="O162" s="29"/>
      <c r="P162" s="29"/>
      <c r="Q162" s="29"/>
      <c r="R162" s="37">
        <f t="shared" si="4"/>
        <v>0</v>
      </c>
      <c r="S162" s="77">
        <f t="shared" si="5"/>
        <v>0</v>
      </c>
      <c r="T162" s="37" t="str">
        <f>IF(H162="Rendida ",IF('Resultados Individuales'!S162&lt;49.5%,"Por Mejorar",IF('Resultados Individuales'!S162&lt;64.5%,"Base",IF('Resultados Individuales'!S162&lt;84.5%,"Satisfactorio","Óptimo"))),"No rendida o no válida")</f>
        <v>No rendida o no válida</v>
      </c>
    </row>
    <row r="163" spans="1:20">
      <c r="A163" s="29"/>
      <c r="B163" s="74"/>
      <c r="C163" s="74"/>
      <c r="D163" s="73"/>
      <c r="E163" s="73"/>
      <c r="F163" s="73"/>
      <c r="G163" s="29"/>
      <c r="H163" s="29"/>
      <c r="I163" s="29"/>
      <c r="J163" s="29"/>
      <c r="K163" s="29"/>
      <c r="L163" s="29"/>
      <c r="M163" s="29"/>
      <c r="N163" s="29"/>
      <c r="O163" s="29"/>
      <c r="P163" s="29"/>
      <c r="Q163" s="29"/>
      <c r="R163" s="37">
        <f t="shared" si="4"/>
        <v>0</v>
      </c>
      <c r="S163" s="77">
        <f t="shared" si="5"/>
        <v>0</v>
      </c>
      <c r="T163" s="37" t="str">
        <f>IF(H163="Rendida ",IF('Resultados Individuales'!S163&lt;49.5%,"Por Mejorar",IF('Resultados Individuales'!S163&lt;64.5%,"Base",IF('Resultados Individuales'!S163&lt;84.5%,"Satisfactorio","Óptimo"))),"No rendida o no válida")</f>
        <v>No rendida o no válida</v>
      </c>
    </row>
    <row r="164" spans="1:20">
      <c r="A164" s="29"/>
      <c r="B164" s="74"/>
      <c r="C164" s="74"/>
      <c r="D164" s="73"/>
      <c r="E164" s="73"/>
      <c r="F164" s="73"/>
      <c r="G164" s="29"/>
      <c r="H164" s="29"/>
      <c r="I164" s="29"/>
      <c r="J164" s="29"/>
      <c r="K164" s="29"/>
      <c r="L164" s="29"/>
      <c r="M164" s="29"/>
      <c r="N164" s="29"/>
      <c r="O164" s="29"/>
      <c r="P164" s="29"/>
      <c r="Q164" s="29"/>
      <c r="R164" s="37">
        <f t="shared" si="4"/>
        <v>0</v>
      </c>
      <c r="S164" s="77">
        <f t="shared" si="5"/>
        <v>0</v>
      </c>
      <c r="T164" s="37" t="str">
        <f>IF(H164="Rendida ",IF('Resultados Individuales'!S164&lt;49.5%,"Por Mejorar",IF('Resultados Individuales'!S164&lt;64.5%,"Base",IF('Resultados Individuales'!S164&lt;84.5%,"Satisfactorio","Óptimo"))),"No rendida o no válida")</f>
        <v>No rendida o no válida</v>
      </c>
    </row>
    <row r="165" spans="1:20">
      <c r="A165" s="29"/>
      <c r="B165" s="74"/>
      <c r="C165" s="74"/>
      <c r="D165" s="73"/>
      <c r="E165" s="73"/>
      <c r="F165" s="73"/>
      <c r="G165" s="29"/>
      <c r="H165" s="29"/>
      <c r="I165" s="29"/>
      <c r="J165" s="29"/>
      <c r="K165" s="29"/>
      <c r="L165" s="29"/>
      <c r="M165" s="29"/>
      <c r="N165" s="29"/>
      <c r="O165" s="29"/>
      <c r="P165" s="29"/>
      <c r="Q165" s="29"/>
      <c r="R165" s="37">
        <f t="shared" si="4"/>
        <v>0</v>
      </c>
      <c r="S165" s="77">
        <f t="shared" si="5"/>
        <v>0</v>
      </c>
      <c r="T165" s="37" t="str">
        <f>IF(H165="Rendida ",IF('Resultados Individuales'!S165&lt;49.5%,"Por Mejorar",IF('Resultados Individuales'!S165&lt;64.5%,"Base",IF('Resultados Individuales'!S165&lt;84.5%,"Satisfactorio","Óptimo"))),"No rendida o no válida")</f>
        <v>No rendida o no válida</v>
      </c>
    </row>
    <row r="166" spans="1:20">
      <c r="A166" s="29"/>
      <c r="B166" s="74"/>
      <c r="C166" s="74"/>
      <c r="D166" s="73"/>
      <c r="E166" s="73"/>
      <c r="F166" s="73"/>
      <c r="G166" s="29"/>
      <c r="H166" s="29"/>
      <c r="I166" s="29"/>
      <c r="J166" s="29"/>
      <c r="K166" s="29"/>
      <c r="L166" s="29"/>
      <c r="M166" s="29"/>
      <c r="N166" s="29"/>
      <c r="O166" s="29"/>
      <c r="P166" s="29"/>
      <c r="Q166" s="29"/>
      <c r="R166" s="37">
        <f t="shared" si="4"/>
        <v>0</v>
      </c>
      <c r="S166" s="77">
        <f t="shared" si="5"/>
        <v>0</v>
      </c>
      <c r="T166" s="37" t="str">
        <f>IF(H166="Rendida ",IF('Resultados Individuales'!S166&lt;49.5%,"Por Mejorar",IF('Resultados Individuales'!S166&lt;64.5%,"Base",IF('Resultados Individuales'!S166&lt;84.5%,"Satisfactorio","Óptimo"))),"No rendida o no válida")</f>
        <v>No rendida o no válida</v>
      </c>
    </row>
    <row r="167" spans="1:20">
      <c r="A167" s="29"/>
      <c r="B167" s="74"/>
      <c r="C167" s="74"/>
      <c r="D167" s="73"/>
      <c r="E167" s="73"/>
      <c r="F167" s="73"/>
      <c r="G167" s="29"/>
      <c r="H167" s="29"/>
      <c r="I167" s="29"/>
      <c r="J167" s="29"/>
      <c r="K167" s="29"/>
      <c r="L167" s="29"/>
      <c r="M167" s="29"/>
      <c r="N167" s="29"/>
      <c r="O167" s="29"/>
      <c r="P167" s="29"/>
      <c r="Q167" s="29"/>
      <c r="R167" s="37">
        <f t="shared" si="4"/>
        <v>0</v>
      </c>
      <c r="S167" s="77">
        <f t="shared" si="5"/>
        <v>0</v>
      </c>
      <c r="T167" s="37" t="str">
        <f>IF(H167="Rendida ",IF('Resultados Individuales'!S167&lt;49.5%,"Por Mejorar",IF('Resultados Individuales'!S167&lt;64.5%,"Base",IF('Resultados Individuales'!S167&lt;84.5%,"Satisfactorio","Óptimo"))),"No rendida o no válida")</f>
        <v>No rendida o no válida</v>
      </c>
    </row>
    <row r="168" spans="1:20">
      <c r="A168" s="29"/>
      <c r="B168" s="74"/>
      <c r="C168" s="74"/>
      <c r="D168" s="73"/>
      <c r="E168" s="73"/>
      <c r="F168" s="73"/>
      <c r="G168" s="29"/>
      <c r="H168" s="29"/>
      <c r="I168" s="29"/>
      <c r="J168" s="29"/>
      <c r="K168" s="29"/>
      <c r="L168" s="29"/>
      <c r="M168" s="29"/>
      <c r="N168" s="29"/>
      <c r="O168" s="29"/>
      <c r="P168" s="29"/>
      <c r="Q168" s="29"/>
      <c r="R168" s="37">
        <f t="shared" si="4"/>
        <v>0</v>
      </c>
      <c r="S168" s="77">
        <f t="shared" si="5"/>
        <v>0</v>
      </c>
      <c r="T168" s="37" t="str">
        <f>IF(H168="Rendida ",IF('Resultados Individuales'!S168&lt;49.5%,"Por Mejorar",IF('Resultados Individuales'!S168&lt;64.5%,"Base",IF('Resultados Individuales'!S168&lt;84.5%,"Satisfactorio","Óptimo"))),"No rendida o no válida")</f>
        <v>No rendida o no válida</v>
      </c>
    </row>
    <row r="169" spans="1:20">
      <c r="A169" s="29"/>
      <c r="B169" s="74"/>
      <c r="C169" s="74"/>
      <c r="D169" s="73"/>
      <c r="E169" s="73"/>
      <c r="F169" s="73"/>
      <c r="G169" s="29"/>
      <c r="H169" s="29"/>
      <c r="I169" s="29"/>
      <c r="J169" s="29"/>
      <c r="K169" s="29"/>
      <c r="L169" s="29"/>
      <c r="M169" s="29"/>
      <c r="N169" s="29"/>
      <c r="O169" s="29"/>
      <c r="P169" s="29"/>
      <c r="Q169" s="29"/>
      <c r="R169" s="37">
        <f t="shared" si="4"/>
        <v>0</v>
      </c>
      <c r="S169" s="77">
        <f t="shared" si="5"/>
        <v>0</v>
      </c>
      <c r="T169" s="37" t="str">
        <f>IF(H169="Rendida ",IF('Resultados Individuales'!S169&lt;49.5%,"Por Mejorar",IF('Resultados Individuales'!S169&lt;64.5%,"Base",IF('Resultados Individuales'!S169&lt;84.5%,"Satisfactorio","Óptimo"))),"No rendida o no válida")</f>
        <v>No rendida o no válida</v>
      </c>
    </row>
    <row r="170" spans="1:20">
      <c r="A170" s="29"/>
      <c r="B170" s="74"/>
      <c r="C170" s="74"/>
      <c r="D170" s="73"/>
      <c r="E170" s="73"/>
      <c r="F170" s="73"/>
      <c r="G170" s="29"/>
      <c r="H170" s="29"/>
      <c r="I170" s="29"/>
      <c r="J170" s="29"/>
      <c r="K170" s="29"/>
      <c r="L170" s="29"/>
      <c r="M170" s="29"/>
      <c r="N170" s="29"/>
      <c r="O170" s="29"/>
      <c r="P170" s="29"/>
      <c r="Q170" s="29"/>
      <c r="R170" s="37">
        <f t="shared" si="4"/>
        <v>0</v>
      </c>
      <c r="S170" s="77">
        <f t="shared" si="5"/>
        <v>0</v>
      </c>
      <c r="T170" s="37" t="str">
        <f>IF(H170="Rendida ",IF('Resultados Individuales'!S170&lt;49.5%,"Por Mejorar",IF('Resultados Individuales'!S170&lt;64.5%,"Base",IF('Resultados Individuales'!S170&lt;84.5%,"Satisfactorio","Óptimo"))),"No rendida o no válida")</f>
        <v>No rendida o no válida</v>
      </c>
    </row>
    <row r="171" spans="1:20">
      <c r="A171" s="29"/>
      <c r="B171" s="74"/>
      <c r="C171" s="74"/>
      <c r="D171" s="73"/>
      <c r="E171" s="73"/>
      <c r="F171" s="73"/>
      <c r="G171" s="29"/>
      <c r="H171" s="29"/>
      <c r="I171" s="29"/>
      <c r="J171" s="29"/>
      <c r="K171" s="29"/>
      <c r="L171" s="29"/>
      <c r="M171" s="29"/>
      <c r="N171" s="29"/>
      <c r="O171" s="29"/>
      <c r="P171" s="29"/>
      <c r="Q171" s="29"/>
      <c r="R171" s="37">
        <f t="shared" si="4"/>
        <v>0</v>
      </c>
      <c r="S171" s="77">
        <f t="shared" si="5"/>
        <v>0</v>
      </c>
      <c r="T171" s="37" t="str">
        <f>IF(H171="Rendida ",IF('Resultados Individuales'!S171&lt;49.5%,"Por Mejorar",IF('Resultados Individuales'!S171&lt;64.5%,"Base",IF('Resultados Individuales'!S171&lt;84.5%,"Satisfactorio","Óptimo"))),"No rendida o no válida")</f>
        <v>No rendida o no válida</v>
      </c>
    </row>
    <row r="172" spans="1:20">
      <c r="A172" s="29"/>
      <c r="B172" s="74"/>
      <c r="C172" s="74"/>
      <c r="D172" s="73"/>
      <c r="E172" s="73"/>
      <c r="F172" s="73"/>
      <c r="G172" s="29"/>
      <c r="H172" s="29"/>
      <c r="I172" s="29"/>
      <c r="J172" s="29"/>
      <c r="K172" s="29"/>
      <c r="L172" s="29"/>
      <c r="M172" s="29"/>
      <c r="N172" s="29"/>
      <c r="O172" s="29"/>
      <c r="P172" s="29"/>
      <c r="Q172" s="29"/>
      <c r="R172" s="37">
        <f t="shared" si="4"/>
        <v>0</v>
      </c>
      <c r="S172" s="77">
        <f t="shared" si="5"/>
        <v>0</v>
      </c>
      <c r="T172" s="37" t="str">
        <f>IF(H172="Rendida ",IF('Resultados Individuales'!S172&lt;49.5%,"Por Mejorar",IF('Resultados Individuales'!S172&lt;64.5%,"Base",IF('Resultados Individuales'!S172&lt;84.5%,"Satisfactorio","Óptimo"))),"No rendida o no válida")</f>
        <v>No rendida o no válida</v>
      </c>
    </row>
    <row r="173" spans="1:20">
      <c r="A173" s="29"/>
      <c r="B173" s="74"/>
      <c r="C173" s="74"/>
      <c r="D173" s="73"/>
      <c r="E173" s="73"/>
      <c r="F173" s="73"/>
      <c r="G173" s="29"/>
      <c r="H173" s="29"/>
      <c r="I173" s="29"/>
      <c r="J173" s="29"/>
      <c r="K173" s="29"/>
      <c r="L173" s="29"/>
      <c r="M173" s="29"/>
      <c r="N173" s="29"/>
      <c r="O173" s="29"/>
      <c r="P173" s="29"/>
      <c r="Q173" s="29"/>
      <c r="R173" s="37">
        <f t="shared" si="4"/>
        <v>0</v>
      </c>
      <c r="S173" s="77">
        <f t="shared" si="5"/>
        <v>0</v>
      </c>
      <c r="T173" s="37" t="str">
        <f>IF(H173="Rendida ",IF('Resultados Individuales'!S173&lt;49.5%,"Por Mejorar",IF('Resultados Individuales'!S173&lt;64.5%,"Base",IF('Resultados Individuales'!S173&lt;84.5%,"Satisfactorio","Óptimo"))),"No rendida o no válida")</f>
        <v>No rendida o no válida</v>
      </c>
    </row>
    <row r="174" spans="1:20">
      <c r="A174" s="29"/>
      <c r="B174" s="74"/>
      <c r="C174" s="74"/>
      <c r="D174" s="73"/>
      <c r="E174" s="73"/>
      <c r="F174" s="73"/>
      <c r="G174" s="29"/>
      <c r="H174" s="29"/>
      <c r="I174" s="29"/>
      <c r="J174" s="29"/>
      <c r="K174" s="29"/>
      <c r="L174" s="29"/>
      <c r="M174" s="29"/>
      <c r="N174" s="29"/>
      <c r="O174" s="29"/>
      <c r="P174" s="29"/>
      <c r="Q174" s="29"/>
      <c r="R174" s="37">
        <f t="shared" si="4"/>
        <v>0</v>
      </c>
      <c r="S174" s="77">
        <f t="shared" si="5"/>
        <v>0</v>
      </c>
      <c r="T174" s="37" t="str">
        <f>IF(H174="Rendida ",IF('Resultados Individuales'!S174&lt;49.5%,"Por Mejorar",IF('Resultados Individuales'!S174&lt;64.5%,"Base",IF('Resultados Individuales'!S174&lt;84.5%,"Satisfactorio","Óptimo"))),"No rendida o no válida")</f>
        <v>No rendida o no válida</v>
      </c>
    </row>
    <row r="175" spans="1:20">
      <c r="A175" s="29"/>
      <c r="B175" s="74"/>
      <c r="C175" s="74"/>
      <c r="D175" s="73"/>
      <c r="E175" s="73"/>
      <c r="F175" s="73"/>
      <c r="G175" s="29"/>
      <c r="H175" s="29"/>
      <c r="I175" s="29"/>
      <c r="J175" s="29"/>
      <c r="K175" s="29"/>
      <c r="L175" s="29"/>
      <c r="M175" s="29"/>
      <c r="N175" s="29"/>
      <c r="O175" s="29"/>
      <c r="P175" s="29"/>
      <c r="Q175" s="29"/>
      <c r="R175" s="37">
        <f t="shared" si="4"/>
        <v>0</v>
      </c>
      <c r="S175" s="77">
        <f t="shared" si="5"/>
        <v>0</v>
      </c>
      <c r="T175" s="37" t="str">
        <f>IF(H175="Rendida ",IF('Resultados Individuales'!S175&lt;49.5%,"Por Mejorar",IF('Resultados Individuales'!S175&lt;64.5%,"Base",IF('Resultados Individuales'!S175&lt;84.5%,"Satisfactorio","Óptimo"))),"No rendida o no válida")</f>
        <v>No rendida o no válida</v>
      </c>
    </row>
    <row r="176" spans="1:20">
      <c r="A176" s="29"/>
      <c r="B176" s="74"/>
      <c r="C176" s="74"/>
      <c r="D176" s="73"/>
      <c r="E176" s="73"/>
      <c r="F176" s="73"/>
      <c r="G176" s="29"/>
      <c r="H176" s="29"/>
      <c r="I176" s="29"/>
      <c r="J176" s="29"/>
      <c r="K176" s="29"/>
      <c r="L176" s="29"/>
      <c r="M176" s="29"/>
      <c r="N176" s="29"/>
      <c r="O176" s="29"/>
      <c r="P176" s="29"/>
      <c r="Q176" s="29"/>
      <c r="R176" s="37">
        <f t="shared" si="4"/>
        <v>0</v>
      </c>
      <c r="S176" s="77">
        <f t="shared" si="5"/>
        <v>0</v>
      </c>
      <c r="T176" s="37" t="str">
        <f>IF(H176="Rendida ",IF('Resultados Individuales'!S176&lt;49.5%,"Por Mejorar",IF('Resultados Individuales'!S176&lt;64.5%,"Base",IF('Resultados Individuales'!S176&lt;84.5%,"Satisfactorio","Óptimo"))),"No rendida o no válida")</f>
        <v>No rendida o no válida</v>
      </c>
    </row>
    <row r="177" spans="1:20">
      <c r="A177" s="29"/>
      <c r="B177" s="74"/>
      <c r="C177" s="74"/>
      <c r="D177" s="73"/>
      <c r="E177" s="73"/>
      <c r="F177" s="73"/>
      <c r="G177" s="29"/>
      <c r="H177" s="29"/>
      <c r="I177" s="29"/>
      <c r="J177" s="29"/>
      <c r="K177" s="29"/>
      <c r="L177" s="29"/>
      <c r="M177" s="29"/>
      <c r="N177" s="29"/>
      <c r="O177" s="29"/>
      <c r="P177" s="29"/>
      <c r="Q177" s="29"/>
      <c r="R177" s="37">
        <f t="shared" si="4"/>
        <v>0</v>
      </c>
      <c r="S177" s="77">
        <f t="shared" si="5"/>
        <v>0</v>
      </c>
      <c r="T177" s="37" t="str">
        <f>IF(H177="Rendida ",IF('Resultados Individuales'!S177&lt;49.5%,"Por Mejorar",IF('Resultados Individuales'!S177&lt;64.5%,"Base",IF('Resultados Individuales'!S177&lt;84.5%,"Satisfactorio","Óptimo"))),"No rendida o no válida")</f>
        <v>No rendida o no válida</v>
      </c>
    </row>
    <row r="178" spans="1:20">
      <c r="A178" s="29"/>
      <c r="B178" s="74"/>
      <c r="C178" s="74"/>
      <c r="D178" s="73"/>
      <c r="E178" s="73"/>
      <c r="F178" s="73"/>
      <c r="G178" s="29"/>
      <c r="H178" s="29"/>
      <c r="I178" s="29"/>
      <c r="J178" s="29"/>
      <c r="K178" s="29"/>
      <c r="L178" s="29"/>
      <c r="M178" s="29"/>
      <c r="N178" s="29"/>
      <c r="O178" s="29"/>
      <c r="P178" s="29"/>
      <c r="Q178" s="29"/>
      <c r="R178" s="37">
        <f t="shared" si="4"/>
        <v>0</v>
      </c>
      <c r="S178" s="77">
        <f t="shared" si="5"/>
        <v>0</v>
      </c>
      <c r="T178" s="37" t="str">
        <f>IF(H178="Rendida ",IF('Resultados Individuales'!S178&lt;49.5%,"Por Mejorar",IF('Resultados Individuales'!S178&lt;64.5%,"Base",IF('Resultados Individuales'!S178&lt;84.5%,"Satisfactorio","Óptimo"))),"No rendida o no válida")</f>
        <v>No rendida o no válida</v>
      </c>
    </row>
    <row r="179" spans="1:20">
      <c r="A179" s="29"/>
      <c r="B179" s="74"/>
      <c r="C179" s="74"/>
      <c r="D179" s="73"/>
      <c r="E179" s="73"/>
      <c r="F179" s="73"/>
      <c r="G179" s="29"/>
      <c r="H179" s="29"/>
      <c r="I179" s="29"/>
      <c r="J179" s="29"/>
      <c r="K179" s="29"/>
      <c r="L179" s="29"/>
      <c r="M179" s="29"/>
      <c r="N179" s="29"/>
      <c r="O179" s="29"/>
      <c r="P179" s="29"/>
      <c r="Q179" s="29"/>
      <c r="R179" s="37">
        <f t="shared" si="4"/>
        <v>0</v>
      </c>
      <c r="S179" s="77">
        <f t="shared" si="5"/>
        <v>0</v>
      </c>
      <c r="T179" s="37" t="str">
        <f>IF(H179="Rendida ",IF('Resultados Individuales'!S179&lt;49.5%,"Por Mejorar",IF('Resultados Individuales'!S179&lt;64.5%,"Base",IF('Resultados Individuales'!S179&lt;84.5%,"Satisfactorio","Óptimo"))),"No rendida o no válida")</f>
        <v>No rendida o no válida</v>
      </c>
    </row>
    <row r="180" spans="1:20">
      <c r="A180" s="29"/>
      <c r="B180" s="74"/>
      <c r="C180" s="74"/>
      <c r="D180" s="73"/>
      <c r="E180" s="73"/>
      <c r="F180" s="73"/>
      <c r="G180" s="29"/>
      <c r="H180" s="29"/>
      <c r="I180" s="29"/>
      <c r="J180" s="29"/>
      <c r="K180" s="29"/>
      <c r="L180" s="29"/>
      <c r="M180" s="29"/>
      <c r="N180" s="29"/>
      <c r="O180" s="29"/>
      <c r="P180" s="29"/>
      <c r="Q180" s="29"/>
      <c r="R180" s="37">
        <f t="shared" si="4"/>
        <v>0</v>
      </c>
      <c r="S180" s="77">
        <f t="shared" si="5"/>
        <v>0</v>
      </c>
      <c r="T180" s="37" t="str">
        <f>IF(H180="Rendida ",IF('Resultados Individuales'!S180&lt;49.5%,"Por Mejorar",IF('Resultados Individuales'!S180&lt;64.5%,"Base",IF('Resultados Individuales'!S180&lt;84.5%,"Satisfactorio","Óptimo"))),"No rendida o no válida")</f>
        <v>No rendida o no válida</v>
      </c>
    </row>
    <row r="181" spans="1:20">
      <c r="A181" s="29"/>
      <c r="B181" s="74"/>
      <c r="C181" s="74"/>
      <c r="D181" s="73"/>
      <c r="E181" s="73"/>
      <c r="F181" s="73"/>
      <c r="G181" s="29"/>
      <c r="H181" s="29"/>
      <c r="I181" s="29"/>
      <c r="J181" s="29"/>
      <c r="K181" s="29"/>
      <c r="L181" s="29"/>
      <c r="M181" s="29"/>
      <c r="N181" s="29"/>
      <c r="O181" s="29"/>
      <c r="P181" s="29"/>
      <c r="Q181" s="29"/>
      <c r="R181" s="37">
        <f t="shared" si="4"/>
        <v>0</v>
      </c>
      <c r="S181" s="77">
        <f t="shared" si="5"/>
        <v>0</v>
      </c>
      <c r="T181" s="37" t="str">
        <f>IF(H181="Rendida ",IF('Resultados Individuales'!S181&lt;49.5%,"Por Mejorar",IF('Resultados Individuales'!S181&lt;64.5%,"Base",IF('Resultados Individuales'!S181&lt;84.5%,"Satisfactorio","Óptimo"))),"No rendida o no válida")</f>
        <v>No rendida o no válida</v>
      </c>
    </row>
    <row r="182" spans="1:20">
      <c r="A182" s="29"/>
      <c r="B182" s="74"/>
      <c r="C182" s="74"/>
      <c r="D182" s="73"/>
      <c r="E182" s="73"/>
      <c r="F182" s="73"/>
      <c r="G182" s="29"/>
      <c r="H182" s="29"/>
      <c r="I182" s="29"/>
      <c r="J182" s="29"/>
      <c r="K182" s="29"/>
      <c r="L182" s="29"/>
      <c r="M182" s="29"/>
      <c r="N182" s="29"/>
      <c r="O182" s="29"/>
      <c r="P182" s="29"/>
      <c r="Q182" s="29"/>
      <c r="R182" s="37">
        <f t="shared" si="4"/>
        <v>0</v>
      </c>
      <c r="S182" s="77">
        <f t="shared" si="5"/>
        <v>0</v>
      </c>
      <c r="T182" s="37" t="str">
        <f>IF(H182="Rendida ",IF('Resultados Individuales'!S182&lt;49.5%,"Por Mejorar",IF('Resultados Individuales'!S182&lt;64.5%,"Base",IF('Resultados Individuales'!S182&lt;84.5%,"Satisfactorio","Óptimo"))),"No rendida o no válida")</f>
        <v>No rendida o no válida</v>
      </c>
    </row>
    <row r="183" spans="1:20">
      <c r="A183" s="29"/>
      <c r="B183" s="74"/>
      <c r="C183" s="74"/>
      <c r="D183" s="73"/>
      <c r="E183" s="73"/>
      <c r="F183" s="73"/>
      <c r="G183" s="29"/>
      <c r="H183" s="29"/>
      <c r="I183" s="29"/>
      <c r="J183" s="29"/>
      <c r="K183" s="29"/>
      <c r="L183" s="29"/>
      <c r="M183" s="29"/>
      <c r="N183" s="29"/>
      <c r="O183" s="29"/>
      <c r="P183" s="29"/>
      <c r="Q183" s="29"/>
      <c r="R183" s="37">
        <f t="shared" si="4"/>
        <v>0</v>
      </c>
      <c r="S183" s="77">
        <f t="shared" si="5"/>
        <v>0</v>
      </c>
      <c r="T183" s="37" t="str">
        <f>IF(H183="Rendida ",IF('Resultados Individuales'!S183&lt;49.5%,"Por Mejorar",IF('Resultados Individuales'!S183&lt;64.5%,"Base",IF('Resultados Individuales'!S183&lt;84.5%,"Satisfactorio","Óptimo"))),"No rendida o no válida")</f>
        <v>No rendida o no válida</v>
      </c>
    </row>
    <row r="184" spans="1:20">
      <c r="A184" s="29"/>
      <c r="B184" s="74"/>
      <c r="C184" s="74"/>
      <c r="D184" s="73"/>
      <c r="E184" s="73"/>
      <c r="F184" s="73"/>
      <c r="G184" s="29"/>
      <c r="H184" s="29"/>
      <c r="I184" s="29"/>
      <c r="J184" s="29"/>
      <c r="K184" s="29"/>
      <c r="L184" s="29"/>
      <c r="M184" s="29"/>
      <c r="N184" s="29"/>
      <c r="O184" s="29"/>
      <c r="P184" s="29"/>
      <c r="Q184" s="29"/>
      <c r="R184" s="37">
        <f t="shared" si="4"/>
        <v>0</v>
      </c>
      <c r="S184" s="77">
        <f t="shared" si="5"/>
        <v>0</v>
      </c>
      <c r="T184" s="37" t="str">
        <f>IF(H184="Rendida ",IF('Resultados Individuales'!S184&lt;49.5%,"Por Mejorar",IF('Resultados Individuales'!S184&lt;64.5%,"Base",IF('Resultados Individuales'!S184&lt;84.5%,"Satisfactorio","Óptimo"))),"No rendida o no válida")</f>
        <v>No rendida o no válida</v>
      </c>
    </row>
    <row r="185" spans="1:20">
      <c r="A185" s="29"/>
      <c r="B185" s="74"/>
      <c r="C185" s="74"/>
      <c r="D185" s="73"/>
      <c r="E185" s="73"/>
      <c r="F185" s="73"/>
      <c r="G185" s="29"/>
      <c r="H185" s="29"/>
      <c r="I185" s="29"/>
      <c r="J185" s="29"/>
      <c r="K185" s="29"/>
      <c r="L185" s="29"/>
      <c r="M185" s="29"/>
      <c r="N185" s="29"/>
      <c r="O185" s="29"/>
      <c r="P185" s="29"/>
      <c r="Q185" s="29"/>
      <c r="R185" s="37">
        <f t="shared" si="4"/>
        <v>0</v>
      </c>
      <c r="S185" s="77">
        <f t="shared" si="5"/>
        <v>0</v>
      </c>
      <c r="T185" s="37" t="str">
        <f>IF(H185="Rendida ",IF('Resultados Individuales'!S185&lt;49.5%,"Por Mejorar",IF('Resultados Individuales'!S185&lt;64.5%,"Base",IF('Resultados Individuales'!S185&lt;84.5%,"Satisfactorio","Óptimo"))),"No rendida o no válida")</f>
        <v>No rendida o no válida</v>
      </c>
    </row>
    <row r="186" spans="1:20">
      <c r="A186" s="29"/>
      <c r="B186" s="74"/>
      <c r="C186" s="74"/>
      <c r="D186" s="73"/>
      <c r="E186" s="73"/>
      <c r="F186" s="73"/>
      <c r="G186" s="29"/>
      <c r="H186" s="29"/>
      <c r="I186" s="29"/>
      <c r="J186" s="29"/>
      <c r="K186" s="29"/>
      <c r="L186" s="29"/>
      <c r="M186" s="29"/>
      <c r="N186" s="29"/>
      <c r="O186" s="29"/>
      <c r="P186" s="29"/>
      <c r="Q186" s="29"/>
      <c r="R186" s="37">
        <f t="shared" si="4"/>
        <v>0</v>
      </c>
      <c r="S186" s="77">
        <f t="shared" si="5"/>
        <v>0</v>
      </c>
      <c r="T186" s="37" t="str">
        <f>IF(H186="Rendida ",IF('Resultados Individuales'!S186&lt;49.5%,"Por Mejorar",IF('Resultados Individuales'!S186&lt;64.5%,"Base",IF('Resultados Individuales'!S186&lt;84.5%,"Satisfactorio","Óptimo"))),"No rendida o no válida")</f>
        <v>No rendida o no válida</v>
      </c>
    </row>
    <row r="187" spans="1:20">
      <c r="A187" s="29"/>
      <c r="B187" s="74"/>
      <c r="C187" s="74"/>
      <c r="D187" s="73"/>
      <c r="E187" s="73"/>
      <c r="F187" s="73"/>
      <c r="G187" s="29"/>
      <c r="H187" s="29"/>
      <c r="I187" s="29"/>
      <c r="J187" s="29"/>
      <c r="K187" s="29"/>
      <c r="L187" s="29"/>
      <c r="M187" s="29"/>
      <c r="N187" s="29"/>
      <c r="O187" s="29"/>
      <c r="P187" s="29"/>
      <c r="Q187" s="29"/>
      <c r="R187" s="37">
        <f t="shared" si="4"/>
        <v>0</v>
      </c>
      <c r="S187" s="77">
        <f t="shared" si="5"/>
        <v>0</v>
      </c>
      <c r="T187" s="37" t="str">
        <f>IF(H187="Rendida ",IF('Resultados Individuales'!S187&lt;49.5%,"Por Mejorar",IF('Resultados Individuales'!S187&lt;64.5%,"Base",IF('Resultados Individuales'!S187&lt;84.5%,"Satisfactorio","Óptimo"))),"No rendida o no válida")</f>
        <v>No rendida o no válida</v>
      </c>
    </row>
    <row r="188" spans="1:20">
      <c r="A188" s="29"/>
      <c r="B188" s="74"/>
      <c r="C188" s="74"/>
      <c r="D188" s="73"/>
      <c r="E188" s="73"/>
      <c r="F188" s="73"/>
      <c r="G188" s="29"/>
      <c r="H188" s="29"/>
      <c r="I188" s="29"/>
      <c r="J188" s="29"/>
      <c r="K188" s="29"/>
      <c r="L188" s="29"/>
      <c r="M188" s="29"/>
      <c r="N188" s="29"/>
      <c r="O188" s="29"/>
      <c r="P188" s="29"/>
      <c r="Q188" s="29"/>
      <c r="R188" s="37">
        <f t="shared" si="4"/>
        <v>0</v>
      </c>
      <c r="S188" s="77">
        <f t="shared" si="5"/>
        <v>0</v>
      </c>
      <c r="T188" s="37" t="str">
        <f>IF(H188="Rendida ",IF('Resultados Individuales'!S188&lt;49.5%,"Por Mejorar",IF('Resultados Individuales'!S188&lt;64.5%,"Base",IF('Resultados Individuales'!S188&lt;84.5%,"Satisfactorio","Óptimo"))),"No rendida o no válida")</f>
        <v>No rendida o no válida</v>
      </c>
    </row>
    <row r="189" spans="1:20">
      <c r="A189" s="29"/>
      <c r="B189" s="74"/>
      <c r="C189" s="74"/>
      <c r="D189" s="73"/>
      <c r="E189" s="73"/>
      <c r="F189" s="73"/>
      <c r="G189" s="29"/>
      <c r="H189" s="29"/>
      <c r="I189" s="29"/>
      <c r="J189" s="29"/>
      <c r="K189" s="29"/>
      <c r="L189" s="29"/>
      <c r="M189" s="29"/>
      <c r="N189" s="29"/>
      <c r="O189" s="29"/>
      <c r="P189" s="29"/>
      <c r="Q189" s="29"/>
      <c r="R189" s="37">
        <f t="shared" si="4"/>
        <v>0</v>
      </c>
      <c r="S189" s="77">
        <f t="shared" si="5"/>
        <v>0</v>
      </c>
      <c r="T189" s="37" t="str">
        <f>IF(H189="Rendida ",IF('Resultados Individuales'!S189&lt;49.5%,"Por Mejorar",IF('Resultados Individuales'!S189&lt;64.5%,"Base",IF('Resultados Individuales'!S189&lt;84.5%,"Satisfactorio","Óptimo"))),"No rendida o no válida")</f>
        <v>No rendida o no válida</v>
      </c>
    </row>
    <row r="190" spans="1:20">
      <c r="A190" s="29"/>
      <c r="B190" s="74"/>
      <c r="C190" s="74"/>
      <c r="D190" s="73"/>
      <c r="E190" s="73"/>
      <c r="F190" s="73"/>
      <c r="G190" s="29"/>
      <c r="H190" s="29"/>
      <c r="I190" s="29"/>
      <c r="J190" s="29"/>
      <c r="K190" s="29"/>
      <c r="L190" s="29"/>
      <c r="M190" s="29"/>
      <c r="N190" s="29"/>
      <c r="O190" s="29"/>
      <c r="P190" s="29"/>
      <c r="Q190" s="29"/>
      <c r="R190" s="37">
        <f t="shared" si="4"/>
        <v>0</v>
      </c>
      <c r="S190" s="77">
        <f t="shared" si="5"/>
        <v>0</v>
      </c>
      <c r="T190" s="37" t="str">
        <f>IF(H190="Rendida ",IF('Resultados Individuales'!S190&lt;49.5%,"Por Mejorar",IF('Resultados Individuales'!S190&lt;64.5%,"Base",IF('Resultados Individuales'!S190&lt;84.5%,"Satisfactorio","Óptimo"))),"No rendida o no válida")</f>
        <v>No rendida o no válida</v>
      </c>
    </row>
    <row r="191" spans="1:20">
      <c r="A191" s="29"/>
      <c r="B191" s="74"/>
      <c r="C191" s="74"/>
      <c r="D191" s="73"/>
      <c r="E191" s="73"/>
      <c r="F191" s="73"/>
      <c r="G191" s="29"/>
      <c r="H191" s="29"/>
      <c r="I191" s="29"/>
      <c r="J191" s="29"/>
      <c r="K191" s="29"/>
      <c r="L191" s="29"/>
      <c r="M191" s="29"/>
      <c r="N191" s="29"/>
      <c r="O191" s="29"/>
      <c r="P191" s="29"/>
      <c r="Q191" s="29"/>
      <c r="R191" s="37">
        <f t="shared" si="4"/>
        <v>0</v>
      </c>
      <c r="S191" s="77">
        <f t="shared" si="5"/>
        <v>0</v>
      </c>
      <c r="T191" s="37" t="str">
        <f>IF(H191="Rendida ",IF('Resultados Individuales'!S191&lt;49.5%,"Por Mejorar",IF('Resultados Individuales'!S191&lt;64.5%,"Base",IF('Resultados Individuales'!S191&lt;84.5%,"Satisfactorio","Óptimo"))),"No rendida o no válida")</f>
        <v>No rendida o no válida</v>
      </c>
    </row>
    <row r="192" spans="1:20">
      <c r="A192" s="29"/>
      <c r="B192" s="74"/>
      <c r="C192" s="74"/>
      <c r="D192" s="73"/>
      <c r="E192" s="73"/>
      <c r="F192" s="73"/>
      <c r="G192" s="29"/>
      <c r="H192" s="29"/>
      <c r="I192" s="29"/>
      <c r="J192" s="29"/>
      <c r="K192" s="29"/>
      <c r="L192" s="29"/>
      <c r="M192" s="29"/>
      <c r="N192" s="29"/>
      <c r="O192" s="29"/>
      <c r="P192" s="29"/>
      <c r="Q192" s="29"/>
      <c r="R192" s="37">
        <f t="shared" si="4"/>
        <v>0</v>
      </c>
      <c r="S192" s="77">
        <f t="shared" si="5"/>
        <v>0</v>
      </c>
      <c r="T192" s="37" t="str">
        <f>IF(H192="Rendida ",IF('Resultados Individuales'!S192&lt;49.5%,"Por Mejorar",IF('Resultados Individuales'!S192&lt;64.5%,"Base",IF('Resultados Individuales'!S192&lt;84.5%,"Satisfactorio","Óptimo"))),"No rendida o no válida")</f>
        <v>No rendida o no válida</v>
      </c>
    </row>
    <row r="193" spans="1:20">
      <c r="A193" s="29"/>
      <c r="B193" s="74"/>
      <c r="C193" s="74"/>
      <c r="D193" s="73"/>
      <c r="E193" s="73"/>
      <c r="F193" s="73"/>
      <c r="G193" s="29"/>
      <c r="H193" s="29"/>
      <c r="I193" s="29"/>
      <c r="J193" s="29"/>
      <c r="K193" s="29"/>
      <c r="L193" s="29"/>
      <c r="M193" s="29"/>
      <c r="N193" s="29"/>
      <c r="O193" s="29"/>
      <c r="P193" s="29"/>
      <c r="Q193" s="29"/>
      <c r="R193" s="37">
        <f t="shared" si="4"/>
        <v>0</v>
      </c>
      <c r="S193" s="77">
        <f t="shared" si="5"/>
        <v>0</v>
      </c>
      <c r="T193" s="37" t="str">
        <f>IF(H193="Rendida ",IF('Resultados Individuales'!S193&lt;49.5%,"Por Mejorar",IF('Resultados Individuales'!S193&lt;64.5%,"Base",IF('Resultados Individuales'!S193&lt;84.5%,"Satisfactorio","Óptimo"))),"No rendida o no válida")</f>
        <v>No rendida o no válida</v>
      </c>
    </row>
    <row r="194" spans="1:20">
      <c r="A194" s="29"/>
      <c r="B194" s="74"/>
      <c r="C194" s="74"/>
      <c r="D194" s="73"/>
      <c r="E194" s="73"/>
      <c r="F194" s="73"/>
      <c r="G194" s="29"/>
      <c r="H194" s="29"/>
      <c r="I194" s="29"/>
      <c r="J194" s="29"/>
      <c r="K194" s="29"/>
      <c r="L194" s="29"/>
      <c r="M194" s="29"/>
      <c r="N194" s="29"/>
      <c r="O194" s="29"/>
      <c r="P194" s="29"/>
      <c r="Q194" s="29"/>
      <c r="R194" s="37">
        <f t="shared" si="4"/>
        <v>0</v>
      </c>
      <c r="S194" s="77">
        <f t="shared" si="5"/>
        <v>0</v>
      </c>
      <c r="T194" s="37" t="str">
        <f>IF(H194="Rendida ",IF('Resultados Individuales'!S194&lt;49.5%,"Por Mejorar",IF('Resultados Individuales'!S194&lt;64.5%,"Base",IF('Resultados Individuales'!S194&lt;84.5%,"Satisfactorio","Óptimo"))),"No rendida o no válida")</f>
        <v>No rendida o no válida</v>
      </c>
    </row>
    <row r="195" spans="1:20">
      <c r="A195" s="29"/>
      <c r="B195" s="74"/>
      <c r="C195" s="74"/>
      <c r="D195" s="73"/>
      <c r="E195" s="73"/>
      <c r="F195" s="73"/>
      <c r="G195" s="29"/>
      <c r="H195" s="29"/>
      <c r="I195" s="29"/>
      <c r="J195" s="29"/>
      <c r="K195" s="29"/>
      <c r="L195" s="29"/>
      <c r="M195" s="29"/>
      <c r="N195" s="29"/>
      <c r="O195" s="29"/>
      <c r="P195" s="29"/>
      <c r="Q195" s="29"/>
      <c r="R195" s="37">
        <f t="shared" si="4"/>
        <v>0</v>
      </c>
      <c r="S195" s="77">
        <f t="shared" si="5"/>
        <v>0</v>
      </c>
      <c r="T195" s="37" t="str">
        <f>IF(H195="Rendida ",IF('Resultados Individuales'!S195&lt;49.5%,"Por Mejorar",IF('Resultados Individuales'!S195&lt;64.5%,"Base",IF('Resultados Individuales'!S195&lt;84.5%,"Satisfactorio","Óptimo"))),"No rendida o no válida")</f>
        <v>No rendida o no válida</v>
      </c>
    </row>
    <row r="196" spans="1:20">
      <c r="A196" s="29"/>
      <c r="B196" s="74"/>
      <c r="C196" s="74"/>
      <c r="D196" s="73"/>
      <c r="E196" s="73"/>
      <c r="F196" s="73"/>
      <c r="G196" s="29"/>
      <c r="H196" s="29"/>
      <c r="I196" s="29"/>
      <c r="J196" s="29"/>
      <c r="K196" s="29"/>
      <c r="L196" s="29"/>
      <c r="M196" s="29"/>
      <c r="N196" s="29"/>
      <c r="O196" s="29"/>
      <c r="P196" s="29"/>
      <c r="Q196" s="29"/>
      <c r="R196" s="37">
        <f t="shared" ref="R196:R259" si="6">SUM(K196:Q196)</f>
        <v>0</v>
      </c>
      <c r="S196" s="77">
        <f t="shared" si="5"/>
        <v>0</v>
      </c>
      <c r="T196" s="37" t="str">
        <f>IF(H196="Rendida ",IF('Resultados Individuales'!S196&lt;49.5%,"Por Mejorar",IF('Resultados Individuales'!S196&lt;64.5%,"Base",IF('Resultados Individuales'!S196&lt;84.5%,"Satisfactorio","Óptimo"))),"No rendida o no válida")</f>
        <v>No rendida o no válida</v>
      </c>
    </row>
    <row r="197" spans="1:20">
      <c r="A197" s="29"/>
      <c r="B197" s="74"/>
      <c r="C197" s="74"/>
      <c r="D197" s="73"/>
      <c r="E197" s="73"/>
      <c r="F197" s="73"/>
      <c r="G197" s="29"/>
      <c r="H197" s="29"/>
      <c r="I197" s="29"/>
      <c r="J197" s="29"/>
      <c r="K197" s="29"/>
      <c r="L197" s="29"/>
      <c r="M197" s="29"/>
      <c r="N197" s="29"/>
      <c r="O197" s="29"/>
      <c r="P197" s="29"/>
      <c r="Q197" s="29"/>
      <c r="R197" s="37">
        <f t="shared" si="6"/>
        <v>0</v>
      </c>
      <c r="S197" s="77">
        <f t="shared" ref="S197:S211" si="7">R197/32</f>
        <v>0</v>
      </c>
      <c r="T197" s="37" t="str">
        <f>IF(H197="Rendida ",IF('Resultados Individuales'!S197&lt;49.5%,"Por Mejorar",IF('Resultados Individuales'!S197&lt;64.5%,"Base",IF('Resultados Individuales'!S197&lt;84.5%,"Satisfactorio","Óptimo"))),"No rendida o no válida")</f>
        <v>No rendida o no válida</v>
      </c>
    </row>
    <row r="198" spans="1:20">
      <c r="A198" s="29"/>
      <c r="B198" s="74"/>
      <c r="C198" s="74"/>
      <c r="D198" s="73"/>
      <c r="E198" s="73"/>
      <c r="F198" s="73"/>
      <c r="G198" s="29"/>
      <c r="H198" s="29"/>
      <c r="I198" s="29"/>
      <c r="J198" s="29"/>
      <c r="K198" s="29"/>
      <c r="L198" s="29"/>
      <c r="M198" s="29"/>
      <c r="N198" s="29"/>
      <c r="O198" s="29"/>
      <c r="P198" s="29"/>
      <c r="Q198" s="29"/>
      <c r="R198" s="37">
        <f t="shared" si="6"/>
        <v>0</v>
      </c>
      <c r="S198" s="77">
        <f t="shared" si="7"/>
        <v>0</v>
      </c>
      <c r="T198" s="37" t="str">
        <f>IF(H198="Rendida ",IF('Resultados Individuales'!S198&lt;49.5%,"Por Mejorar",IF('Resultados Individuales'!S198&lt;64.5%,"Base",IF('Resultados Individuales'!S198&lt;84.5%,"Satisfactorio","Óptimo"))),"No rendida o no válida")</f>
        <v>No rendida o no válida</v>
      </c>
    </row>
    <row r="199" spans="1:20">
      <c r="A199" s="29"/>
      <c r="B199" s="74"/>
      <c r="C199" s="74"/>
      <c r="D199" s="73"/>
      <c r="E199" s="73"/>
      <c r="F199" s="73"/>
      <c r="G199" s="29"/>
      <c r="H199" s="29"/>
      <c r="I199" s="29"/>
      <c r="J199" s="29"/>
      <c r="K199" s="29"/>
      <c r="L199" s="29"/>
      <c r="M199" s="29"/>
      <c r="N199" s="29"/>
      <c r="O199" s="29"/>
      <c r="P199" s="29"/>
      <c r="Q199" s="29"/>
      <c r="R199" s="37">
        <f t="shared" si="6"/>
        <v>0</v>
      </c>
      <c r="S199" s="77">
        <f t="shared" si="7"/>
        <v>0</v>
      </c>
      <c r="T199" s="37" t="str">
        <f>IF(H199="Rendida ",IF('Resultados Individuales'!S199&lt;49.5%,"Por Mejorar",IF('Resultados Individuales'!S199&lt;64.5%,"Base",IF('Resultados Individuales'!S199&lt;84.5%,"Satisfactorio","Óptimo"))),"No rendida o no válida")</f>
        <v>No rendida o no válida</v>
      </c>
    </row>
    <row r="200" spans="1:20">
      <c r="A200" s="29"/>
      <c r="B200" s="74"/>
      <c r="C200" s="74"/>
      <c r="D200" s="73"/>
      <c r="E200" s="73"/>
      <c r="F200" s="73"/>
      <c r="G200" s="29"/>
      <c r="H200" s="29"/>
      <c r="I200" s="29"/>
      <c r="J200" s="29"/>
      <c r="K200" s="29"/>
      <c r="L200" s="29"/>
      <c r="M200" s="29"/>
      <c r="N200" s="29"/>
      <c r="O200" s="29"/>
      <c r="P200" s="29"/>
      <c r="Q200" s="29"/>
      <c r="R200" s="37">
        <f t="shared" si="6"/>
        <v>0</v>
      </c>
      <c r="S200" s="77">
        <f t="shared" si="7"/>
        <v>0</v>
      </c>
      <c r="T200" s="37" t="str">
        <f>IF(H200="Rendida ",IF('Resultados Individuales'!S200&lt;49.5%,"Por Mejorar",IF('Resultados Individuales'!S200&lt;64.5%,"Base",IF('Resultados Individuales'!S200&lt;84.5%,"Satisfactorio","Óptimo"))),"No rendida o no válida")</f>
        <v>No rendida o no válida</v>
      </c>
    </row>
    <row r="201" spans="1:20">
      <c r="A201" s="29"/>
      <c r="B201" s="74"/>
      <c r="C201" s="74"/>
      <c r="D201" s="73"/>
      <c r="E201" s="73"/>
      <c r="F201" s="73"/>
      <c r="G201" s="29"/>
      <c r="H201" s="29"/>
      <c r="I201" s="29"/>
      <c r="J201" s="29"/>
      <c r="K201" s="29"/>
      <c r="L201" s="29"/>
      <c r="M201" s="29"/>
      <c r="N201" s="29"/>
      <c r="O201" s="29"/>
      <c r="P201" s="29"/>
      <c r="Q201" s="29"/>
      <c r="R201" s="37">
        <f t="shared" si="6"/>
        <v>0</v>
      </c>
      <c r="S201" s="77">
        <f t="shared" si="7"/>
        <v>0</v>
      </c>
      <c r="T201" s="37" t="str">
        <f>IF(H201="Rendida ",IF('Resultados Individuales'!S201&lt;49.5%,"Por Mejorar",IF('Resultados Individuales'!S201&lt;64.5%,"Base",IF('Resultados Individuales'!S201&lt;84.5%,"Satisfactorio","Óptimo"))),"No rendida o no válida")</f>
        <v>No rendida o no válida</v>
      </c>
    </row>
    <row r="202" spans="1:20">
      <c r="A202" s="29"/>
      <c r="B202" s="74"/>
      <c r="C202" s="74"/>
      <c r="D202" s="73"/>
      <c r="E202" s="73"/>
      <c r="F202" s="73"/>
      <c r="G202" s="29"/>
      <c r="H202" s="29"/>
      <c r="I202" s="29"/>
      <c r="J202" s="29"/>
      <c r="K202" s="29"/>
      <c r="L202" s="29"/>
      <c r="M202" s="29"/>
      <c r="N202" s="29"/>
      <c r="O202" s="29"/>
      <c r="P202" s="29"/>
      <c r="Q202" s="29"/>
      <c r="R202" s="37">
        <f t="shared" si="6"/>
        <v>0</v>
      </c>
      <c r="S202" s="77">
        <f t="shared" si="7"/>
        <v>0</v>
      </c>
      <c r="T202" s="37" t="str">
        <f>IF(H202="Rendida ",IF('Resultados Individuales'!S202&lt;49.5%,"Por Mejorar",IF('Resultados Individuales'!S202&lt;64.5%,"Base",IF('Resultados Individuales'!S202&lt;84.5%,"Satisfactorio","Óptimo"))),"No rendida o no válida")</f>
        <v>No rendida o no válida</v>
      </c>
    </row>
    <row r="203" spans="1:20">
      <c r="A203" s="29"/>
      <c r="B203" s="74"/>
      <c r="C203" s="74"/>
      <c r="D203" s="73"/>
      <c r="E203" s="73"/>
      <c r="F203" s="73"/>
      <c r="G203" s="29"/>
      <c r="H203" s="29"/>
      <c r="I203" s="29"/>
      <c r="J203" s="29"/>
      <c r="K203" s="29"/>
      <c r="L203" s="29"/>
      <c r="M203" s="29"/>
      <c r="N203" s="29"/>
      <c r="O203" s="29"/>
      <c r="P203" s="29"/>
      <c r="Q203" s="29"/>
      <c r="R203" s="37">
        <f t="shared" si="6"/>
        <v>0</v>
      </c>
      <c r="S203" s="77">
        <f t="shared" si="7"/>
        <v>0</v>
      </c>
      <c r="T203" s="37" t="str">
        <f>IF(H203="Rendida ",IF('Resultados Individuales'!S203&lt;49.5%,"Por Mejorar",IF('Resultados Individuales'!S203&lt;64.5%,"Base",IF('Resultados Individuales'!S203&lt;84.5%,"Satisfactorio","Óptimo"))),"No rendida o no válida")</f>
        <v>No rendida o no válida</v>
      </c>
    </row>
    <row r="204" spans="1:20">
      <c r="A204" s="29"/>
      <c r="B204" s="74"/>
      <c r="C204" s="74"/>
      <c r="D204" s="73"/>
      <c r="E204" s="73"/>
      <c r="F204" s="73"/>
      <c r="G204" s="29"/>
      <c r="H204" s="29"/>
      <c r="I204" s="29"/>
      <c r="J204" s="29"/>
      <c r="K204" s="29"/>
      <c r="L204" s="29"/>
      <c r="M204" s="29"/>
      <c r="N204" s="29"/>
      <c r="O204" s="29"/>
      <c r="P204" s="29"/>
      <c r="Q204" s="29"/>
      <c r="R204" s="37">
        <f t="shared" si="6"/>
        <v>0</v>
      </c>
      <c r="S204" s="77">
        <f t="shared" si="7"/>
        <v>0</v>
      </c>
      <c r="T204" s="37" t="str">
        <f>IF(H204="Rendida ",IF('Resultados Individuales'!S204&lt;49.5%,"Por Mejorar",IF('Resultados Individuales'!S204&lt;64.5%,"Base",IF('Resultados Individuales'!S204&lt;84.5%,"Satisfactorio","Óptimo"))),"No rendida o no válida")</f>
        <v>No rendida o no válida</v>
      </c>
    </row>
    <row r="205" spans="1:20">
      <c r="A205" s="29"/>
      <c r="B205" s="74"/>
      <c r="C205" s="74"/>
      <c r="D205" s="73"/>
      <c r="E205" s="73"/>
      <c r="F205" s="73"/>
      <c r="G205" s="29"/>
      <c r="H205" s="29"/>
      <c r="I205" s="29"/>
      <c r="J205" s="29"/>
      <c r="K205" s="29"/>
      <c r="L205" s="29"/>
      <c r="M205" s="29"/>
      <c r="N205" s="29"/>
      <c r="O205" s="29"/>
      <c r="P205" s="29"/>
      <c r="Q205" s="29"/>
      <c r="R205" s="37">
        <f t="shared" si="6"/>
        <v>0</v>
      </c>
      <c r="S205" s="77">
        <f t="shared" si="7"/>
        <v>0</v>
      </c>
      <c r="T205" s="37" t="str">
        <f>IF(H205="Rendida ",IF('Resultados Individuales'!S205&lt;49.5%,"Por Mejorar",IF('Resultados Individuales'!S205&lt;64.5%,"Base",IF('Resultados Individuales'!S205&lt;84.5%,"Satisfactorio","Óptimo"))),"No rendida o no válida")</f>
        <v>No rendida o no válida</v>
      </c>
    </row>
    <row r="206" spans="1:20">
      <c r="A206" s="29"/>
      <c r="B206" s="74"/>
      <c r="C206" s="74"/>
      <c r="D206" s="73"/>
      <c r="E206" s="73"/>
      <c r="F206" s="73"/>
      <c r="G206" s="29"/>
      <c r="H206" s="29"/>
      <c r="I206" s="29"/>
      <c r="J206" s="29"/>
      <c r="K206" s="29"/>
      <c r="L206" s="29"/>
      <c r="M206" s="29"/>
      <c r="N206" s="29"/>
      <c r="O206" s="29"/>
      <c r="P206" s="29"/>
      <c r="Q206" s="29"/>
      <c r="R206" s="37">
        <f t="shared" si="6"/>
        <v>0</v>
      </c>
      <c r="S206" s="77">
        <f t="shared" si="7"/>
        <v>0</v>
      </c>
      <c r="T206" s="37" t="str">
        <f>IF(H206="Rendida ",IF('Resultados Individuales'!S206&lt;49.5%,"Por Mejorar",IF('Resultados Individuales'!S206&lt;64.5%,"Base",IF('Resultados Individuales'!S206&lt;84.5%,"Satisfactorio","Óptimo"))),"No rendida o no válida")</f>
        <v>No rendida o no válida</v>
      </c>
    </row>
    <row r="207" spans="1:20">
      <c r="A207" s="29"/>
      <c r="B207" s="74"/>
      <c r="C207" s="74"/>
      <c r="D207" s="73"/>
      <c r="E207" s="73"/>
      <c r="F207" s="73"/>
      <c r="G207" s="29"/>
      <c r="H207" s="29"/>
      <c r="I207" s="29"/>
      <c r="J207" s="29"/>
      <c r="K207" s="29"/>
      <c r="L207" s="29"/>
      <c r="M207" s="29"/>
      <c r="N207" s="29"/>
      <c r="O207" s="29"/>
      <c r="P207" s="29"/>
      <c r="Q207" s="29"/>
      <c r="R207" s="37">
        <f t="shared" si="6"/>
        <v>0</v>
      </c>
      <c r="S207" s="77">
        <f t="shared" si="7"/>
        <v>0</v>
      </c>
      <c r="T207" s="37" t="str">
        <f>IF(H207="Rendida ",IF('Resultados Individuales'!S207&lt;49.5%,"Por Mejorar",IF('Resultados Individuales'!S207&lt;64.5%,"Base",IF('Resultados Individuales'!S207&lt;84.5%,"Satisfactorio","Óptimo"))),"No rendida o no válida")</f>
        <v>No rendida o no válida</v>
      </c>
    </row>
    <row r="208" spans="1:20">
      <c r="A208" s="29"/>
      <c r="B208" s="74"/>
      <c r="C208" s="74"/>
      <c r="D208" s="73"/>
      <c r="E208" s="73"/>
      <c r="F208" s="73"/>
      <c r="G208" s="29"/>
      <c r="H208" s="29"/>
      <c r="I208" s="29"/>
      <c r="J208" s="29"/>
      <c r="K208" s="29"/>
      <c r="L208" s="29"/>
      <c r="M208" s="29"/>
      <c r="N208" s="29"/>
      <c r="O208" s="29"/>
      <c r="P208" s="29"/>
      <c r="Q208" s="29"/>
      <c r="R208" s="37">
        <f t="shared" si="6"/>
        <v>0</v>
      </c>
      <c r="S208" s="77">
        <f t="shared" si="7"/>
        <v>0</v>
      </c>
      <c r="T208" s="37" t="str">
        <f>IF(H208="Rendida ",IF('Resultados Individuales'!S208&lt;49.5%,"Por Mejorar",IF('Resultados Individuales'!S208&lt;64.5%,"Base",IF('Resultados Individuales'!S208&lt;84.5%,"Satisfactorio","Óptimo"))),"No rendida o no válida")</f>
        <v>No rendida o no válida</v>
      </c>
    </row>
    <row r="209" spans="1:20">
      <c r="A209" s="29"/>
      <c r="B209" s="74"/>
      <c r="C209" s="74"/>
      <c r="D209" s="73"/>
      <c r="E209" s="73"/>
      <c r="F209" s="73"/>
      <c r="G209" s="29"/>
      <c r="H209" s="29"/>
      <c r="I209" s="29"/>
      <c r="J209" s="29"/>
      <c r="K209" s="29"/>
      <c r="L209" s="29"/>
      <c r="M209" s="29"/>
      <c r="N209" s="29"/>
      <c r="O209" s="29"/>
      <c r="P209" s="29"/>
      <c r="Q209" s="29"/>
      <c r="R209" s="37">
        <f t="shared" si="6"/>
        <v>0</v>
      </c>
      <c r="S209" s="77">
        <f t="shared" si="7"/>
        <v>0</v>
      </c>
      <c r="T209" s="37" t="str">
        <f>IF(H209="Rendida ",IF('Resultados Individuales'!S209&lt;49.5%,"Por Mejorar",IF('Resultados Individuales'!S209&lt;64.5%,"Base",IF('Resultados Individuales'!S209&lt;84.5%,"Satisfactorio","Óptimo"))),"No rendida o no válida")</f>
        <v>No rendida o no válida</v>
      </c>
    </row>
    <row r="210" spans="1:20">
      <c r="A210" s="29"/>
      <c r="B210" s="74"/>
      <c r="C210" s="74"/>
      <c r="D210" s="73"/>
      <c r="E210" s="73"/>
      <c r="F210" s="73"/>
      <c r="G210" s="29"/>
      <c r="H210" s="29"/>
      <c r="I210" s="29"/>
      <c r="J210" s="29"/>
      <c r="K210" s="29"/>
      <c r="L210" s="29"/>
      <c r="M210" s="29"/>
      <c r="N210" s="29"/>
      <c r="O210" s="29"/>
      <c r="P210" s="29"/>
      <c r="Q210" s="29"/>
      <c r="R210" s="37">
        <f t="shared" si="6"/>
        <v>0</v>
      </c>
      <c r="S210" s="77">
        <f t="shared" si="7"/>
        <v>0</v>
      </c>
      <c r="T210" s="37" t="str">
        <f>IF(H210="Rendida ",IF('Resultados Individuales'!S210&lt;49.5%,"Por Mejorar",IF('Resultados Individuales'!S210&lt;64.5%,"Base",IF('Resultados Individuales'!S210&lt;84.5%,"Satisfactorio","Óptimo"))),"No rendida o no válida")</f>
        <v>No rendida o no válida</v>
      </c>
    </row>
    <row r="211" spans="1:20">
      <c r="A211" s="29"/>
      <c r="B211" s="74"/>
      <c r="C211" s="74"/>
      <c r="D211" s="73"/>
      <c r="E211" s="73"/>
      <c r="F211" s="73"/>
      <c r="G211" s="29"/>
      <c r="H211" s="29"/>
      <c r="I211" s="29"/>
      <c r="J211" s="29"/>
      <c r="K211" s="29"/>
      <c r="L211" s="29"/>
      <c r="M211" s="29"/>
      <c r="N211" s="29"/>
      <c r="O211" s="29"/>
      <c r="P211" s="29"/>
      <c r="Q211" s="29"/>
      <c r="R211" s="37">
        <f t="shared" si="6"/>
        <v>0</v>
      </c>
      <c r="S211" s="77">
        <f t="shared" si="7"/>
        <v>0</v>
      </c>
      <c r="T211" s="37" t="str">
        <f>IF(H211="Rendida ",IF('Resultados Individuales'!S211&lt;49.5%,"Por Mejorar",IF('Resultados Individuales'!S211&lt;64.5%,"Base",IF('Resultados Individuales'!S211&lt;84.5%,"Satisfactorio","Óptimo"))),"No rendida o no válida")</f>
        <v>No rendida o no válida</v>
      </c>
    </row>
  </sheetData>
  <mergeCells count="4">
    <mergeCell ref="R1:T2"/>
    <mergeCell ref="A1:J2"/>
    <mergeCell ref="N1:Q2"/>
    <mergeCell ref="K1:M2"/>
  </mergeCells>
  <pageMargins left="0.7" right="0.7" top="0.75" bottom="0.75" header="0.3" footer="0.3"/>
  <extLst>
    <ext xmlns:x14="http://schemas.microsoft.com/office/spreadsheetml/2009/9/main" uri="{CCE6A557-97BC-4b89-ADB6-D9C93CAAB3DF}">
      <x14:dataValidations xmlns:xm="http://schemas.microsoft.com/office/excel/2006/main" count="5">
        <x14:dataValidation type="list" allowBlank="1" showInputMessage="1" showErrorMessage="1" xr:uid="{C80E4FF3-F04B-424A-9E02-87A32A990A2A}">
          <x14:formula1>
            <xm:f>'Validación datos NO BORRAR'!$E$4:$E$9</xm:f>
          </x14:formula1>
          <xm:sqref>G4:G211</xm:sqref>
        </x14:dataValidation>
        <x14:dataValidation type="list" allowBlank="1" showInputMessage="1" showErrorMessage="1" xr:uid="{814046D8-0D01-4803-92BA-E5A904CCFC14}">
          <x14:formula1>
            <xm:f>'Validación datos NO BORRAR'!$F$4:$F$7</xm:f>
          </x14:formula1>
          <xm:sqref>H4:H211</xm:sqref>
        </x14:dataValidation>
        <x14:dataValidation type="list" allowBlank="1" showInputMessage="1" showErrorMessage="1" xr:uid="{EEE5D106-6DEF-4A5D-9A4C-E1CD814D0053}">
          <x14:formula1>
            <xm:f>'Validación datos NO BORRAR'!$G$4:$G$6</xm:f>
          </x14:formula1>
          <xm:sqref>J4:J154</xm:sqref>
        </x14:dataValidation>
        <x14:dataValidation type="list" allowBlank="1" showInputMessage="1" showErrorMessage="1" xr:uid="{5981835F-D36D-4992-9119-6192405E2844}">
          <x14:formula1>
            <xm:f>'Validación datos NO BORRAR'!$H$5:$H$8</xm:f>
          </x14:formula1>
          <xm:sqref>K149:Q211</xm:sqref>
        </x14:dataValidation>
        <x14:dataValidation type="list" allowBlank="1" showInputMessage="1" showErrorMessage="1" xr:uid="{D829A410-8509-43A7-B7BA-635FA4D84B42}">
          <x14:formula1>
            <xm:f>'Validación datos NO BORRAR'!$H$4:$H$8</xm:f>
          </x14:formula1>
          <xm:sqref>K4:Q148</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5DA8E9D-2360-4E40-A1FD-817EBA16C544}">
  <dimension ref="A1:M3"/>
  <sheetViews>
    <sheetView tabSelected="1" workbookViewId="0">
      <selection activeCell="A5" sqref="A5"/>
    </sheetView>
  </sheetViews>
  <sheetFormatPr defaultColWidth="11.42578125" defaultRowHeight="14.45"/>
  <cols>
    <col min="1" max="1" width="18.85546875" customWidth="1"/>
    <col min="2" max="3" width="28.140625" customWidth="1"/>
    <col min="4" max="4" width="20.42578125" customWidth="1"/>
    <col min="5" max="5" width="20.140625" customWidth="1"/>
    <col min="6" max="6" width="20.7109375" customWidth="1"/>
    <col min="7" max="7" width="27.28515625" customWidth="1"/>
    <col min="8" max="8" width="18.42578125" customWidth="1"/>
    <col min="9" max="9" width="22.42578125" customWidth="1"/>
    <col min="10" max="10" width="22.85546875" customWidth="1"/>
    <col min="11" max="13" width="14.28515625" customWidth="1"/>
  </cols>
  <sheetData>
    <row r="1" spans="1:13" ht="164.25" customHeight="1" thickBot="1">
      <c r="D1" s="133" t="s">
        <v>198</v>
      </c>
      <c r="E1" s="134"/>
      <c r="F1" s="134"/>
      <c r="G1" s="135" t="s">
        <v>199</v>
      </c>
      <c r="H1" s="136"/>
      <c r="I1" s="136"/>
      <c r="J1" s="136"/>
      <c r="K1" s="112" t="s">
        <v>200</v>
      </c>
      <c r="L1" s="112"/>
      <c r="M1" s="112"/>
    </row>
    <row r="2" spans="1:13" ht="157.15" customHeight="1" thickBot="1">
      <c r="A2" s="51" t="s">
        <v>201</v>
      </c>
      <c r="B2" s="76" t="s">
        <v>202</v>
      </c>
      <c r="C2" s="76" t="s">
        <v>203</v>
      </c>
      <c r="D2" s="65" t="s">
        <v>55</v>
      </c>
      <c r="E2" s="66" t="s">
        <v>56</v>
      </c>
      <c r="F2" s="67" t="s">
        <v>57</v>
      </c>
      <c r="G2" s="55" t="s">
        <v>58</v>
      </c>
      <c r="H2" s="56" t="s">
        <v>59</v>
      </c>
      <c r="I2" s="54" t="s">
        <v>60</v>
      </c>
      <c r="J2" s="79" t="s">
        <v>61</v>
      </c>
      <c r="K2" s="78" t="s">
        <v>62</v>
      </c>
      <c r="L2" s="78" t="s">
        <v>204</v>
      </c>
      <c r="M2" s="78" t="s">
        <v>64</v>
      </c>
    </row>
    <row r="3" spans="1:13">
      <c r="A3" s="29"/>
      <c r="B3" s="29"/>
      <c r="C3" s="29"/>
      <c r="D3" s="29"/>
      <c r="E3" s="29"/>
      <c r="F3" s="29"/>
      <c r="G3" s="29"/>
      <c r="H3" s="29"/>
      <c r="I3" s="29"/>
      <c r="J3" s="29"/>
    </row>
  </sheetData>
  <mergeCells count="3">
    <mergeCell ref="D1:F1"/>
    <mergeCell ref="G1:J1"/>
    <mergeCell ref="K1:M1"/>
  </mergeCells>
  <pageMargins left="0.7" right="0.7" top="0.75" bottom="0.75" header="0.3" footer="0.3"/>
  <extLst>
    <ext xmlns:x14="http://schemas.microsoft.com/office/spreadsheetml/2009/9/main" uri="{CCE6A557-97BC-4b89-ADB6-D9C93CAAB3DF}">
      <x14:dataValidations xmlns:xm="http://schemas.microsoft.com/office/excel/2006/main" count="1">
        <x14:dataValidation type="list" allowBlank="1" showInputMessage="1" showErrorMessage="1" xr:uid="{3EB831B7-BB0B-432A-A9C0-6CD005F75D2E}">
          <x14:formula1>
            <xm:f>'Validación datos NO BORRAR'!$H$5:$H$8</xm:f>
          </x14:formula1>
          <xm:sqref>D3:J203 A39:C203</xm:sqref>
        </x14:dataValidation>
      </x14:dataValidations>
    </ext>
  </extLst>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0BA242E-9ED8-434F-A954-D62908371136}">
  <dimension ref="E1:H17"/>
  <sheetViews>
    <sheetView workbookViewId="0">
      <selection activeCell="I9" sqref="I9"/>
    </sheetView>
  </sheetViews>
  <sheetFormatPr defaultColWidth="11.42578125" defaultRowHeight="14.45"/>
  <cols>
    <col min="5" max="5" width="71" customWidth="1"/>
    <col min="6" max="6" width="20.140625" customWidth="1"/>
    <col min="7" max="7" width="31.7109375" customWidth="1"/>
    <col min="8" max="8" width="27.28515625" customWidth="1"/>
  </cols>
  <sheetData>
    <row r="1" spans="5:8">
      <c r="H1" s="63"/>
    </row>
    <row r="2" spans="5:8" ht="64.5" customHeight="1">
      <c r="H2" s="50"/>
    </row>
    <row r="3" spans="5:8" ht="27.6">
      <c r="E3" s="30" t="s">
        <v>205</v>
      </c>
      <c r="F3" s="31" t="s">
        <v>52</v>
      </c>
      <c r="G3" s="31" t="s">
        <v>206</v>
      </c>
      <c r="H3" s="64" t="s">
        <v>207</v>
      </c>
    </row>
    <row r="4" spans="5:8">
      <c r="E4" s="29" t="s">
        <v>208</v>
      </c>
      <c r="F4" s="32" t="s">
        <v>69</v>
      </c>
      <c r="G4" s="29" t="s">
        <v>209</v>
      </c>
      <c r="H4">
        <v>0</v>
      </c>
    </row>
    <row r="5" spans="5:8">
      <c r="E5" s="29" t="s">
        <v>210</v>
      </c>
      <c r="F5" s="32" t="s">
        <v>91</v>
      </c>
      <c r="G5" s="29" t="s">
        <v>92</v>
      </c>
      <c r="H5" s="35">
        <v>1</v>
      </c>
    </row>
    <row r="6" spans="5:8">
      <c r="E6" s="29" t="s">
        <v>211</v>
      </c>
      <c r="F6" s="32" t="s">
        <v>212</v>
      </c>
      <c r="G6" s="29" t="s">
        <v>213</v>
      </c>
      <c r="H6" s="35">
        <v>2</v>
      </c>
    </row>
    <row r="7" spans="5:8">
      <c r="E7" s="29" t="s">
        <v>214</v>
      </c>
      <c r="F7" s="29" t="s">
        <v>213</v>
      </c>
      <c r="G7" s="29"/>
      <c r="H7" s="35">
        <v>3</v>
      </c>
    </row>
    <row r="8" spans="5:8">
      <c r="E8" s="29" t="s">
        <v>215</v>
      </c>
      <c r="F8" s="29"/>
      <c r="G8" s="29"/>
      <c r="H8" s="35">
        <v>4</v>
      </c>
    </row>
    <row r="9" spans="5:8">
      <c r="E9" s="29" t="s">
        <v>216</v>
      </c>
      <c r="F9" s="29"/>
      <c r="G9" s="29"/>
      <c r="H9" s="35"/>
    </row>
    <row r="10" spans="5:8">
      <c r="E10" s="29"/>
      <c r="F10" s="29"/>
      <c r="G10" s="29"/>
      <c r="H10" s="35"/>
    </row>
    <row r="11" spans="5:8">
      <c r="E11" s="29"/>
      <c r="F11" s="29"/>
      <c r="G11" s="29"/>
      <c r="H11" s="35"/>
    </row>
    <row r="12" spans="5:8">
      <c r="E12" s="29"/>
      <c r="F12" s="29"/>
      <c r="G12" s="29"/>
      <c r="H12" s="35"/>
    </row>
    <row r="13" spans="5:8">
      <c r="E13" s="29"/>
      <c r="F13" s="29"/>
      <c r="G13" s="29"/>
      <c r="H13" s="35"/>
    </row>
    <row r="14" spans="5:8">
      <c r="E14" s="29"/>
      <c r="F14" s="29"/>
      <c r="G14" s="29"/>
      <c r="H14" s="35"/>
    </row>
    <row r="15" spans="5:8">
      <c r="E15" s="29"/>
      <c r="F15" s="29"/>
      <c r="G15" s="29"/>
      <c r="H15" s="35"/>
    </row>
    <row r="16" spans="5:8">
      <c r="E16" s="29"/>
      <c r="F16" s="29"/>
      <c r="G16" s="29"/>
      <c r="H16" s="35"/>
    </row>
    <row r="17" spans="5:8">
      <c r="E17" s="29"/>
      <c r="F17" s="29"/>
      <c r="G17" s="29"/>
      <c r="H17" s="35"/>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9739C62-7237-4642-B672-27D521728A14}">
  <dimension ref="A1:K13"/>
  <sheetViews>
    <sheetView workbookViewId="0"/>
  </sheetViews>
  <sheetFormatPr defaultColWidth="11.42578125" defaultRowHeight="15" customHeight="1"/>
  <cols>
    <col min="1" max="1" width="5.28515625" style="80" customWidth="1"/>
    <col min="2" max="2" width="17.7109375" style="80" customWidth="1"/>
    <col min="3" max="9" width="11.42578125" style="80"/>
    <col min="10" max="10" width="23.140625" style="80" customWidth="1"/>
    <col min="11" max="11" width="62.140625" style="80" customWidth="1"/>
    <col min="12" max="16384" width="11.42578125" style="80"/>
  </cols>
  <sheetData>
    <row r="1" spans="1:11" ht="96.6" customHeight="1">
      <c r="A1" s="143"/>
      <c r="B1" s="143"/>
      <c r="C1" s="143"/>
      <c r="D1" s="143"/>
      <c r="E1" s="143"/>
      <c r="F1" s="143"/>
      <c r="G1" s="143"/>
      <c r="H1" s="143"/>
      <c r="I1" s="143"/>
      <c r="J1" s="143"/>
      <c r="K1" s="143"/>
    </row>
    <row r="2" spans="1:11" ht="13.5" customHeight="1">
      <c r="A2" s="144" t="s">
        <v>217</v>
      </c>
      <c r="B2" s="144"/>
      <c r="C2" s="144"/>
      <c r="D2" s="144"/>
      <c r="E2" s="144"/>
      <c r="F2" s="144"/>
      <c r="G2" s="144"/>
      <c r="H2" s="144"/>
      <c r="I2" s="144"/>
      <c r="J2" s="144"/>
      <c r="K2" s="144"/>
    </row>
    <row r="3" spans="1:11" ht="15" customHeight="1">
      <c r="A3" s="144" t="s">
        <v>218</v>
      </c>
      <c r="B3" s="144"/>
      <c r="C3" s="144"/>
      <c r="D3" s="144"/>
      <c r="E3" s="144"/>
      <c r="F3" s="144"/>
      <c r="G3" s="144"/>
      <c r="H3" s="144"/>
      <c r="I3" s="144"/>
      <c r="J3" s="144"/>
      <c r="K3" s="144"/>
    </row>
    <row r="4" spans="1:11" ht="15" customHeight="1">
      <c r="A4" s="145" t="s">
        <v>219</v>
      </c>
      <c r="B4" s="145"/>
      <c r="C4" s="145"/>
      <c r="D4" s="145"/>
      <c r="E4" s="145"/>
      <c r="F4" s="145"/>
      <c r="G4" s="145"/>
      <c r="H4" s="145"/>
      <c r="I4" s="145"/>
      <c r="J4" s="145"/>
      <c r="K4" s="145"/>
    </row>
    <row r="5" spans="1:11" ht="13.5" customHeight="1">
      <c r="A5" s="146"/>
      <c r="B5" s="146"/>
      <c r="C5" s="146"/>
      <c r="D5" s="146"/>
      <c r="E5" s="146"/>
      <c r="F5" s="146"/>
      <c r="G5" s="146"/>
      <c r="H5" s="146"/>
      <c r="I5" s="146"/>
      <c r="J5" s="146"/>
      <c r="K5" s="146"/>
    </row>
    <row r="6" spans="1:11" ht="13.5" customHeight="1">
      <c r="A6" s="142" t="s">
        <v>220</v>
      </c>
      <c r="B6" s="142"/>
      <c r="C6" s="142"/>
      <c r="D6" s="142"/>
      <c r="E6" s="142"/>
      <c r="F6" s="142"/>
      <c r="G6" s="142"/>
      <c r="H6" s="142"/>
      <c r="I6" s="142"/>
      <c r="J6" s="142"/>
      <c r="K6" s="142"/>
    </row>
    <row r="7" spans="1:11">
      <c r="A7" s="138"/>
      <c r="B7" s="138"/>
      <c r="C7" s="138"/>
      <c r="D7" s="138"/>
      <c r="E7" s="138"/>
      <c r="F7" s="138"/>
      <c r="G7" s="138"/>
      <c r="H7" s="138"/>
      <c r="I7" s="138"/>
      <c r="J7" s="138"/>
      <c r="K7" s="138"/>
    </row>
    <row r="8" spans="1:11">
      <c r="A8" s="139" t="s">
        <v>221</v>
      </c>
      <c r="B8" s="139"/>
      <c r="C8" s="139"/>
      <c r="D8" s="139"/>
      <c r="E8" s="139"/>
      <c r="F8" s="139"/>
      <c r="G8" s="139"/>
      <c r="H8" s="139"/>
      <c r="I8" s="139"/>
      <c r="J8" s="139"/>
      <c r="K8" s="139"/>
    </row>
    <row r="9" spans="1:11" ht="55.5" customHeight="1">
      <c r="A9" s="140" t="s">
        <v>222</v>
      </c>
      <c r="B9" s="140"/>
      <c r="C9" s="140"/>
      <c r="D9" s="140"/>
      <c r="E9" s="140"/>
      <c r="F9" s="140"/>
      <c r="G9" s="140"/>
      <c r="H9" s="140"/>
      <c r="I9" s="140"/>
      <c r="J9" s="140"/>
      <c r="K9" s="140"/>
    </row>
    <row r="10" spans="1:11">
      <c r="A10" s="81" t="s">
        <v>223</v>
      </c>
      <c r="B10" s="81" t="s">
        <v>224</v>
      </c>
      <c r="C10" s="139" t="s">
        <v>225</v>
      </c>
      <c r="D10" s="139"/>
      <c r="E10" s="139"/>
      <c r="F10" s="139"/>
      <c r="G10" s="139"/>
      <c r="H10" s="139"/>
      <c r="I10" s="139"/>
      <c r="J10" s="139"/>
      <c r="K10" s="81" t="s">
        <v>226</v>
      </c>
    </row>
    <row r="11" spans="1:11" ht="214.9" customHeight="1">
      <c r="A11" s="81" t="s">
        <v>227</v>
      </c>
      <c r="B11" s="82" t="s">
        <v>228</v>
      </c>
      <c r="C11" s="137" t="s">
        <v>229</v>
      </c>
      <c r="D11" s="141"/>
      <c r="E11" s="141"/>
      <c r="F11" s="141"/>
      <c r="G11" s="141"/>
      <c r="H11" s="141"/>
      <c r="I11" s="141"/>
      <c r="J11" s="141"/>
      <c r="K11" s="83" t="s">
        <v>230</v>
      </c>
    </row>
    <row r="12" spans="1:11" ht="156" customHeight="1">
      <c r="A12" s="81" t="s">
        <v>231</v>
      </c>
      <c r="B12" s="82" t="s">
        <v>232</v>
      </c>
      <c r="C12" s="137" t="s">
        <v>233</v>
      </c>
      <c r="D12" s="141"/>
      <c r="E12" s="141"/>
      <c r="F12" s="141"/>
      <c r="G12" s="141"/>
      <c r="H12" s="141"/>
      <c r="I12" s="141"/>
      <c r="J12" s="141"/>
      <c r="K12" s="83" t="s">
        <v>234</v>
      </c>
    </row>
    <row r="13" spans="1:11" ht="154.15" customHeight="1">
      <c r="A13" s="81" t="s">
        <v>235</v>
      </c>
      <c r="B13" s="82" t="s">
        <v>236</v>
      </c>
      <c r="C13" s="137" t="s">
        <v>237</v>
      </c>
      <c r="D13" s="137"/>
      <c r="E13" s="137"/>
      <c r="F13" s="137"/>
      <c r="G13" s="137"/>
      <c r="H13" s="137"/>
      <c r="I13" s="137"/>
      <c r="J13" s="137"/>
      <c r="K13" s="83" t="s">
        <v>238</v>
      </c>
    </row>
  </sheetData>
  <mergeCells count="13">
    <mergeCell ref="A6:K6"/>
    <mergeCell ref="A1:K1"/>
    <mergeCell ref="A2:K2"/>
    <mergeCell ref="A3:K3"/>
    <mergeCell ref="A4:K4"/>
    <mergeCell ref="A5:K5"/>
    <mergeCell ref="C13:J13"/>
    <mergeCell ref="A7:K7"/>
    <mergeCell ref="A8:K8"/>
    <mergeCell ref="A9:K9"/>
    <mergeCell ref="C10:J10"/>
    <mergeCell ref="C11:J11"/>
    <mergeCell ref="C12:J12"/>
  </mergeCells>
  <pageMargins left="0.7" right="0.7" top="0.75" bottom="0.75" header="0.3" footer="0.3"/>
  <drawing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23D75EA-9231-4982-9D48-7B12DA83394B}">
  <dimension ref="A1:C4"/>
  <sheetViews>
    <sheetView workbookViewId="0">
      <selection activeCell="C1" sqref="C1:C2"/>
    </sheetView>
  </sheetViews>
  <sheetFormatPr defaultColWidth="11.42578125" defaultRowHeight="14.45"/>
  <cols>
    <col min="1" max="1" width="17.5703125" bestFit="1" customWidth="1"/>
  </cols>
  <sheetData>
    <row r="1" spans="1:3" ht="15.6">
      <c r="A1" s="4" t="s">
        <v>239</v>
      </c>
      <c r="C1" t="s">
        <v>240</v>
      </c>
    </row>
    <row r="2" spans="1:3" ht="15.6">
      <c r="A2" s="4" t="s">
        <v>241</v>
      </c>
      <c r="C2" t="s">
        <v>242</v>
      </c>
    </row>
    <row r="3" spans="1:3" ht="15.6">
      <c r="A3" s="4" t="s">
        <v>243</v>
      </c>
    </row>
    <row r="4" spans="1:3" ht="15.6">
      <c r="A4" s="4" t="s">
        <v>244</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CEFAU</dc:creator>
  <cp:keywords/>
  <dc:description/>
  <cp:lastModifiedBy/>
  <cp:revision/>
  <dcterms:created xsi:type="dcterms:W3CDTF">2024-06-12T20:22:02Z</dcterms:created>
  <dcterms:modified xsi:type="dcterms:W3CDTF">2025-11-11T20:41:20Z</dcterms:modified>
  <cp:category/>
  <cp:contentStatus/>
</cp:coreProperties>
</file>