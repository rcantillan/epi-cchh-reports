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mc:AlternateContent xmlns:mc="http://schemas.openxmlformats.org/markup-compatibility/2006">
    <mc:Choice Requires="x15">
      <x15ac:absPath xmlns:x15ac="http://schemas.microsoft.com/office/spreadsheetml/2010/11/ac" url="C:\Users\valen\Dropbox\UAH 2025\EPI 2025\Formatos excel result por carrera\FILHUM\"/>
    </mc:Choice>
  </mc:AlternateContent>
  <xr:revisionPtr revIDLastSave="0" documentId="8_{DB06E4C8-F3D7-4285-9B8F-E38FBA12D9A0}" xr6:coauthVersionLast="47" xr6:coauthVersionMax="47" xr10:uidLastSave="{00000000-0000-0000-0000-000000000000}"/>
  <bookViews>
    <workbookView xWindow="28680" yWindow="-120" windowWidth="29040" windowHeight="15720" firstSheet="5"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Individuales'!$A$3:$Z$3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X58" i="2"/>
  <c r="Y58" i="2" s="1"/>
  <c r="X57" i="2"/>
  <c r="Y57" i="2" s="1"/>
  <c r="X59" i="2"/>
  <c r="Y59" i="2" s="1"/>
  <c r="X46" i="2"/>
  <c r="Y46" i="2" s="1"/>
  <c r="X7" i="2"/>
  <c r="Y7" i="2" s="1"/>
  <c r="X9" i="2"/>
  <c r="Y9" i="2" s="1"/>
  <c r="X12" i="2"/>
  <c r="Y12" i="2" s="1"/>
  <c r="X13" i="2"/>
  <c r="Y13" i="2" s="1"/>
  <c r="X15" i="2"/>
  <c r="Y15" i="2" s="1"/>
  <c r="X16" i="2"/>
  <c r="Y16" i="2" s="1"/>
  <c r="X17" i="2"/>
  <c r="Y17" i="2" s="1"/>
  <c r="X19" i="2"/>
  <c r="Y19" i="2" s="1"/>
  <c r="X20" i="2"/>
  <c r="Y20" i="2" s="1"/>
  <c r="X23" i="2"/>
  <c r="Y23" i="2" s="1"/>
  <c r="X24" i="2"/>
  <c r="Y24" i="2" s="1"/>
  <c r="X26" i="2"/>
  <c r="Y26" i="2" s="1"/>
  <c r="X27" i="2"/>
  <c r="Y27" i="2" s="1"/>
  <c r="X28" i="2"/>
  <c r="Y28" i="2" s="1"/>
  <c r="X29" i="2"/>
  <c r="Y29" i="2" s="1"/>
  <c r="X30" i="2"/>
  <c r="Y30" i="2" s="1"/>
  <c r="X31" i="2"/>
  <c r="Y31" i="2" s="1"/>
  <c r="X32" i="2"/>
  <c r="Y32" i="2" s="1"/>
  <c r="X37" i="2"/>
  <c r="Y37" i="2" s="1"/>
  <c r="X39" i="2"/>
  <c r="Y39" i="2" s="1"/>
  <c r="X41" i="2"/>
  <c r="Y41" i="2" s="1"/>
  <c r="X42" i="2"/>
  <c r="Y42" i="2" s="1"/>
  <c r="X45" i="2"/>
  <c r="Y45" i="2" s="1"/>
  <c r="X49" i="2"/>
  <c r="Y49" i="2" s="1"/>
  <c r="X50" i="2"/>
  <c r="Y50" i="2" s="1"/>
  <c r="X51" i="2"/>
  <c r="Y51" i="2" s="1"/>
  <c r="X53" i="2"/>
  <c r="Y53" i="2" s="1"/>
  <c r="X55" i="2"/>
  <c r="Y55" i="2" s="1"/>
  <c r="X56" i="2"/>
  <c r="Y56" i="2" s="1"/>
  <c r="X60" i="2"/>
  <c r="Y60" i="2" s="1"/>
  <c r="X61" i="2"/>
  <c r="Y61" i="2" s="1"/>
  <c r="X64" i="2"/>
  <c r="Y64" i="2" s="1"/>
  <c r="X65" i="2"/>
  <c r="Y65" i="2" s="1"/>
  <c r="X66" i="2"/>
  <c r="Y66" i="2" s="1"/>
  <c r="X67" i="2"/>
  <c r="Y67" i="2" s="1"/>
  <c r="X68" i="2"/>
  <c r="Y68" i="2" s="1"/>
  <c r="X71" i="2"/>
  <c r="Y71" i="2" s="1"/>
  <c r="X72" i="2"/>
  <c r="Y72" i="2" s="1"/>
  <c r="X73" i="2"/>
  <c r="Y73" i="2" s="1"/>
  <c r="X74" i="2"/>
  <c r="Y74" i="2" s="1"/>
  <c r="X75" i="2"/>
  <c r="Y75" i="2" s="1"/>
  <c r="X76" i="2"/>
  <c r="Y76" i="2" s="1"/>
  <c r="X77" i="2"/>
  <c r="Y77" i="2" s="1"/>
  <c r="X78" i="2"/>
  <c r="Y78" i="2" s="1"/>
  <c r="X80" i="2"/>
  <c r="Y80" i="2" s="1"/>
  <c r="X81" i="2"/>
  <c r="Y81" i="2" s="1"/>
  <c r="X82" i="2"/>
  <c r="Y82" i="2" s="1"/>
  <c r="X83" i="2"/>
  <c r="Y83" i="2" s="1"/>
  <c r="X85" i="2"/>
  <c r="Y85" i="2" s="1"/>
  <c r="X86" i="2"/>
  <c r="Y86" i="2" s="1"/>
  <c r="Q4" i="4"/>
</calcChain>
</file>

<file path=xl/sharedStrings.xml><?xml version="1.0" encoding="utf-8"?>
<sst xmlns="http://schemas.openxmlformats.org/spreadsheetml/2006/main" count="724" uniqueCount="496">
  <si>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</si>
  <si>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</si>
  <si>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</si>
  <si>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</si>
  <si>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</si>
  <si>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</si>
  <si>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</si>
  <si>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</si>
  <si>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</si>
  <si>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</si>
  <si>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</si>
  <si>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</si>
  <si>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</si>
  <si>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</si>
  <si>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</si>
  <si>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</si>
  <si>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</si>
  <si>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</si>
  <si>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</si>
  <si>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</si>
  <si>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</si>
  <si>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</si>
  <si>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</si>
  <si>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</si>
  <si>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</si>
  <si>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</si>
  <si>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</si>
  <si>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</si>
  <si>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</si>
  <si>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</si>
  <si>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</si>
  <si>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</si>
  <si>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</si>
  <si>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</si>
  <si>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</si>
  <si>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</si>
  <si>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</si>
  <si>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</si>
  <si>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</si>
  <si>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</si>
  <si>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</si>
  <si>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</si>
  <si>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DIMENSIÓN</t>
  </si>
  <si>
    <t>PONDERACIÓN</t>
  </si>
  <si>
    <t>CRITERIOS</t>
  </si>
  <si>
    <t>NIVEL DE LOGRO</t>
  </si>
  <si>
    <t>Subdimensión o criterio (si aplica)</t>
  </si>
  <si>
    <t>Óptimo (4 puntos)</t>
  </si>
  <si>
    <t>Satisfactorio 
(3 puntos)</t>
  </si>
  <si>
    <t>Base 
(2 puntos)</t>
  </si>
  <si>
    <t>Por mejorar
(1 punto)</t>
  </si>
  <si>
    <t>No observado
(0 punto)</t>
  </si>
  <si>
    <t>Foco evaluativo de los criterios</t>
  </si>
  <si>
    <t>Porcentaje asociado a la dimensión dentro del total de la evaluación</t>
  </si>
  <si>
    <t>Porcentaje asociado a la 
subdimensión y/o criterio 
dentro del total de la 
evaluación (si aplica)</t>
  </si>
  <si>
    <t xml:space="preserve">Acciones y/o productos específicos a constatar en la situación de evaluación  </t>
  </si>
  <si>
    <t>El desempeño descrito se logra completamente</t>
  </si>
  <si>
    <t xml:space="preserve"> El desempeño descrito se logra, sin embargo, presenta algunas imprecisiones</t>
  </si>
  <si>
    <t xml:space="preserve">  El desempeño descrito se logra de forma mínima</t>
  </si>
  <si>
    <t>Ausencia de acciones o productos</t>
  </si>
  <si>
    <t>1. Diagnóstico de oportunidades y obstáculos para el aprendizaje disciplinar</t>
  </si>
  <si>
    <t>Distingue características, principios, normativas centrales y enfoques teóricos de la educación que se expresan y están a la base del sistema educativo chileno</t>
  </si>
  <si>
    <t>Desarrolla un diagnóstico de oportunidades y obstáculos para el aprendizaje que aplica correctamente las perspectivas:
1) del aprendizaje y el curriculum
2) didáctico- disciplinar sobre ciudadanía
3) del sistema educativo nacional</t>
  </si>
  <si>
    <t>Desarrolla un diagnóstico de oportunidades y obstáculos para el aprendizaje, que aplica correctamente la perspectiva:
1) del aprendizaje y el curriculum
y al menos una entre:
2) didáctico- disciplinar sobre ciudadanía
3) del sistema educativo nacional</t>
  </si>
  <si>
    <t>Desarrolla un diagnóstico de oportunidades y obstáculos para el 
aprendizaje, que aplica con imprecisiones la perspectiva:
1) del aprendizaje y el curriculum
y al menos una entre:
2) didáctico- disciplinar sobre ciudadanía
3) del sistema educativo nacional</t>
  </si>
  <si>
    <t>Indica oportunidades u obstáculos para el aprendizaje, sin identificar la 
perspectiva:
1) del aprendizaje y el curriculum</t>
  </si>
  <si>
    <t>Ausencia de acciones o 
productos</t>
  </si>
  <si>
    <t>Analiza procesos educativos desde la perspectiva del aprendizaje y el curriculum vigente de Historia, Geografía y Ciencias Sociales, considerando diferentes corrientes explicativas.</t>
  </si>
  <si>
    <t>2. Diseño de propuesta de enseñanza aprendizaje con foco ciudadano</t>
  </si>
  <si>
    <t>Elabora diseño didáctico que integra aspectos del contexto escolar desde una 
perspectiva ciudadana</t>
  </si>
  <si>
    <t>Construye una problematización y red de contenidos con foco ciudadano que se ajusta al contexto escolar, estableciendo un vínculo coherente con las disciplinas de Historia, Geografía y CienciasSociales, según corresponda.</t>
  </si>
  <si>
    <t>Construye una problematización y red de contenidos con foco ciudadano que incorpora elementos del contexto escolar, estableciendo, con algunas imprecisiones, un vínculo con las disciplinas de Historia, Geografía y Ciencias Sociales, según corresponda.</t>
  </si>
  <si>
    <t>Construye una problematización y red de contenidos con foco ciudadano que señala elementos del contexto, estableciendo de forma inadecuada o sin establecer vínculos claros con las disciplinas de Historia, Geografía y Ciencias Sociales, según corresponda.</t>
  </si>
  <si>
    <t>Construye una problematización y red de contenidos con foco ciudadano 
que no menciona elementos del contexto escolar</t>
  </si>
  <si>
    <t>Selecciona con pertinencia elementos del contexto a diversas escalas que 
establecen vínculos significativos con las disciplinas asociadas</t>
  </si>
  <si>
    <t>Aplica los diferentes componentes de curriculum nacional vigente de las disciplinas de Historia, Geografía y Ciencias Sociales en la selección de contenidos para el diseño de una propuesta didáctica</t>
  </si>
  <si>
    <t>Construye una problematización y red de contenidos con foco ciudadano 
que señala elementos del contexto, estableciendo de forma 
inadecuada o sin establecer vínculos claros con las disciplinas de 
Historia, Geografía y Ciencias Sociales, según corresponda.</t>
  </si>
  <si>
    <t>Construye una problematización y red de contenidos con foco ciudadano 
que incorpora elementos de la disciplina que son pertinentes desde una 
perspectiva curricular y didáctico disciplinar, pero con algunas 
imprecisiones en una o ambas</t>
  </si>
  <si>
    <t>Construye una problematización y red de contenidos con foco ciudadano que incorpora elementos de la disciplina que son pertinentes desde una 
perspectiva curricular, pero con errores en su propuesta problematizadora desde lo didáctico disciplinar.</t>
  </si>
  <si>
    <t>Construye una problematización y red de contenidos con foco ciudadando 
que incorpora elementos de la disciplina con errores en su propuesta 
problematizadora desde lo curricular y/o didáctico disciplinar.
o
Se presenta un listado o conjunto de contenidos que no problematiza con 
pertinencia curricular y disciplinar.</t>
  </si>
  <si>
    <t>Aplica un enfoque didáctico disciplinar al diseño de enseñanza aprendizaje, enfatizando una perspectiva ciudadana.</t>
  </si>
  <si>
    <t>Distingue diferentes debates, enfoques, perspectivas y lógicas de producción del conocimiento de las disicplinas de Historia, Geografía y Ciencias Sociales para el análisis de fenómenos del pasado y del presente, con énfasis en lo político, lo económico y la justicia social.</t>
  </si>
  <si>
    <t>Construye una problematización y red de contenidos con foco ciudadano que incorpora elementos que son pertinentes desde una perspectiva disciplinar</t>
  </si>
  <si>
    <t>Construye una problematización y red de contenidos con foco ciudadano 
con algunas impresiones en aspectos disciplinares</t>
  </si>
  <si>
    <t>Construye una problematización y red de contenidos con foco ciudadano, que contiene errores en aspectos disciplinares que afectan la pertinencia de lo propuesto.</t>
  </si>
  <si>
    <t>Se presenta un listado o conjunto de contenidos que no problematiza con pertinencia disciplinar</t>
  </si>
  <si>
    <t>Articula contenidos disciplinares y problemáticas propias de las disciplinas de Historia, Geografía y Ciencias Sociales para promover la interpretación de fenómenos sociales en contextos de enseñanza y aprendizaje 10 A</t>
  </si>
  <si>
    <t>3. Argumentación de 
decisiones didácticas</t>
  </si>
  <si>
    <t>Integra los criterios de las dimensiones 1 y 2</t>
  </si>
  <si>
    <t>Argumenta desde el ámbito didáctico disciplinar cómo la propuesta 
diseñada incorpora con pertinencia el foco ciudadano para la justicia social en su diseño, presentando una idea clave que se fundamenta 
teóricamente y que es respaldada por una evidencia extraída del propio diseño propuesto.</t>
  </si>
  <si>
    <r>
      <t xml:space="preserve">Argumenta desde el ámbito didáctico disciplinar cómo la propuesta diseñada incorpora con pertinencia el foco ciudadano para la justicia social en su diseño, presentando una idea clave que se fundamenta teóricamente, </t>
    </r>
    <r>
      <rPr>
        <b/>
        <sz val="11"/>
        <color theme="1"/>
        <rFont val="Aptos Narrow"/>
        <family val="2"/>
        <scheme val="minor"/>
      </rPr>
      <t>sin respaldar con una evidencia extraída del propio diseño propuesto.</t>
    </r>
  </si>
  <si>
    <t>Presenta una idea vinculada al ámbito didáctico disciplinar sobre cómo la 
propuesta diseñada incorpora con pertinencia el foco ciudadano para la 
justicia social en su diseño, sin fundamentar teóricamente, respaldando 
o no con una evidencia extraída del propio diseño propuesto</t>
  </si>
  <si>
    <t>No se identifica elementos del diseño desde el ámbito didáctico 
disciplinar que se refieran al foco ciudadano para la justicia social.</t>
  </si>
  <si>
    <t>Argumenta desde el ámbito curricular cómo la propuesta diseñada incorpora con pertinencia el foco ciudadano para la justicia social en su diseño, presentando una idea clave que se fundamenta teóricamente y que es respaldada por una evidencia extraída del propio diseño propuesto</t>
  </si>
  <si>
    <r>
      <t xml:space="preserve">Argumenta desde el ámbito curricular cómo la propuesta diseñada incorpora con pertinencia el foco ciudadano para la justicia social en su diseño, presentando una idea clave que se fundamenta teóricamente, </t>
    </r>
    <r>
      <rPr>
        <b/>
        <sz val="11"/>
        <color theme="1"/>
        <rFont val="Aptos Narrow"/>
        <family val="2"/>
        <scheme val="minor"/>
      </rPr>
      <t>sin respaldar con una evidencia extraída del propio diseño propuesto.</t>
    </r>
  </si>
  <si>
    <t>Presenta una idea vinculada al ámbito curricular sobre cómo la propuesta diseñada incorpora con pertinencia el foco ciudadano para la justicia social en su diseño, sin fundamentar teóricamente, respaldando o no con una evidencia extraída del propio diseño propuesto.</t>
  </si>
  <si>
    <t>No se identifica elementos del diseño desde el ámbito pedagógico que se 
refieran al foco ciudadano para la justicia social.</t>
  </si>
  <si>
    <t>Argumenta desde el ámbito pedagógico cómo la propuesta diseñada incorpora con pertinencia el foco ciudadano para la justicia social en su diseño, presentando una idea clave que se fundamenta teóricamente y que es respaldada por una evidencia extraída del propio diseño propuesto</t>
  </si>
  <si>
    <t>Argumenta desde el ámbito curricular cómo la propuesta diseñada incorpora con pertinencia el foco ciudadano para la justicia social en su diseño, presentando una idea clave que se fundamenta teóricamente, sin respaldar con una evidencia extraída del propio diseño propuesto.</t>
  </si>
  <si>
    <t>Presenta una idea vinculada al ámbito pedagógico sobre cómo la propuesta diseñada incorpora con pertinencia el foco ciudadano para la justicia social en su diseño, sin fundamentar teóricamente, respaldando o no con una evidencia extraída del propio diseño propuesto</t>
  </si>
  <si>
    <t>No se identifica elementos del diseño desde el ámbito pedagógico que se refieran al foco ciudadano para la justicia social.</t>
  </si>
  <si>
    <t>4. Lectura y escritura 
en contextos 
académicos</t>
  </si>
  <si>
    <t>Produce textos básicos que aplican lenguajes y problemáticas propias de las disciplinas de la historia, geografía y ciencias sociales.</t>
  </si>
  <si>
    <t>Redacta en forma clara, coherente y siguiendo un hilo conductor, 
utilizando los lenguajes disciplinares a través de sus categorías propias.</t>
  </si>
  <si>
    <t>Redacta en forma clara, coherente y siguiendo un hilo conductor, 
utilizando los lenguajes disciplinares a través de sus categorías propias, 
con impresiones en la escritura.</t>
  </si>
  <si>
    <t>Redacta en forma clara, coherente y siguiendo un hilo conductor, 
utilizando los lenguajes disciplinares a través de sus categorías propias, 
con impresiones en la escritura y aspectos disciplinares.</t>
  </si>
  <si>
    <t>Redacta con errores en la aplicación de lenguajes, problemáticas y 
categorías propias disciplinares, presentando o no errores en la escritura</t>
  </si>
  <si>
    <t>Identifica en textos de las disciplinas de historia, geografía y ciencias sociales sus categorías propias, formulando preguntas e inferencias a partir de estos.</t>
  </si>
  <si>
    <t>DATOS DE ESTUDIANTES DE LA COHORTE</t>
  </si>
  <si>
    <r>
      <rPr>
        <b/>
        <u/>
        <sz val="11"/>
        <color rgb="FF000000"/>
        <rFont val="Aptos Narrow"/>
        <scheme val="minor"/>
      </rPr>
      <t xml:space="preserve">
</t>
    </r>
    <r>
      <rPr>
        <b/>
        <u/>
        <sz val="12"/>
        <color rgb="FF000000"/>
        <rFont val="Aptos Narrow"/>
        <scheme val="minor"/>
      </rPr>
      <t xml:space="preserve">Actividad problema  Dimensión 1
</t>
    </r>
    <r>
      <rPr>
        <sz val="12"/>
        <color rgb="FF000000"/>
        <rFont val="Aptos Narrow"/>
        <scheme val="minor"/>
      </rPr>
      <t xml:space="preserve">Diagnóstico de oportunidades y obstáculos para el aprendizaje disciplinar
</t>
    </r>
    <r>
      <rPr>
        <i/>
        <sz val="11"/>
        <color rgb="FF000000"/>
        <rFont val="Aptos Narrow"/>
        <scheme val="minor"/>
      </rPr>
      <t xml:space="preserve">
No observado: 0 puntos
Por mejorar: 1 puntos
Base: 2 puntos
Satisfactorio: 3 puntos
Óptimo:4 puntos
</t>
    </r>
  </si>
  <si>
    <r>
      <rPr>
        <b/>
        <u/>
        <sz val="11"/>
        <color theme="1"/>
        <rFont val="Aptos Narrow"/>
        <family val="2"/>
        <scheme val="minor"/>
      </rPr>
      <t xml:space="preserve">
</t>
    </r>
    <r>
      <rPr>
        <b/>
        <u/>
        <sz val="12"/>
        <color theme="1"/>
        <rFont val="Aptos Narrow"/>
        <family val="2"/>
        <scheme val="minor"/>
      </rPr>
      <t>Actividad Problema Dimensión  2</t>
    </r>
    <r>
      <rPr>
        <b/>
        <sz val="11"/>
        <color theme="1"/>
        <rFont val="Aptos Narrow"/>
        <family val="2"/>
        <scheme val="minor"/>
      </rPr>
      <t xml:space="preserve">
</t>
    </r>
    <r>
      <rPr>
        <sz val="11"/>
        <color theme="1"/>
        <rFont val="Aptos Narrow"/>
        <family val="2"/>
        <scheme val="minor"/>
      </rPr>
      <t xml:space="preserve">Diseño de propuesta de enseñanza aprendizaje con foco ciudadano.
 </t>
    </r>
    <r>
      <rPr>
        <sz val="12"/>
        <color theme="1"/>
        <rFont val="Aptos Narrow"/>
        <family val="2"/>
        <scheme val="minor"/>
      </rPr>
      <t xml:space="preserve">
</t>
    </r>
    <r>
      <rPr>
        <sz val="11"/>
        <color theme="1"/>
        <rFont val="Aptos Narrow"/>
        <family val="2"/>
        <scheme val="minor"/>
      </rPr>
      <t xml:space="preserve">No observado: 0 puntos
Por mejorar: 1 puntos
Base: 2 puntos
Satisfactorio: 3 puntos
Óptimo:4 puntos
</t>
    </r>
    <r>
      <rPr>
        <i/>
        <sz val="11"/>
        <color theme="1"/>
        <rFont val="Aptos Narrow"/>
        <family val="2"/>
        <scheme val="minor"/>
      </rPr>
      <t xml:space="preserve">
</t>
    </r>
  </si>
  <si>
    <r>
      <rPr>
        <b/>
        <u/>
        <sz val="11"/>
        <color theme="1"/>
        <rFont val="Aptos Narrow"/>
        <family val="2"/>
        <scheme val="minor"/>
      </rPr>
      <t xml:space="preserve">
</t>
    </r>
    <r>
      <rPr>
        <b/>
        <u/>
        <sz val="12"/>
        <color theme="1"/>
        <rFont val="Aptos Narrow"/>
        <family val="2"/>
        <scheme val="minor"/>
      </rPr>
      <t xml:space="preserve">Actividad Problema  Dimensión 3
</t>
    </r>
    <r>
      <rPr>
        <sz val="12"/>
        <color theme="1"/>
        <rFont val="Aptos Narrow"/>
        <family val="2"/>
        <scheme val="minor"/>
      </rPr>
      <t>Argumentación de decisiones didácticas (Integra los criterios de las dimensiones 1 y 2)</t>
    </r>
    <r>
      <rPr>
        <sz val="11"/>
        <color theme="1"/>
        <rFont val="Aptos Narrow"/>
        <family val="2"/>
        <scheme val="minor"/>
      </rPr>
      <t xml:space="preserve">
</t>
    </r>
    <r>
      <rPr>
        <u/>
        <sz val="11"/>
        <color theme="1"/>
        <rFont val="Aptos Narrow"/>
        <family val="2"/>
        <scheme val="minor"/>
      </rPr>
      <t xml:space="preserve"> 
</t>
    </r>
    <r>
      <rPr>
        <sz val="11"/>
        <color theme="1"/>
        <rFont val="Aptos Narrow"/>
        <family val="2"/>
        <scheme val="minor"/>
      </rPr>
      <t>No observado: 0 puntos
Por mejorar: 1 puntos
Base: 2 puntos
Satisfactorio: 3 puntos
Óptimo:4 puntos</t>
    </r>
  </si>
  <si>
    <r>
      <t xml:space="preserve">
Actividad Problema Dimensión 4
</t>
    </r>
    <r>
      <rPr>
        <u/>
        <sz val="11"/>
        <color theme="1"/>
        <rFont val="Aptos Narrow"/>
        <family val="2"/>
        <scheme val="minor"/>
      </rPr>
      <t>Lectura y escritura en contextos académicos</t>
    </r>
    <r>
      <rPr>
        <b/>
        <u/>
        <sz val="11"/>
        <color theme="1"/>
        <rFont val="Aptos Narrow"/>
        <family val="2"/>
        <scheme val="minor"/>
      </rPr>
      <t xml:space="preserve">
</t>
    </r>
    <r>
      <rPr>
        <sz val="11"/>
        <color theme="1"/>
        <rFont val="Aptos Narrow"/>
        <family val="2"/>
        <scheme val="minor"/>
      </rPr>
      <t>No observado: 0 puntos
Por mejorar: 1 puntos
Base: 2 puntos
Satisfactorio: 3 puntos
Óptimo:4 puntos</t>
    </r>
  </si>
  <si>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</si>
  <si>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</si>
  <si>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</si>
  <si>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</si>
  <si>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</si>
  <si>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</si>
  <si>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</si>
  <si>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</si>
  <si>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</si>
  <si>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</si>
  <si>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Distingue características, principios, normativas centrales y enfoques teóricos 
de la educación que se expresan y están a la base del sistema educativo 
chileno.</t>
  </si>
  <si>
    <t>Analiza procesos educativos desde la perspectiva del aprendizaje y el 
curriculum vigente de Historia, Geografía y Ciencias Sociales, considerando 
diferentes corrientes explicativas.</t>
  </si>
  <si>
    <t>Elabora diseño didáctico que integra aspectos del contexto escolar desde una 
perspectiva ciudadana.</t>
  </si>
  <si>
    <t>Selecciona con pertinencia elementos del contexto a diversas escalas que 
establecen vínculos significativos con las disciplinas asociadas.</t>
  </si>
  <si>
    <t>Aplica los diferentes componentes de curriculum nacional vigente de las 
disciplinas de Historia, Geografía y Ciencias Sociales en la selección de 
contenidos para el diseño de una propuesta didáctica.</t>
  </si>
  <si>
    <t>Aplica un enfoque didáctico disciplinar al diseño de enseñanza aprendizaje, 
enfatizando una perspectiva ciudadana.</t>
  </si>
  <si>
    <t>Distingue diferentes debates, enfoques, perspectivas y lógicas de producción 
del conocimiento de las disicplinas de Historia, Geografía y Ciencias Sociales 
para el análisis de fenómenos del pasado y del presente, con énfasis en lo 
político, lo económico y la justicia social.</t>
  </si>
  <si>
    <t>Articula contenidos disciplinares y problemáticas propias de las disciplinas de 
Historia, Geografía y Ciencias Sociales para promover la interpretación de 
fenómenos sociales en contextos de enseñanza y aprendizaje</t>
  </si>
  <si>
    <t>Argumenta desde el ámbito didáctico disciplinar cómo la propuesta diseñada incorpora con pertinencia el foco ciudadano para la justicia social en su diseño,presentando una idea clave que se fundamenta 
teóricamente y que es respaldada por una evidencia extraída del propio diseño propuesto</t>
  </si>
  <si>
    <t>Argumenta desde el ámbito curricular cómo la propuesta diseñada incorpora con pertinencia el foco ciudadano para la justicia social en su diseño, presentando una idea clave que se fundamenta teóricamente y que es respaldada por una evidencia extraída del propio diseño propuesto.</t>
  </si>
  <si>
    <t>Argumenta desde el ámbito pedagógico cómo la propuesta diseñada incorpora con pertinencia el foco ciudadano para la justicia social en su diseño, presentando una idea clave que se fundamenta teóricamente y  que es respaldada por una evidencia extraída del propio diseño propuesto.</t>
  </si>
  <si>
    <t>Produce textos básicos que aplican lenguajes y problemáticas propias de las 
disciplinas de la historia, geografía y ciencias sociales</t>
  </si>
  <si>
    <t>Identifica en textos de las disciplinas de historia, geografía y ciencias sociales 
sus categorías propias, formulando preguntas e inferencias a partir de estos.</t>
  </si>
  <si>
    <t>PUNTAJE TOTAL ESTUDIANTE</t>
  </si>
  <si>
    <t>PORCENTAJE DE LOGRO</t>
  </si>
  <si>
    <t>CATEGORÍA RESULTADO GLOBAL ESTUDIANTE</t>
  </si>
  <si>
    <t>ALVARO HERNAN SAN MARTIN APABLAZA</t>
  </si>
  <si>
    <t>SAN MARTIN</t>
  </si>
  <si>
    <t>APABLAZA</t>
  </si>
  <si>
    <t>ALVARO HERNAN</t>
  </si>
  <si>
    <t>Interrupción voluntaria (no rinde EPI 2025)</t>
  </si>
  <si>
    <t>No aplica</t>
  </si>
  <si>
    <t>JORGE NICOLAS BARRIENTOS AROS</t>
  </si>
  <si>
    <t>BARRIENTOS</t>
  </si>
  <si>
    <t>AROS</t>
  </si>
  <si>
    <t>JORGE NICOLAS</t>
  </si>
  <si>
    <t>FRANCISCO DAVID GONZALEZ RAIMILLA</t>
  </si>
  <si>
    <t>GONZALEZ</t>
  </si>
  <si>
    <t>RAIMILLA</t>
  </si>
  <si>
    <t>FRANCISCO DAVID</t>
  </si>
  <si>
    <t>Avance curricular suficiente o adecuado para evaluar ciclo básico</t>
  </si>
  <si>
    <t>No rendida</t>
  </si>
  <si>
    <t>SEBASTHIAN LEANDRO TORO VARGAS</t>
  </si>
  <si>
    <t>TORO</t>
  </si>
  <si>
    <t>VARGAS</t>
  </si>
  <si>
    <t>SEBASTHIAN LEANDRO</t>
  </si>
  <si>
    <t xml:space="preserve">Rendida </t>
  </si>
  <si>
    <t>MATÍAS  GONZALO VELÁSQUEZ OLIVARES</t>
  </si>
  <si>
    <t>VELÁSQUEZ</t>
  </si>
  <si>
    <t>OLIVARES</t>
  </si>
  <si>
    <t>MATÍAS  GONZALO</t>
  </si>
  <si>
    <t>DAVID LUCIANO MARIANI SUAREZ</t>
  </si>
  <si>
    <t>MARIANI</t>
  </si>
  <si>
    <t>SUAREZ</t>
  </si>
  <si>
    <t>DAVID LUCIANO</t>
  </si>
  <si>
    <t>NOEMI BELEN GONZALEZ GUERRA</t>
  </si>
  <si>
    <t>GUERRA</t>
  </si>
  <si>
    <t>NOEMI BELEN</t>
  </si>
  <si>
    <t>VALENTINA PAZ ALVAREZ ALIAGA</t>
  </si>
  <si>
    <t>-Reforzar la importancia de la justificación a través de bibliografía pertinente al programa, integrando estas tareas en diversas instancias de  la asignatura 'Resultados Individuales'!I87:K91</t>
  </si>
  <si>
    <t>ALIAGA</t>
  </si>
  <si>
    <t>VALENTINA PAZ</t>
  </si>
  <si>
    <t>MACKARELLA IGNACIA VALDEBENITO DÍAZ</t>
  </si>
  <si>
    <t>VALDEBENITO</t>
  </si>
  <si>
    <t>DÍAZ</t>
  </si>
  <si>
    <t>MACKARELLA IGNACIA</t>
  </si>
  <si>
    <t>SERGIO JAVIER AGUILERA CONTRERAS</t>
  </si>
  <si>
    <t>AGUILERA</t>
  </si>
  <si>
    <t>CONTRERAS</t>
  </si>
  <si>
    <t>SERGIO JAVIER</t>
  </si>
  <si>
    <t>ELISA ISIS ALLENDES PAULSEN</t>
  </si>
  <si>
    <t>ALLENDES</t>
  </si>
  <si>
    <t>PAULSEN</t>
  </si>
  <si>
    <t>ELISA ISIS</t>
  </si>
  <si>
    <t>LYNNETTE LOURDES ENCINA VALDÉS</t>
  </si>
  <si>
    <t>ENCINA</t>
  </si>
  <si>
    <t>VALDÉS</t>
  </si>
  <si>
    <t>LYNNETTE LOURDES</t>
  </si>
  <si>
    <t>JAVIERA ALEJANDRA MORENO AYALA</t>
  </si>
  <si>
    <t>MORENO</t>
  </si>
  <si>
    <t>AYALA</t>
  </si>
  <si>
    <t>JAVIERA ALEJANDRA</t>
  </si>
  <si>
    <t>CRISTÓBAL ANDRÉS SALDÍAS KAUNE</t>
  </si>
  <si>
    <t>SALDÍAS</t>
  </si>
  <si>
    <t>KAUNE</t>
  </si>
  <si>
    <t>CRISTÓBAL ANDRÉS</t>
  </si>
  <si>
    <t>LUIS CARLOS ANDRÉS BUSTOS MARTÍNEZ</t>
  </si>
  <si>
    <t>BUSTOS</t>
  </si>
  <si>
    <t>MARTÍNEZ</t>
  </si>
  <si>
    <t>LUIS CARLOS ANDRÉS</t>
  </si>
  <si>
    <t>NINOSHKA ESTEFANÍA GAETE RIVAS</t>
  </si>
  <si>
    <t>GAETE</t>
  </si>
  <si>
    <t>RIVAS</t>
  </si>
  <si>
    <t>NINOSHKA ESTEFANÍA</t>
  </si>
  <si>
    <t>DANIELA CATALINA GALLARDO OVALLE</t>
  </si>
  <si>
    <t>GALLARDO</t>
  </si>
  <si>
    <t>OVALLE</t>
  </si>
  <si>
    <t>DANIELA CATALINA</t>
  </si>
  <si>
    <t>IGNACIO FRANCISCO MUÑOZ ANDRADE</t>
  </si>
  <si>
    <t>MUÑOZ</t>
  </si>
  <si>
    <t>ANDRADE</t>
  </si>
  <si>
    <t>IGNACIO FRANCISCO</t>
  </si>
  <si>
    <t>DIEGO IGNACIO SOLAR GUERRA</t>
  </si>
  <si>
    <t>SOLAR</t>
  </si>
  <si>
    <t>DIEGO IGNACIO</t>
  </si>
  <si>
    <t>NICOLAS ANDRES ROCCO ALDUNATE</t>
  </si>
  <si>
    <t>ROCCO</t>
  </si>
  <si>
    <t>ALDUNATE</t>
  </si>
  <si>
    <t>NICOLAS ANDRES</t>
  </si>
  <si>
    <t>MABEL CRISTINA AYALA CAROCA</t>
  </si>
  <si>
    <t>CAROCA</t>
  </si>
  <si>
    <t>MABEL CRISTINA</t>
  </si>
  <si>
    <t>IGNACIO ANDRÉS RIQUELME GONZÁLEZ</t>
  </si>
  <si>
    <t>RIQUELME</t>
  </si>
  <si>
    <t>GONZÁLEZ</t>
  </si>
  <si>
    <t>IGNACIO ANDRÉS</t>
  </si>
  <si>
    <t>KATHERINE ALEXANDRA GUERRA RODRÍGUEZ</t>
  </si>
  <si>
    <t>RODRÍGUEZ</t>
  </si>
  <si>
    <t>KATHERINE ALEXANDRA</t>
  </si>
  <si>
    <t>EDUARDO PATRICIO CARRASCO REYES</t>
  </si>
  <si>
    <t>CARRASCO</t>
  </si>
  <si>
    <t>REYES</t>
  </si>
  <si>
    <t>EDUARDO PATRICIO</t>
  </si>
  <si>
    <t>ALEJANDRO BASTIÁN JESÚS FONSECA CARMONA</t>
  </si>
  <si>
    <t>FONSECA</t>
  </si>
  <si>
    <t>CARMONA</t>
  </si>
  <si>
    <t>ALEJANDRO BASTIÁN JESÚS</t>
  </si>
  <si>
    <t>CRISTÓBAL ANDRÉS ZAPATA RIQUELME</t>
  </si>
  <si>
    <t>ZAPATA</t>
  </si>
  <si>
    <t>SIMÓN GABRIEL OLMEDO SOTO</t>
  </si>
  <si>
    <t>OLMEDO</t>
  </si>
  <si>
    <t>SOTO</t>
  </si>
  <si>
    <t>SIMÓN GABRIEL</t>
  </si>
  <si>
    <t>MAXIMILIANO ANDRÉS LIENQUEO CURAQUEO</t>
  </si>
  <si>
    <t>LIENQUEO</t>
  </si>
  <si>
    <t>CURAQUEO</t>
  </si>
  <si>
    <t>MAXIMILIANO ANDRÉS</t>
  </si>
  <si>
    <t>MATÍAS OCTAVIO HENRÍQUEZ OYARCE</t>
  </si>
  <si>
    <t>HENRÍQUEZ</t>
  </si>
  <si>
    <t>OYARCE</t>
  </si>
  <si>
    <t>MATÍAS OCTAVIO</t>
  </si>
  <si>
    <t>LUKAS RAFAEL GUZMÁN PRADENAS</t>
  </si>
  <si>
    <t>GUZMÁN</t>
  </si>
  <si>
    <t>PRADENAS</t>
  </si>
  <si>
    <t>LUKAS RAFAEL</t>
  </si>
  <si>
    <t>K</t>
  </si>
  <si>
    <t>DIEGO TOMÁS DÍAZ GONZÁLEZ</t>
  </si>
  <si>
    <t>DIEGO TOMÁS</t>
  </si>
  <si>
    <t>MARTÍN JEREMY GARCÍA CISTERNAS</t>
  </si>
  <si>
    <t>GARCÍA</t>
  </si>
  <si>
    <t>CISTERNAS</t>
  </si>
  <si>
    <t>MARTÍN JEREMY</t>
  </si>
  <si>
    <t>NOELIA ANDREA MUÑOZ ADASME</t>
  </si>
  <si>
    <t>ADASME</t>
  </si>
  <si>
    <t>NOELIA ANDREA</t>
  </si>
  <si>
    <t>BENJAMÍN ALEXANDER BADILLA MILLÁN</t>
  </si>
  <si>
    <t>BADILLA</t>
  </si>
  <si>
    <t>MILLÁN</t>
  </si>
  <si>
    <t>BENJAMÍN ALEXANDER</t>
  </si>
  <si>
    <t>PEDRO VICENTE MUNOZ CALDERON</t>
  </si>
  <si>
    <t>MUNOZ</t>
  </si>
  <si>
    <t>CALDERON</t>
  </si>
  <si>
    <t>PEDRO VICENTE</t>
  </si>
  <si>
    <t>FERNANDA BELÉN GONZÁLEZ SOLÍS</t>
  </si>
  <si>
    <t>SOLÍS</t>
  </si>
  <si>
    <t>FERNANDA BELÉN</t>
  </si>
  <si>
    <t>EMILIO ALBERTO ZÚÑIGA CÁDIZ</t>
  </si>
  <si>
    <t>ZÚÑIGA</t>
  </si>
  <si>
    <t>CÁDIZ</t>
  </si>
  <si>
    <t>EMILIO ALBERTO</t>
  </si>
  <si>
    <t>Expulsión</t>
  </si>
  <si>
    <t>DANIEL IGNACIO ORELLANA BUSTOS</t>
  </si>
  <si>
    <t>ORELLANA</t>
  </si>
  <si>
    <t>DANIEL IGNACIO</t>
  </si>
  <si>
    <t>CATALINA PALOMA MUÑOZ ÑANCUPIL</t>
  </si>
  <si>
    <t>ÑANCUPIL</t>
  </si>
  <si>
    <t>CATALINA PALOMA</t>
  </si>
  <si>
    <t>JOAQUIN ARON RODRÍGUEZ RIVEROS</t>
  </si>
  <si>
    <t>RIVEROS</t>
  </si>
  <si>
    <t>JOAQUIN ARON</t>
  </si>
  <si>
    <t>NICOLÁS GASTÓN LEIVA SOTOMAYOR</t>
  </si>
  <si>
    <t>LEIVA</t>
  </si>
  <si>
    <t>SOTOMAYOR</t>
  </si>
  <si>
    <t>NICOLÁS GASTÓN</t>
  </si>
  <si>
    <t>BASTIÁN ISAÍAS SAAVEDRA COLICHEO</t>
  </si>
  <si>
    <t>SAAVEDRA</t>
  </si>
  <si>
    <t>COLICHEO</t>
  </si>
  <si>
    <t>BASTIÁN ISAÍAS</t>
  </si>
  <si>
    <t>ISAMAR ANGÉLICA SUÁREZ MORENO</t>
  </si>
  <si>
    <t>SUÁREZ</t>
  </si>
  <si>
    <t>ISAMAR ANGÉLICA</t>
  </si>
  <si>
    <t>LEANDRO JAVIER ALBORNOZ DÍAZ</t>
  </si>
  <si>
    <t>ALBORNOZ</t>
  </si>
  <si>
    <t>LEANDRO JAVIER</t>
  </si>
  <si>
    <t>MATÍAS SEBASTIÁN OVALLE VARGAS</t>
  </si>
  <si>
    <t>MATÍAS SEBASTIÁN</t>
  </si>
  <si>
    <t>NICOLÁS BASTIÁN RAMÍREZ ZÚÑIGA</t>
  </si>
  <si>
    <t>RAMÍREZ</t>
  </si>
  <si>
    <t>NICOLÁS BASTIÁN</t>
  </si>
  <si>
    <t>ISIDORA FRANCISCA CONCHA ARANGUIZ</t>
  </si>
  <si>
    <t>CONCHA</t>
  </si>
  <si>
    <t>ARANGUIZ</t>
  </si>
  <si>
    <t>ISIDORA FRANCISCA</t>
  </si>
  <si>
    <t>CONSTANZA BELEN GONZÁLEZ VÁSQUEZ</t>
  </si>
  <si>
    <t>VÁSQUEZ</t>
  </si>
  <si>
    <t>CONSTANZA BELEN</t>
  </si>
  <si>
    <t>EDUARDO ANTONIO CACERES ACEVEDO</t>
  </si>
  <si>
    <t>CACERES</t>
  </si>
  <si>
    <t>ACEVEDO</t>
  </si>
  <si>
    <t>EDUARDO ANTONIO</t>
  </si>
  <si>
    <t>KATHERINE MICHELLE PARRAGUEZ LECLERC</t>
  </si>
  <si>
    <t>PARRAGUEZ</t>
  </si>
  <si>
    <t>LECLERC</t>
  </si>
  <si>
    <t>KATHERINE MICHELLE</t>
  </si>
  <si>
    <t>ANAÍS ANTONELLA VARAS JARA</t>
  </si>
  <si>
    <t>VARAS</t>
  </si>
  <si>
    <t>JARA</t>
  </si>
  <si>
    <t>ANAÍS ANTONELLA</t>
  </si>
  <si>
    <t>ÁNTU GASTON CHACANO QUILAPI</t>
  </si>
  <si>
    <t>CHACANO</t>
  </si>
  <si>
    <t>QUILAPI</t>
  </si>
  <si>
    <t>ÁNTU GASTON</t>
  </si>
  <si>
    <t>HERNÁN EMANUEL MIRANDA LAVADO</t>
  </si>
  <si>
    <t>MIRANDA</t>
  </si>
  <si>
    <t>LAVADO</t>
  </si>
  <si>
    <t>HERNÁN EMANUEL</t>
  </si>
  <si>
    <t>ANDREA DENISSE TORRES BRUNA</t>
  </si>
  <si>
    <t>TORRES</t>
  </si>
  <si>
    <t>BRUNA</t>
  </si>
  <si>
    <t>ANDREA DENISSE</t>
  </si>
  <si>
    <t>JOAQUÍN GONZALO RUBIO CARRASCO</t>
  </si>
  <si>
    <t>RUBIO</t>
  </si>
  <si>
    <t>JOAQUÍN GONZALO</t>
  </si>
  <si>
    <t>DIANA MAITE ZAPATA ÁLVAREZ</t>
  </si>
  <si>
    <t>ÁLVAREZ</t>
  </si>
  <si>
    <t>DIANA MAITE</t>
  </si>
  <si>
    <t>RAYEN MILLARAY SALGADO CONTRERAS</t>
  </si>
  <si>
    <t>SALGADO</t>
  </si>
  <si>
    <t>RAYEN MILLARAY</t>
  </si>
  <si>
    <t>ALMENDRA RENATTA BELÉN MORAGA CARREÑO</t>
  </si>
  <si>
    <t>MORAGA</t>
  </si>
  <si>
    <t>CARREÑO</t>
  </si>
  <si>
    <t>ALMENDRA RENATTA BELÉN</t>
  </si>
  <si>
    <t>PAULINA IVANNA ALEJANDRA SOTO RIVERA</t>
  </si>
  <si>
    <t>RIVERA</t>
  </si>
  <si>
    <t>PAULINA IVANNA ALEJANDRA</t>
  </si>
  <si>
    <t>ANA KATALINA ULLOA CUEVAS</t>
  </si>
  <si>
    <t>ULLOA</t>
  </si>
  <si>
    <t>CUEVAS</t>
  </si>
  <si>
    <t>ANA KATALINA</t>
  </si>
  <si>
    <t>SOFÍA CATALINA CABRERA HUERTA</t>
  </si>
  <si>
    <t>CABRERA</t>
  </si>
  <si>
    <t>HUERTA</t>
  </si>
  <si>
    <t>SOFÍA CATALINA</t>
  </si>
  <si>
    <t>MAXIMILIANO ANTONIO CHEUQUENAO ORTEGA</t>
  </si>
  <si>
    <t>CHEUQUENAO</t>
  </si>
  <si>
    <t>ORTEGA</t>
  </si>
  <si>
    <t>MAXIMILIANO ANTONIO</t>
  </si>
  <si>
    <t>ÁLVARO FABIÁN GAETE CATALDO</t>
  </si>
  <si>
    <t>CATALDO</t>
  </si>
  <si>
    <t>ÁLVARO FABIÁN</t>
  </si>
  <si>
    <t>FLORENCIA ALMENDRA BAEZA CUEVAS</t>
  </si>
  <si>
    <t>BAEZA</t>
  </si>
  <si>
    <t>FLORENCIA ALMENDRA</t>
  </si>
  <si>
    <t>CATALINA ANTONIA VALENZUELA ARAYA</t>
  </si>
  <si>
    <t>VALENZUELA</t>
  </si>
  <si>
    <t>ARAYA</t>
  </si>
  <si>
    <t>CATALINA ANTONIA</t>
  </si>
  <si>
    <t>CATARI ISABEL JOPIA SOTO</t>
  </si>
  <si>
    <t>JOPIA</t>
  </si>
  <si>
    <t>CATARI ISABEL</t>
  </si>
  <si>
    <t>TOMÁS IGNACIO LÓPEZ HEVIA</t>
  </si>
  <si>
    <t>LÓPEZ</t>
  </si>
  <si>
    <t>HEVIA</t>
  </si>
  <si>
    <t>TOMÁS IGNACIO</t>
  </si>
  <si>
    <t>MARTINA HELEN SILVA JACIMINO</t>
  </si>
  <si>
    <t>SILVA</t>
  </si>
  <si>
    <t>JACIMINO</t>
  </si>
  <si>
    <t>MARTINA HELEN</t>
  </si>
  <si>
    <t>OSCAR ANDRÉS NÚÑEZ ALTAMIRANO</t>
  </si>
  <si>
    <t>NÚÑEZ</t>
  </si>
  <si>
    <t>ALTAMIRANO</t>
  </si>
  <si>
    <t>OSCAR ANDRÉS</t>
  </si>
  <si>
    <t>VALENTINA ANDREA LAVÍN HERRERA</t>
  </si>
  <si>
    <t>LAVÍN</t>
  </si>
  <si>
    <t>HERRERA</t>
  </si>
  <si>
    <t>VALENTINA ANDREA</t>
  </si>
  <si>
    <t>ANTONIA ISABEL LAVADOS VERDEJO</t>
  </si>
  <si>
    <t>LAVADOS</t>
  </si>
  <si>
    <t>VERDEJO</t>
  </si>
  <si>
    <t>ANTONIA ISABEL</t>
  </si>
  <si>
    <t>SIRIA PAZ GUERRERO PAREDES</t>
  </si>
  <si>
    <t>GUERRERO</t>
  </si>
  <si>
    <t>PAREDES</t>
  </si>
  <si>
    <t>SIRIA PAZ</t>
  </si>
  <si>
    <t>JUAN AQUILE JIMÉNEZ ROJAS</t>
  </si>
  <si>
    <t>JIMÉNEZ</t>
  </si>
  <si>
    <t>ROJAS</t>
  </si>
  <si>
    <t>JUAN AQUILE</t>
  </si>
  <si>
    <t>VICENTE IGNACIO GUAJARDO BANDA</t>
  </si>
  <si>
    <t>GUAJARDO</t>
  </si>
  <si>
    <t>BANDA</t>
  </si>
  <si>
    <t>VICENTE IGNACIO</t>
  </si>
  <si>
    <t>ALONDRA CATALINA FUENZALIDA MONTANO</t>
  </si>
  <si>
    <t>FUENZALIDA</t>
  </si>
  <si>
    <t>MONTANO</t>
  </si>
  <si>
    <t>ALONDRA CATALINA</t>
  </si>
  <si>
    <t>BELÉN MILLARAY ORELLANA MADRID</t>
  </si>
  <si>
    <t>MADRID</t>
  </si>
  <si>
    <t>BELÉN MILLARAY</t>
  </si>
  <si>
    <t>VICENTE NAHUEL O'KINGHTTONS GUTIÉRREZ</t>
  </si>
  <si>
    <t>O'KINGHTTONS</t>
  </si>
  <si>
    <t>GUTIÉRREZ</t>
  </si>
  <si>
    <t>VICENTE NAHUEL</t>
  </si>
  <si>
    <t>JAVIERA ALEXIA SOMORROSTRO VARGAS</t>
  </si>
  <si>
    <t>SOMORROSTRO</t>
  </si>
  <si>
    <t>JAVIERA ALEXIA</t>
  </si>
  <si>
    <t>CAMILA BELÉN RODRÍGUEZ MALDONADO</t>
  </si>
  <si>
    <t>MALDONADO</t>
  </si>
  <si>
    <t>CAMILA BELÉN</t>
  </si>
  <si>
    <t>PALOMA ANDREA ALVARADO CUEVAS</t>
  </si>
  <si>
    <t>ALVARADO</t>
  </si>
  <si>
    <t>PALOMA ANDREA</t>
  </si>
  <si>
    <t>SOFÍA CATALINA DEL ROSARIO ARENAS PARRA</t>
  </si>
  <si>
    <t>ARENAS</t>
  </si>
  <si>
    <t>PARRA</t>
  </si>
  <si>
    <t>SOFÍA CATALINA DEL ROSARIO</t>
  </si>
  <si>
    <t>RENATA HERNÁNDEZ QUIÑONES</t>
  </si>
  <si>
    <t>HERNÁNDEZ</t>
  </si>
  <si>
    <t>QUIÑONES</t>
  </si>
  <si>
    <t>RENATA</t>
  </si>
  <si>
    <t>BENJAMÍN ANTONIO PEZOA ROJAS</t>
  </si>
  <si>
    <t>PEZOA</t>
  </si>
  <si>
    <t>BENJAMÍN ANTONIO</t>
  </si>
  <si>
    <r>
      <rPr>
        <b/>
        <u/>
        <sz val="11"/>
        <color theme="1"/>
        <rFont val="Aptos Narrow"/>
        <family val="2"/>
        <scheme val="minor"/>
      </rPr>
      <t xml:space="preserve">
</t>
    </r>
    <r>
      <rPr>
        <b/>
        <u/>
        <sz val="12"/>
        <color theme="1"/>
        <rFont val="Aptos Narrow"/>
        <family val="2"/>
        <scheme val="minor"/>
      </rPr>
      <t>Actividad problema  Dimensión 1</t>
    </r>
    <r>
      <rPr>
        <sz val="11"/>
        <color theme="1"/>
        <rFont val="Aptos Narrow"/>
        <family val="2"/>
        <scheme val="minor"/>
      </rPr>
      <t xml:space="preserve">
</t>
    </r>
    <r>
      <rPr>
        <sz val="12"/>
        <color theme="1"/>
        <rFont val="Aptos Narrow"/>
        <family val="2"/>
        <scheme val="minor"/>
      </rPr>
      <t xml:space="preserve">Diagnóstico de oportunidades y obstáculos para el aprendizaje disciplinar
</t>
    </r>
    <r>
      <rPr>
        <i/>
        <sz val="11"/>
        <color theme="1"/>
        <rFont val="Aptos Narrow"/>
        <family val="2"/>
        <scheme val="minor"/>
      </rPr>
      <t xml:space="preserve">
No observado: 0 puntos
Por mejorar: 1 puntos
Base: 2 puntos
Satisfactorio: 3 puntos
Óptimo:4 puntos
</t>
    </r>
  </si>
  <si>
    <t xml:space="preserve"> N Estudiantes habilitados para rendir</t>
  </si>
  <si>
    <t xml:space="preserve"> N Estudiantes que rindieron</t>
  </si>
  <si>
    <t xml:space="preserve">Porcentaje de cobertura EPI </t>
  </si>
  <si>
    <t xml:space="preserve">PUNTAJE TOTAL </t>
  </si>
  <si>
    <t xml:space="preserve">CATEGORÍA RESULTADO GLOBAL </t>
  </si>
  <si>
    <t>No observado: 0 puntos</t>
  </si>
  <si>
    <t>Por mejorar: 1 puntos</t>
  </si>
  <si>
    <t>Base: 2 puntos</t>
  </si>
  <si>
    <t>Satisfactorio: 3 puntos</t>
  </si>
  <si>
    <t>Óptimo:4 puntos</t>
  </si>
  <si>
    <t>Estado de Habilitación para rendir</t>
  </si>
  <si>
    <t>JUSTIFICATIVO DE NO RENDICIÓN</t>
  </si>
  <si>
    <t>Justifica</t>
  </si>
  <si>
    <t>Avance curricular insuficiente para evaluar ciclo básico (no rinde EPI 2025)</t>
  </si>
  <si>
    <t>No justifica</t>
  </si>
  <si>
    <t>EPI pendiente periodo anterior</t>
  </si>
  <si>
    <t>Rendida no válida</t>
  </si>
  <si>
    <t>Retracto</t>
  </si>
  <si>
    <t>Dimensión</t>
  </si>
  <si>
    <t>Puntaje</t>
  </si>
  <si>
    <t>FACULTAD DE FILOSOFÍA Y HUMANIDADES</t>
  </si>
  <si>
    <t xml:space="preserve">PEDAGOGÍA EN HISTORIA Y CIENCIAS SOCIALES </t>
  </si>
  <si>
    <t>PLAN DE ESTUDIO 2023</t>
  </si>
  <si>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</si>
  <si>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</si>
  <si>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</si>
  <si>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</si>
  <si>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</si>
  <si>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</si>
  <si>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</si>
  <si>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</si>
  <si>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</si>
  <si>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Considerando que existe cierto deficit en cuanto a que el diseño didáctico se enfoque en cuestiones relacionadas especificamente al contexto seleccionado, se sugiere crear una matriz de análisis de contextos para las asignaturas de Didáctica de la Especialidad y Reflexión de la Experiencia Laboral, donde a los estudiantes se les planteen preguntas como: ¿Cuál es la misión y visión del establecimiento? ¿Qué problemas sociales puedes observar en el territorio?  ¿Qué necesidad o problemática busco abordar? Esto contribuirá a que no se olvide el contexto para el diseño didáctico que se vaya a crear. </t>
  </si>
  <si>
    <t>Creación de matriz de análisis de contexto, focalizada en asignaturas como Didáctica de la Especialidad y Reflexión de la experiencia laboral</t>
  </si>
  <si>
    <t xml:space="preserve">II. </t>
  </si>
  <si>
    <t>MEDIANO PLAZO</t>
  </si>
  <si>
    <t>A partir de los resultados que se observan, existe un gran deficit en cuanto se trata de respaldar su diseño didáctico. Para esto, la creación de curso optativo u obligatorio sobre argumentación, enfocada en justificar las decisiones pedagógicas tomadas en el diseño didáctico, contribuiría a abordar esta problemática. En este curso se deberán considerar ejemplos trascendentales del diseño, como la pregunta problematizadora, meta general y tópico generativo. También, la bibliografía académica que sustente su argumentación y vaya en la misma línea del diseño didáctico creado.</t>
  </si>
  <si>
    <t xml:space="preserve">Programación de curso o taller optativo u obligatorio de argumentación pedagógica.  </t>
  </si>
  <si>
    <t xml:space="preserve">III. </t>
  </si>
  <si>
    <t>LARGO PLAZO</t>
  </si>
  <si>
    <t xml:space="preserve">En vista de que implementar enfoques ciudadanos y de justicia social es uno de los puntos más decaídos (pero no alarmantes), es necesario fortalecer este ámbito. Ya existe un enfoque de ciudadanía y justicia social en la carrera, sin embargo, se sugiere implementar actualizaciones en los distintos programas de Didáctica, Historia y evaluación y currículum que consideren estos objetivos. Articular estas asignaturas en función de promover esta identidad docente sería beneficioso y fortalecedor para el cumplimiento del perfil académico presente. Impulsar una identidad de Profesor/a de Historia, Ciencias Sociales y "educación ciudadana" para abordar este tema es básico. Para esto, las modificaciones a los programas, deberían contar con posicionamientos, ejemplificaciones de clases/diseños con enfoques ciudadanos que efectivamente se han implementado, fortalecimiento de identidades docentes orientadas a la justicia social. </t>
  </si>
  <si>
    <t xml:space="preserve">Actualización de programas académicos de Didáctica de la Especialidad, Evaluación y Currículum. </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</si>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</sst>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u/>
      <sz val="11"/>
      <color theme="1"/>
      <name val="Aptos Narrow"/>
      <family val="2"/>
      <scheme val="minor"/>
    </font>
    <font>
      <b/>
      <sz val="12"/>
      <color theme="1"/>
      <name val="Aptos Narrow"/>
      <family val="2"/>
      <scheme val="minor"/>
    </font>
    <font>
      <sz val="10"/>
      <color theme="1"/>
      <name val="Calibri"/>
      <family val="2"/>
    </font>
    <font>
      <b/>
      <sz val="14"/>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sz val="10"/>
      <color rgb="FF000000"/>
      <name val="Calibri"/>
      <family val="2"/>
    </font>
    <font>
      <sz val="11"/>
      <color rgb="FF000000"/>
      <name val="Aptos Narrow"/>
      <family val="2"/>
      <scheme val="minor"/>
    </font>
    <font>
      <sz val="11"/>
      <color rgb="FF000000"/>
      <name val="Calibri"/>
      <family val="2"/>
    </font>
    <font>
      <b/>
      <u/>
      <sz val="11"/>
      <color rgb="FF000000"/>
      <name val="Aptos Narrow"/>
      <scheme val="minor"/>
    </font>
    <font>
      <b/>
      <u/>
      <sz val="12"/>
      <color rgb="FF000000"/>
      <name val="Aptos Narrow"/>
      <scheme val="minor"/>
    </font>
    <font>
      <sz val="12"/>
      <color rgb="FF000000"/>
      <name val="Aptos Narrow"/>
      <scheme val="minor"/>
    </font>
    <font>
      <i/>
      <sz val="11"/>
      <color rgb="FF000000"/>
      <name val="Aptos Narrow"/>
      <scheme val="minor"/>
    </font>
    <font>
      <sz val="11"/>
      <color rgb="FF000000"/>
      <name val="Aptos Narrow"/>
      <scheme val="minor"/>
    </font>
    <font>
      <b/>
      <sz val="11"/>
      <name val="Aptos Narrow"/>
      <scheme val="minor"/>
    </font>
  </fonts>
  <fills count="13">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59999389629810485"/>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rgb="FF000000"/>
      </left>
      <right/>
      <top/>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style="thin">
        <color rgb="FF000000"/>
      </right>
      <top/>
      <bottom/>
      <diagonal/>
    </border>
    <border>
      <left/>
      <right/>
      <top/>
      <bottom style="thin">
        <color indexed="64"/>
      </bottom>
      <diagonal/>
    </border>
    <border>
      <left style="medium">
        <color indexed="64"/>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s>
  <cellStyleXfs count="1">
    <xf numFmtId="0" fontId="0" fillId="0" borderId="0"/>
  </cellStyleXfs>
  <cellXfs count="238">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2" fillId="2" borderId="36"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1" fillId="0" borderId="17" xfId="0" applyFont="1" applyBorder="1" applyAlignment="1">
      <alignment wrapText="1"/>
    </xf>
    <xf numFmtId="0" fontId="0" fillId="0" borderId="37" xfId="0" applyBorder="1"/>
    <xf numFmtId="0" fontId="1" fillId="0" borderId="37" xfId="0" applyFont="1" applyBorder="1" applyAlignment="1">
      <alignment wrapText="1"/>
    </xf>
    <xf numFmtId="0" fontId="1" fillId="0" borderId="38" xfId="0" applyFont="1" applyBorder="1" applyAlignment="1">
      <alignment wrapText="1"/>
    </xf>
    <xf numFmtId="0" fontId="1" fillId="0" borderId="17" xfId="0" applyFont="1" applyBorder="1"/>
    <xf numFmtId="0" fontId="1" fillId="0" borderId="0" xfId="0" applyFont="1" applyAlignment="1">
      <alignment wrapText="1"/>
    </xf>
    <xf numFmtId="0" fontId="0" fillId="0" borderId="38" xfId="0" applyBorder="1"/>
    <xf numFmtId="0" fontId="0" fillId="0" borderId="17" xfId="0" applyBorder="1" applyAlignment="1">
      <alignment wrapText="1"/>
    </xf>
    <xf numFmtId="0" fontId="0" fillId="0" borderId="6" xfId="0" applyBorder="1" applyAlignment="1">
      <alignment wrapText="1"/>
    </xf>
    <xf numFmtId="0" fontId="0" fillId="0" borderId="38" xfId="0" applyBorder="1" applyAlignment="1">
      <alignment wrapText="1"/>
    </xf>
    <xf numFmtId="0" fontId="0" fillId="0" borderId="17" xfId="0" applyBorder="1" applyAlignment="1">
      <alignment horizontal="left" wrapText="1"/>
    </xf>
    <xf numFmtId="0" fontId="0" fillId="0" borderId="39" xfId="0" applyBorder="1"/>
    <xf numFmtId="0" fontId="4" fillId="0" borderId="17" xfId="0" applyFont="1" applyBorder="1" applyAlignment="1">
      <alignment horizontal="center" vertical="center" wrapText="1"/>
    </xf>
    <xf numFmtId="0" fontId="15" fillId="0" borderId="17" xfId="0" applyFont="1" applyBorder="1" applyAlignment="1">
      <alignment horizontal="center" vertical="center"/>
    </xf>
    <xf numFmtId="0" fontId="0" fillId="0" borderId="22" xfId="0" applyBorder="1" applyAlignment="1">
      <alignment wrapText="1"/>
    </xf>
    <xf numFmtId="0" fontId="0" fillId="0" borderId="17" xfId="0" applyBorder="1" applyAlignment="1">
      <alignment horizontal="left" vertical="top" wrapText="1"/>
    </xf>
    <xf numFmtId="0" fontId="0" fillId="0" borderId="28" xfId="0" applyBorder="1" applyAlignment="1">
      <alignment vertical="center" wrapText="1"/>
    </xf>
    <xf numFmtId="0" fontId="15" fillId="0" borderId="45" xfId="0" applyFont="1" applyBorder="1" applyAlignment="1">
      <alignment horizontal="center" vertical="center"/>
    </xf>
    <xf numFmtId="0" fontId="0" fillId="0" borderId="45" xfId="0" applyBorder="1" applyAlignment="1">
      <alignment wrapText="1"/>
    </xf>
    <xf numFmtId="0" fontId="15" fillId="0" borderId="49" xfId="0" applyFont="1" applyBorder="1" applyAlignment="1">
      <alignment horizontal="center" vertical="center"/>
    </xf>
    <xf numFmtId="0" fontId="0" fillId="0" borderId="49" xfId="0" applyBorder="1" applyAlignment="1">
      <alignment wrapText="1"/>
    </xf>
    <xf numFmtId="0" fontId="0" fillId="0" borderId="28" xfId="0" applyBorder="1" applyAlignment="1">
      <alignment horizontal="left" vertical="top" wrapText="1"/>
    </xf>
    <xf numFmtId="0" fontId="0" fillId="0" borderId="45" xfId="0" applyBorder="1" applyAlignment="1">
      <alignment horizontal="left" vertical="top" wrapText="1"/>
    </xf>
    <xf numFmtId="0" fontId="0" fillId="0" borderId="45" xfId="0" applyBorder="1" applyAlignment="1">
      <alignment horizontal="center" wrapText="1"/>
    </xf>
    <xf numFmtId="0" fontId="0" fillId="0" borderId="47" xfId="0" applyBorder="1" applyAlignment="1">
      <alignment vertical="center" wrapText="1"/>
    </xf>
    <xf numFmtId="0" fontId="0" fillId="0" borderId="25" xfId="0" applyBorder="1" applyAlignment="1">
      <alignment vertical="center"/>
    </xf>
    <xf numFmtId="0" fontId="0" fillId="0" borderId="53" xfId="0" applyBorder="1" applyAlignment="1">
      <alignment vertical="center"/>
    </xf>
    <xf numFmtId="0" fontId="0" fillId="0" borderId="23" xfId="0" applyBorder="1" applyAlignment="1">
      <alignment vertical="center"/>
    </xf>
    <xf numFmtId="0" fontId="2" fillId="12" borderId="36" xfId="0" applyFont="1" applyFill="1" applyBorder="1" applyAlignment="1">
      <alignment horizontal="center" vertical="center" wrapText="1"/>
    </xf>
    <xf numFmtId="0" fontId="4" fillId="0" borderId="28" xfId="0" applyFont="1" applyBorder="1" applyAlignment="1">
      <alignment vertical="center" wrapText="1"/>
    </xf>
    <xf numFmtId="0" fontId="2" fillId="12" borderId="54" xfId="0" applyFont="1" applyFill="1" applyBorder="1" applyAlignment="1">
      <alignment horizontal="center" vertical="center" wrapText="1"/>
    </xf>
    <xf numFmtId="0" fontId="1" fillId="0" borderId="39" xfId="0" applyFont="1" applyBorder="1"/>
    <xf numFmtId="0" fontId="1" fillId="0" borderId="39" xfId="0" applyFont="1" applyBorder="1" applyAlignment="1">
      <alignment wrapText="1"/>
    </xf>
    <xf numFmtId="0" fontId="2" fillId="2" borderId="54" xfId="0" applyFont="1" applyFill="1" applyBorder="1" applyAlignment="1">
      <alignment horizontal="center" vertical="center" wrapText="1"/>
    </xf>
    <xf numFmtId="0" fontId="1" fillId="0" borderId="22" xfId="0" applyFont="1" applyBorder="1"/>
    <xf numFmtId="0" fontId="5" fillId="8" borderId="55" xfId="0" applyFont="1" applyFill="1" applyBorder="1" applyAlignment="1">
      <alignment horizontal="center" vertical="center" wrapText="1"/>
    </xf>
    <xf numFmtId="0" fontId="5" fillId="8" borderId="56"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2" fillId="0" borderId="57" xfId="0" applyFont="1" applyBorder="1" applyAlignment="1">
      <alignment horizontal="center" vertical="center" wrapText="1"/>
    </xf>
    <xf numFmtId="0" fontId="2" fillId="0" borderId="36" xfId="0" applyFont="1" applyBorder="1" applyAlignment="1">
      <alignment horizontal="center" vertical="center" wrapText="1"/>
    </xf>
    <xf numFmtId="164" fontId="1" fillId="0" borderId="17" xfId="0" applyNumberFormat="1" applyFont="1" applyBorder="1"/>
    <xf numFmtId="0" fontId="5" fillId="10" borderId="43" xfId="0" applyFont="1" applyFill="1" applyBorder="1" applyAlignment="1">
      <alignment horizontal="left" vertical="center" wrapText="1"/>
    </xf>
    <xf numFmtId="0" fontId="5" fillId="10" borderId="36" xfId="0" applyFont="1" applyFill="1" applyBorder="1" applyAlignment="1">
      <alignment horizontal="center" vertical="center" wrapText="1"/>
    </xf>
    <xf numFmtId="0" fontId="5" fillId="10" borderId="0" xfId="0" applyFont="1" applyFill="1" applyAlignment="1">
      <alignment vertical="center" wrapText="1"/>
    </xf>
    <xf numFmtId="0" fontId="16" fillId="0" borderId="1" xfId="0" applyFont="1" applyBorder="1" applyAlignment="1">
      <alignment horizontal="center" vertical="top" wrapText="1"/>
    </xf>
    <xf numFmtId="1" fontId="16" fillId="0" borderId="1" xfId="0" applyNumberFormat="1" applyFont="1" applyBorder="1" applyAlignment="1">
      <alignment horizontal="center" vertical="top" wrapText="1"/>
    </xf>
    <xf numFmtId="0" fontId="4" fillId="0" borderId="28" xfId="0" applyFont="1" applyBorder="1" applyAlignment="1">
      <alignment horizontal="center" vertical="center" wrapText="1"/>
    </xf>
    <xf numFmtId="0" fontId="4" fillId="0" borderId="17" xfId="0" applyFont="1" applyBorder="1" applyAlignment="1">
      <alignment horizontal="center" vertical="center"/>
    </xf>
    <xf numFmtId="0" fontId="17" fillId="0" borderId="17" xfId="0" applyFont="1" applyBorder="1"/>
    <xf numFmtId="0" fontId="0" fillId="0" borderId="0" xfId="0" applyAlignment="1">
      <alignment horizontal="left" vertical="center"/>
    </xf>
    <xf numFmtId="0" fontId="4" fillId="10" borderId="17" xfId="0" applyFont="1" applyFill="1" applyBorder="1" applyAlignment="1">
      <alignment horizontal="center" vertical="center"/>
    </xf>
    <xf numFmtId="0" fontId="4" fillId="10" borderId="17" xfId="0" applyFont="1" applyFill="1" applyBorder="1" applyAlignment="1">
      <alignment horizontal="left" vertical="center"/>
    </xf>
    <xf numFmtId="0" fontId="20" fillId="0" borderId="17" xfId="0" applyFont="1" applyBorder="1" applyAlignment="1">
      <alignment horizontal="left" vertical="top" wrapText="1"/>
    </xf>
    <xf numFmtId="0" fontId="0" fillId="0" borderId="0" xfId="0" applyAlignment="1">
      <alignment wrapText="1"/>
    </xf>
    <xf numFmtId="0" fontId="4" fillId="0" borderId="51" xfId="0" applyFont="1" applyBorder="1" applyAlignment="1">
      <alignment horizontal="center" vertical="center" wrapText="1"/>
    </xf>
    <xf numFmtId="0" fontId="4" fillId="0" borderId="30" xfId="0" applyFont="1" applyBorder="1" applyAlignment="1">
      <alignment horizontal="center" vertical="center"/>
    </xf>
    <xf numFmtId="0" fontId="4" fillId="0" borderId="52" xfId="0" applyFont="1" applyBorder="1" applyAlignment="1">
      <alignment horizontal="center" vertical="center"/>
    </xf>
    <xf numFmtId="0" fontId="5" fillId="8" borderId="59" xfId="0" applyFont="1" applyFill="1" applyBorder="1" applyAlignment="1">
      <alignment horizontal="center" vertical="center" wrapText="1"/>
    </xf>
    <xf numFmtId="0" fontId="5" fillId="8" borderId="60"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47" xfId="0" applyFont="1" applyFill="1" applyBorder="1" applyAlignment="1">
      <alignment horizontal="center" vertical="center" wrapText="1"/>
    </xf>
    <xf numFmtId="0" fontId="5" fillId="8" borderId="50" xfId="0" applyFont="1" applyFill="1" applyBorder="1" applyAlignment="1">
      <alignment horizontal="center" vertical="center" wrapText="1"/>
    </xf>
    <xf numFmtId="1" fontId="21" fillId="0" borderId="1" xfId="0" applyNumberFormat="1" applyFont="1" applyBorder="1" applyAlignment="1">
      <alignment horizontal="center" vertical="top" wrapText="1"/>
    </xf>
    <xf numFmtId="0" fontId="22" fillId="0" borderId="35" xfId="0" applyFont="1" applyBorder="1"/>
    <xf numFmtId="0" fontId="22" fillId="0" borderId="17" xfId="0" applyFont="1" applyBorder="1"/>
    <xf numFmtId="0" fontId="22" fillId="0" borderId="35" xfId="0" applyFont="1" applyBorder="1" applyAlignment="1">
      <alignment wrapText="1"/>
    </xf>
    <xf numFmtId="0" fontId="22" fillId="0" borderId="17" xfId="0" applyFont="1" applyBorder="1" applyAlignment="1">
      <alignment wrapText="1"/>
    </xf>
    <xf numFmtId="14" fontId="0" fillId="0" borderId="37" xfId="0" applyNumberFormat="1" applyBorder="1" applyAlignment="1">
      <alignment wrapText="1"/>
    </xf>
    <xf numFmtId="14" fontId="0" fillId="0" borderId="38" xfId="0" applyNumberFormat="1" applyBorder="1"/>
    <xf numFmtId="14" fontId="0" fillId="0" borderId="38" xfId="0" applyNumberFormat="1" applyBorder="1" applyAlignment="1">
      <alignment wrapText="1"/>
    </xf>
    <xf numFmtId="14" fontId="1" fillId="0" borderId="38" xfId="0" applyNumberFormat="1" applyFont="1" applyBorder="1" applyAlignment="1">
      <alignment wrapText="1"/>
    </xf>
    <xf numFmtId="9" fontId="1" fillId="0" borderId="17" xfId="0" applyNumberFormat="1" applyFont="1" applyBorder="1" applyAlignment="1">
      <alignment wrapText="1"/>
    </xf>
    <xf numFmtId="1" fontId="1" fillId="0" borderId="17" xfId="0" applyNumberFormat="1" applyFont="1" applyBorder="1" applyAlignment="1">
      <alignment wrapText="1"/>
    </xf>
    <xf numFmtId="0" fontId="13" fillId="0" borderId="0" xfId="0" applyFont="1" applyAlignment="1">
      <alignment horizontal="center" vertical="top"/>
    </xf>
    <xf numFmtId="0" fontId="13" fillId="0" borderId="0" xfId="0" applyFont="1" applyAlignment="1">
      <alignment horizontal="left" vertical="top"/>
    </xf>
    <xf numFmtId="0" fontId="16" fillId="0" borderId="34" xfId="0" applyFont="1" applyBorder="1" applyAlignment="1">
      <alignment horizontal="center" vertical="top" wrapText="1"/>
    </xf>
    <xf numFmtId="1" fontId="16" fillId="0" borderId="34" xfId="0" applyNumberFormat="1" applyFont="1" applyBorder="1" applyAlignment="1">
      <alignment horizontal="center" vertical="top" wrapText="1"/>
    </xf>
    <xf numFmtId="1" fontId="21" fillId="0" borderId="34" xfId="0" applyNumberFormat="1" applyFont="1" applyBorder="1" applyAlignment="1">
      <alignment horizontal="center" vertical="top" wrapText="1"/>
    </xf>
    <xf numFmtId="0" fontId="22" fillId="0" borderId="61" xfId="0" applyFont="1" applyBorder="1" applyAlignment="1">
      <alignment wrapText="1"/>
    </xf>
    <xf numFmtId="0" fontId="22" fillId="0" borderId="28" xfId="0" applyFont="1" applyBorder="1" applyAlignment="1">
      <alignment wrapText="1"/>
    </xf>
    <xf numFmtId="0" fontId="13" fillId="0" borderId="62" xfId="0" applyFont="1" applyBorder="1" applyAlignment="1">
      <alignment horizontal="center" vertical="top"/>
    </xf>
    <xf numFmtId="0" fontId="13" fillId="0" borderId="62" xfId="0" applyFont="1" applyBorder="1" applyAlignment="1">
      <alignment horizontal="left" vertical="top"/>
    </xf>
    <xf numFmtId="0" fontId="23" fillId="0" borderId="62" xfId="0" applyFont="1" applyBorder="1" applyAlignment="1">
      <alignment horizontal="left" vertical="top"/>
    </xf>
    <xf numFmtId="0" fontId="22" fillId="0" borderId="62" xfId="0" applyFont="1" applyBorder="1"/>
    <xf numFmtId="10" fontId="0" fillId="0" borderId="17" xfId="0" applyNumberFormat="1" applyBorder="1"/>
    <xf numFmtId="0" fontId="1" fillId="0" borderId="63" xfId="0" applyFont="1" applyBorder="1" applyAlignment="1">
      <alignment wrapText="1"/>
    </xf>
    <xf numFmtId="0" fontId="1" fillId="0" borderId="64" xfId="0" applyFont="1" applyBorder="1" applyAlignment="1">
      <alignment wrapText="1"/>
    </xf>
    <xf numFmtId="0" fontId="1" fillId="0" borderId="63" xfId="0" applyFont="1" applyBorder="1"/>
    <xf numFmtId="9" fontId="1" fillId="0" borderId="63" xfId="0" applyNumberFormat="1" applyFont="1" applyBorder="1" applyAlignment="1">
      <alignment wrapText="1"/>
    </xf>
    <xf numFmtId="9" fontId="0" fillId="0" borderId="0" xfId="0" applyNumberFormat="1"/>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49"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15" fillId="0" borderId="45" xfId="0" applyFont="1" applyBorder="1" applyAlignment="1">
      <alignment horizontal="center" vertical="center"/>
    </xf>
    <xf numFmtId="0" fontId="15" fillId="0" borderId="17" xfId="0" applyFont="1" applyBorder="1" applyAlignment="1">
      <alignment horizontal="center" vertical="center"/>
    </xf>
    <xf numFmtId="0" fontId="15" fillId="0" borderId="49" xfId="0" applyFont="1" applyBorder="1" applyAlignment="1">
      <alignment horizontal="center" vertical="center"/>
    </xf>
    <xf numFmtId="0" fontId="0" fillId="0" borderId="44" xfId="0" applyBorder="1" applyAlignment="1">
      <alignment horizontal="center" vertical="center" wrapText="1"/>
    </xf>
    <xf numFmtId="0" fontId="0" fillId="0" borderId="26" xfId="0" applyBorder="1" applyAlignment="1">
      <alignment horizontal="center" vertical="center" wrapText="1"/>
    </xf>
    <xf numFmtId="0" fontId="0" fillId="0" borderId="48" xfId="0" applyBorder="1" applyAlignment="1">
      <alignment horizontal="center" vertical="center" wrapText="1"/>
    </xf>
    <xf numFmtId="0" fontId="0" fillId="0" borderId="46"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wrapText="1"/>
    </xf>
    <xf numFmtId="0" fontId="15" fillId="0" borderId="22" xfId="0" applyFont="1" applyBorder="1" applyAlignment="1">
      <alignment horizontal="center" vertical="center"/>
    </xf>
    <xf numFmtId="0" fontId="15" fillId="0" borderId="28" xfId="0" applyFont="1" applyBorder="1" applyAlignment="1">
      <alignment horizontal="center" vertical="center"/>
    </xf>
    <xf numFmtId="0" fontId="15" fillId="0" borderId="28" xfId="0" applyFont="1" applyBorder="1" applyAlignment="1">
      <alignment horizontal="center" vertical="center" wrapText="1"/>
    </xf>
    <xf numFmtId="0" fontId="15" fillId="0" borderId="30" xfId="0" applyFont="1" applyBorder="1" applyAlignment="1">
      <alignment horizontal="center" vertical="center" wrapText="1"/>
    </xf>
    <xf numFmtId="0" fontId="0" fillId="0" borderId="28" xfId="0" applyBorder="1" applyAlignment="1">
      <alignment horizontal="left" vertical="center" wrapText="1"/>
    </xf>
    <xf numFmtId="0" fontId="0" fillId="0" borderId="30" xfId="0" applyBorder="1" applyAlignment="1">
      <alignment horizontal="left" vertical="center" wrapText="1"/>
    </xf>
    <xf numFmtId="0" fontId="0" fillId="0" borderId="47" xfId="0" applyBorder="1" applyAlignment="1">
      <alignment horizontal="center" vertical="center" wrapText="1"/>
    </xf>
    <xf numFmtId="0" fontId="0" fillId="0" borderId="23" xfId="0" applyBorder="1" applyAlignment="1">
      <alignment horizontal="center" vertical="center"/>
    </xf>
    <xf numFmtId="0" fontId="15" fillId="0" borderId="22" xfId="0" applyFont="1" applyBorder="1" applyAlignment="1">
      <alignment horizontal="center" vertical="center" wrapText="1"/>
    </xf>
    <xf numFmtId="0" fontId="0" fillId="0" borderId="22" xfId="0" applyBorder="1" applyAlignment="1">
      <alignment horizontal="left" vertical="center" wrapText="1"/>
    </xf>
    <xf numFmtId="0" fontId="0" fillId="0" borderId="29" xfId="0" applyBorder="1" applyAlignment="1">
      <alignment horizontal="center" vertical="center" wrapText="1"/>
    </xf>
    <xf numFmtId="0" fontId="0" fillId="0" borderId="46" xfId="0" applyBorder="1" applyAlignment="1">
      <alignment horizontal="left" vertical="center" wrapText="1"/>
    </xf>
    <xf numFmtId="0" fontId="15" fillId="0" borderId="46" xfId="0" applyFont="1" applyBorder="1" applyAlignment="1">
      <alignment horizontal="center" vertical="center" wrapText="1"/>
    </xf>
    <xf numFmtId="0" fontId="4" fillId="0" borderId="40" xfId="0" applyFont="1" applyBorder="1" applyAlignment="1">
      <alignment horizontal="center" vertical="center"/>
    </xf>
    <xf numFmtId="0" fontId="4" fillId="0" borderId="42" xfId="0" applyFont="1" applyBorder="1" applyAlignment="1">
      <alignment horizontal="center" vertical="center"/>
    </xf>
    <xf numFmtId="0" fontId="4" fillId="0" borderId="17" xfId="0" applyFont="1" applyBorder="1" applyAlignment="1">
      <alignment horizontal="center"/>
    </xf>
    <xf numFmtId="0" fontId="4" fillId="0" borderId="41" xfId="0" applyFont="1" applyBorder="1" applyAlignment="1">
      <alignment horizontal="center" vertical="center"/>
    </xf>
    <xf numFmtId="0" fontId="4" fillId="0" borderId="21" xfId="0" applyFont="1" applyBorder="1" applyAlignment="1">
      <alignment horizontal="center" vertical="center"/>
    </xf>
    <xf numFmtId="0" fontId="0" fillId="0" borderId="15" xfId="0" applyBorder="1" applyAlignment="1">
      <alignment horizontal="left" vertical="center" wrapText="1"/>
    </xf>
    <xf numFmtId="0" fontId="0" fillId="0" borderId="15" xfId="0" applyBorder="1" applyAlignment="1">
      <alignment horizontal="left" vertical="center"/>
    </xf>
    <xf numFmtId="0" fontId="0" fillId="0" borderId="46" xfId="0" applyBorder="1" applyAlignment="1">
      <alignment horizontal="center" vertical="center" wrapText="1"/>
    </xf>
    <xf numFmtId="0" fontId="0" fillId="0" borderId="16" xfId="0" applyBorder="1" applyAlignment="1">
      <alignment horizontal="center" vertical="center" wrapText="1"/>
    </xf>
    <xf numFmtId="0" fontId="15" fillId="0" borderId="15" xfId="0" applyFont="1" applyBorder="1" applyAlignment="1">
      <alignment horizontal="center" vertical="center" wrapText="1"/>
    </xf>
    <xf numFmtId="0" fontId="0" fillId="0" borderId="52" xfId="0"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33" xfId="0" applyFont="1" applyBorder="1" applyAlignment="1">
      <alignment horizontal="center" vertical="center"/>
    </xf>
    <xf numFmtId="0" fontId="4" fillId="0" borderId="13" xfId="0" applyFont="1"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28" fillId="5" borderId="9" xfId="0" applyFont="1" applyFill="1" applyBorder="1" applyAlignment="1">
      <alignment horizontal="center" vertical="top" wrapText="1"/>
    </xf>
    <xf numFmtId="0" fontId="0" fillId="5" borderId="31" xfId="0" applyFill="1" applyBorder="1" applyAlignment="1">
      <alignment horizontal="center" vertical="top" wrapText="1"/>
    </xf>
    <xf numFmtId="0" fontId="0" fillId="5" borderId="12" xfId="0" applyFill="1" applyBorder="1" applyAlignment="1">
      <alignment horizontal="center" vertical="top" wrapText="1"/>
    </xf>
    <xf numFmtId="0" fontId="0" fillId="5" borderId="33" xfId="0" applyFill="1" applyBorder="1" applyAlignment="1">
      <alignment horizontal="center" vertical="top"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7" borderId="12" xfId="0" applyFont="1" applyFill="1" applyBorder="1" applyAlignment="1">
      <alignment horizontal="center" vertical="top" wrapText="1"/>
    </xf>
    <xf numFmtId="0" fontId="4" fillId="7" borderId="33" xfId="0" applyFont="1" applyFill="1" applyBorder="1" applyAlignment="1">
      <alignment horizontal="center" vertical="top" wrapText="1"/>
    </xf>
    <xf numFmtId="0" fontId="4" fillId="7" borderId="0" xfId="0" applyFont="1" applyFill="1" applyAlignment="1">
      <alignment horizontal="center" vertical="top" wrapText="1"/>
    </xf>
    <xf numFmtId="0" fontId="4" fillId="7" borderId="32" xfId="0" applyFont="1" applyFill="1" applyBorder="1" applyAlignment="1">
      <alignment horizontal="center" vertical="top" wrapText="1"/>
    </xf>
    <xf numFmtId="0" fontId="9" fillId="11" borderId="9" xfId="0" applyFont="1" applyFill="1" applyBorder="1" applyAlignment="1">
      <alignment horizontal="center" vertical="top" wrapText="1"/>
    </xf>
    <xf numFmtId="0" fontId="4" fillId="11" borderId="10" xfId="0" applyFont="1" applyFill="1" applyBorder="1" applyAlignment="1">
      <alignment horizontal="center" vertical="top" wrapText="1"/>
    </xf>
    <xf numFmtId="0" fontId="4" fillId="11" borderId="12" xfId="0" applyFont="1" applyFill="1" applyBorder="1" applyAlignment="1">
      <alignment horizontal="center" vertical="top" wrapText="1"/>
    </xf>
    <xf numFmtId="0" fontId="4" fillId="11" borderId="13"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9" borderId="31" xfId="0" applyFont="1" applyFill="1" applyBorder="1" applyAlignment="1">
      <alignment horizontal="center" vertical="top" wrapText="1"/>
    </xf>
    <xf numFmtId="0" fontId="4" fillId="9" borderId="12" xfId="0" applyFont="1" applyFill="1" applyBorder="1" applyAlignment="1">
      <alignment horizontal="center" vertical="top" wrapText="1"/>
    </xf>
    <xf numFmtId="0" fontId="4" fillId="9" borderId="33" xfId="0" applyFont="1" applyFill="1" applyBorder="1" applyAlignment="1">
      <alignment horizontal="center" vertical="top" wrapText="1"/>
    </xf>
    <xf numFmtId="0" fontId="0" fillId="0" borderId="9" xfId="0" applyBorder="1" applyAlignment="1">
      <alignment horizontal="center"/>
    </xf>
    <xf numFmtId="0" fontId="0" fillId="0" borderId="3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33" xfId="0" applyBorder="1" applyAlignment="1">
      <alignment horizontal="center"/>
    </xf>
    <xf numFmtId="0" fontId="0" fillId="0" borderId="13" xfId="0" applyBorder="1" applyAlignment="1">
      <alignment horizontal="center"/>
    </xf>
    <xf numFmtId="0" fontId="0" fillId="5" borderId="9" xfId="0" applyFill="1" applyBorder="1" applyAlignment="1">
      <alignment horizontal="center" vertical="top" wrapText="1"/>
    </xf>
    <xf numFmtId="0" fontId="20" fillId="0" borderId="17" xfId="0" applyFont="1" applyBorder="1" applyAlignment="1">
      <alignment horizontal="left" vertical="top" wrapText="1"/>
    </xf>
    <xf numFmtId="0" fontId="0" fillId="0" borderId="58" xfId="0" applyBorder="1" applyAlignment="1">
      <alignment horizontal="left" vertical="center"/>
    </xf>
    <xf numFmtId="0" fontId="4" fillId="10" borderId="17" xfId="0" applyFont="1" applyFill="1" applyBorder="1" applyAlignment="1">
      <alignment horizontal="center" vertical="center"/>
    </xf>
    <xf numFmtId="0" fontId="0" fillId="0" borderId="17" xfId="0" applyBorder="1" applyAlignment="1">
      <alignment horizontal="left" vertical="center" wrapText="1"/>
    </xf>
    <xf numFmtId="0" fontId="20" fillId="0" borderId="17" xfId="0" applyFont="1" applyBorder="1" applyAlignment="1">
      <alignment horizontal="left" vertical="top"/>
    </xf>
    <xf numFmtId="0" fontId="20" fillId="0" borderId="0" xfId="0" applyFont="1" applyAlignment="1">
      <alignment horizontal="left" vertical="center"/>
    </xf>
    <xf numFmtId="0" fontId="0" fillId="0" borderId="0" xfId="0" applyAlignment="1">
      <alignment horizontal="left" vertical="center"/>
    </xf>
    <xf numFmtId="0" fontId="18" fillId="0" borderId="0" xfId="0" applyFont="1" applyAlignment="1">
      <alignment horizontal="center" vertical="center"/>
    </xf>
    <xf numFmtId="0" fontId="29" fillId="0" borderId="0" xfId="0" applyFont="1" applyAlignment="1">
      <alignment horizontal="center" vertical="center"/>
    </xf>
    <xf numFmtId="0" fontId="19"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56</xdr:row>
      <xdr:rowOff>95250</xdr:rowOff>
    </xdr:from>
    <xdr:to>
      <xdr:col>3</xdr:col>
      <xdr:colOff>609623</xdr:colOff>
      <xdr:row>64</xdr:row>
      <xdr:rowOff>104989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3</xdr:col>
      <xdr:colOff>457199</xdr:colOff>
      <xdr:row>64</xdr:row>
      <xdr:rowOff>47625</xdr:rowOff>
    </xdr:from>
    <xdr:to>
      <xdr:col>3</xdr:col>
      <xdr:colOff>645770</xdr:colOff>
      <xdr:row>73</xdr:row>
      <xdr:rowOff>85725</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276226</xdr:rowOff>
    </xdr:from>
    <xdr:to>
      <xdr:col>10</xdr:col>
      <xdr:colOff>0</xdr:colOff>
      <xdr:row>0</xdr:row>
      <xdr:rowOff>1392556</xdr:rowOff>
    </xdr:to>
    <xdr:pic>
      <xdr:nvPicPr>
        <xdr:cNvPr id="2" name="Imagen 1" descr="C:\Users\Tere\Desktop\UAH_Marzo2020\DD\ImagenesDD\Logos\Docencia-01.jpg">
          <a:extLst>
            <a:ext uri="{FF2B5EF4-FFF2-40B4-BE49-F238E27FC236}">
              <a16:creationId xmlns:a16="http://schemas.microsoft.com/office/drawing/2014/main" id="{45B82331-8BCD-4E15-974F-62103F06DBD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0" y="276226"/>
          <a:ext cx="1885950" cy="111633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6" workbookViewId="0">
      <selection activeCell="E21" sqref="E21"/>
    </sheetView>
  </sheetViews>
  <sheetFormatPr defaultColWidth="11.42578125" defaultRowHeight="14.4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 thickBot="1"/>
    <row r="4" spans="1:8" ht="15" thickBot="1">
      <c r="C4" s="127" t="s">
        <v>2</v>
      </c>
      <c r="D4" s="128"/>
      <c r="E4" s="128"/>
      <c r="F4" s="128"/>
      <c r="G4" s="129"/>
    </row>
    <row r="5" spans="1:8">
      <c r="C5" s="4" t="s">
        <v>3</v>
      </c>
      <c r="D5" s="4" t="s">
        <v>4</v>
      </c>
      <c r="E5" s="5" t="s">
        <v>5</v>
      </c>
      <c r="F5" s="4" t="s">
        <v>6</v>
      </c>
      <c r="G5" s="6" t="s">
        <v>7</v>
      </c>
    </row>
    <row r="6" spans="1:8" ht="15" thickBot="1">
      <c r="C6" s="7" t="s">
        <v>8</v>
      </c>
      <c r="D6" s="7" t="s">
        <v>9</v>
      </c>
      <c r="E6" s="8" t="s">
        <v>10</v>
      </c>
      <c r="F6" s="7" t="s">
        <v>11</v>
      </c>
      <c r="G6" s="9" t="s">
        <v>12</v>
      </c>
    </row>
    <row r="7" spans="1:8" ht="43.9" thickBot="1">
      <c r="C7" s="10" t="s">
        <v>13</v>
      </c>
      <c r="D7" s="11" t="s">
        <v>14</v>
      </c>
      <c r="E7" s="11" t="s">
        <v>15</v>
      </c>
      <c r="F7" s="11" t="s">
        <v>16</v>
      </c>
      <c r="G7" s="12" t="s">
        <v>17</v>
      </c>
    </row>
    <row r="8" spans="1:8">
      <c r="C8" s="13"/>
      <c r="D8" s="13"/>
      <c r="E8" s="13"/>
      <c r="F8" s="13"/>
      <c r="G8" s="14"/>
    </row>
    <row r="9" spans="1:8">
      <c r="A9" t="s">
        <v>18</v>
      </c>
      <c r="B9" s="15" t="s">
        <v>19</v>
      </c>
    </row>
    <row r="10" spans="1:8">
      <c r="B10" s="130" t="s">
        <v>20</v>
      </c>
      <c r="C10" s="131"/>
      <c r="D10" s="131"/>
      <c r="E10" s="131"/>
      <c r="F10" s="131"/>
      <c r="G10" s="131"/>
    </row>
    <row r="11" spans="1:8">
      <c r="B11" s="131"/>
      <c r="C11" s="131"/>
      <c r="D11" s="131"/>
      <c r="E11" s="131"/>
      <c r="F11" s="131"/>
      <c r="G11" s="131"/>
    </row>
    <row r="12" spans="1:8">
      <c r="B12" s="131"/>
      <c r="C12" s="131"/>
      <c r="D12" s="131"/>
      <c r="E12" s="131"/>
      <c r="F12" s="131"/>
      <c r="G12" s="131"/>
    </row>
    <row r="14" spans="1:8" ht="15" thickBot="1"/>
    <row r="15" spans="1:8" ht="15" thickBot="1">
      <c r="C15" s="127" t="s">
        <v>21</v>
      </c>
      <c r="D15" s="128"/>
      <c r="E15" s="128"/>
      <c r="F15" s="128"/>
      <c r="G15" s="129"/>
    </row>
    <row r="16" spans="1:8" ht="15" thickBot="1">
      <c r="B16" s="16"/>
      <c r="C16" s="17" t="s">
        <v>3</v>
      </c>
      <c r="D16" s="18" t="s">
        <v>4</v>
      </c>
      <c r="E16" s="19" t="s">
        <v>5</v>
      </c>
      <c r="F16" s="132" t="s">
        <v>22</v>
      </c>
      <c r="G16" s="133"/>
      <c r="H16" s="20"/>
    </row>
    <row r="17" spans="2:8" ht="15" thickBot="1">
      <c r="B17" s="21" t="s">
        <v>23</v>
      </c>
      <c r="C17" s="22" t="s">
        <v>24</v>
      </c>
      <c r="D17" s="23" t="s">
        <v>25</v>
      </c>
      <c r="E17" s="24" t="s">
        <v>26</v>
      </c>
      <c r="F17" s="134" t="s">
        <v>27</v>
      </c>
      <c r="G17" s="135"/>
      <c r="H17" s="20"/>
    </row>
    <row r="18" spans="2:8" ht="146.25" customHeight="1" thickBot="1">
      <c r="B18" s="136" t="s">
        <v>28</v>
      </c>
      <c r="C18" s="25" t="s">
        <v>29</v>
      </c>
      <c r="D18" s="25" t="s">
        <v>30</v>
      </c>
      <c r="E18" s="25" t="s">
        <v>31</v>
      </c>
      <c r="F18" s="139" t="s">
        <v>32</v>
      </c>
      <c r="G18" s="140"/>
      <c r="H18" s="26" t="s">
        <v>33</v>
      </c>
    </row>
    <row r="19" spans="2:8" ht="51.75" customHeight="1">
      <c r="B19" s="137"/>
      <c r="C19" s="141" t="s">
        <v>34</v>
      </c>
      <c r="D19" s="141"/>
      <c r="E19" s="141" t="s">
        <v>35</v>
      </c>
      <c r="F19" s="141"/>
      <c r="G19" s="142"/>
      <c r="H19" s="20"/>
    </row>
    <row r="20" spans="2:8">
      <c r="B20" s="138"/>
      <c r="C20" s="143" t="s">
        <v>36</v>
      </c>
      <c r="D20" s="143"/>
      <c r="E20" s="143"/>
      <c r="F20" s="143"/>
      <c r="G20" s="144"/>
      <c r="H20" s="20"/>
    </row>
    <row r="21" spans="2:8" ht="15" customHeight="1">
      <c r="B21" s="145" t="s">
        <v>37</v>
      </c>
      <c r="C21" s="148" t="s">
        <v>38</v>
      </c>
      <c r="D21" s="149" t="s">
        <v>39</v>
      </c>
      <c r="E21" s="149" t="s">
        <v>40</v>
      </c>
      <c r="F21" s="152" t="s">
        <v>41</v>
      </c>
      <c r="G21" s="126"/>
    </row>
    <row r="22" spans="2:8">
      <c r="B22" s="146"/>
      <c r="C22" s="146"/>
      <c r="D22" s="146"/>
      <c r="E22" s="150"/>
      <c r="F22" s="153"/>
      <c r="G22" s="126"/>
    </row>
    <row r="23" spans="2:8">
      <c r="B23" s="146"/>
      <c r="C23" s="146"/>
      <c r="D23" s="146"/>
      <c r="E23" s="150"/>
      <c r="F23" s="153"/>
      <c r="G23" s="126"/>
    </row>
    <row r="24" spans="2:8">
      <c r="B24" s="146"/>
      <c r="C24" s="146"/>
      <c r="D24" s="146"/>
      <c r="E24" s="150"/>
      <c r="F24" s="153"/>
      <c r="G24" s="126"/>
    </row>
    <row r="25" spans="2:8">
      <c r="B25" s="146"/>
      <c r="C25" s="146"/>
      <c r="D25" s="146"/>
      <c r="E25" s="150"/>
      <c r="F25" s="153"/>
      <c r="G25" s="126"/>
    </row>
    <row r="26" spans="2:8">
      <c r="B26" s="146"/>
      <c r="C26" s="146"/>
      <c r="D26" s="146"/>
      <c r="E26" s="150"/>
      <c r="F26" s="153"/>
      <c r="G26" s="126"/>
    </row>
    <row r="27" spans="2:8">
      <c r="B27" s="146"/>
      <c r="C27" s="146"/>
      <c r="D27" s="146"/>
      <c r="E27" s="150"/>
      <c r="F27" s="153"/>
      <c r="G27" s="126"/>
    </row>
    <row r="28" spans="2:8">
      <c r="B28" s="146"/>
      <c r="C28" s="146"/>
      <c r="D28" s="146"/>
      <c r="E28" s="150"/>
      <c r="F28" s="153"/>
      <c r="G28" s="126"/>
    </row>
    <row r="29" spans="2:8">
      <c r="B29" s="146"/>
      <c r="C29" s="146"/>
      <c r="D29" s="146"/>
      <c r="E29" s="150"/>
      <c r="F29" s="153"/>
      <c r="G29" s="126"/>
    </row>
    <row r="30" spans="2:8">
      <c r="B30" s="146"/>
      <c r="C30" s="146"/>
      <c r="D30" s="146"/>
      <c r="E30" s="150"/>
      <c r="F30" s="153"/>
      <c r="G30" s="126"/>
    </row>
    <row r="31" spans="2:8">
      <c r="B31" s="146"/>
      <c r="C31" s="146"/>
      <c r="D31" s="146"/>
      <c r="E31" s="150"/>
      <c r="F31" s="153"/>
      <c r="G31" s="126"/>
    </row>
    <row r="32" spans="2:8">
      <c r="B32" s="146"/>
      <c r="C32" s="146"/>
      <c r="D32" s="146"/>
      <c r="E32" s="150"/>
      <c r="F32" s="153"/>
      <c r="G32" s="126"/>
    </row>
    <row r="33" spans="2:7">
      <c r="B33" s="146"/>
      <c r="C33" s="146"/>
      <c r="D33" s="146"/>
      <c r="E33" s="150"/>
      <c r="F33" s="153"/>
      <c r="G33" s="126"/>
    </row>
    <row r="34" spans="2:7" ht="31.5" customHeight="1">
      <c r="B34" s="147"/>
      <c r="C34" s="147"/>
      <c r="D34" s="147"/>
      <c r="E34" s="151"/>
      <c r="F34" s="153"/>
      <c r="G34" s="12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4:K20"/>
  <sheetViews>
    <sheetView topLeftCell="C9" zoomScale="80" zoomScaleNormal="80" workbookViewId="0">
      <selection activeCell="E18" sqref="E18:E19"/>
    </sheetView>
  </sheetViews>
  <sheetFormatPr defaultColWidth="11.42578125" defaultRowHeight="14.45"/>
  <cols>
    <col min="3" max="3" width="34.5703125" customWidth="1"/>
    <col min="4" max="4" width="29.42578125" customWidth="1"/>
    <col min="5" max="5" width="36.5703125" customWidth="1"/>
    <col min="6" max="6" width="51.7109375" customWidth="1"/>
    <col min="7" max="7" width="62.7109375" customWidth="1"/>
    <col min="8" max="8" width="56.5703125" customWidth="1"/>
    <col min="9" max="9" width="54.42578125" customWidth="1"/>
    <col min="10" max="10" width="35.85546875" customWidth="1"/>
    <col min="11" max="11" width="33" customWidth="1"/>
  </cols>
  <sheetData>
    <row r="4" spans="3:11">
      <c r="C4" s="181" t="s">
        <v>42</v>
      </c>
      <c r="D4" s="183" t="s">
        <v>43</v>
      </c>
      <c r="E4" s="183"/>
      <c r="F4" s="184" t="s">
        <v>44</v>
      </c>
      <c r="G4" s="183" t="s">
        <v>45</v>
      </c>
      <c r="H4" s="183"/>
      <c r="I4" s="183"/>
      <c r="J4" s="183"/>
      <c r="K4" s="183"/>
    </row>
    <row r="5" spans="3:11" ht="54" customHeight="1">
      <c r="C5" s="182"/>
      <c r="D5" s="83" t="s">
        <v>42</v>
      </c>
      <c r="E5" s="46" t="s">
        <v>46</v>
      </c>
      <c r="F5" s="185"/>
      <c r="G5" s="46" t="s">
        <v>47</v>
      </c>
      <c r="H5" s="46" t="s">
        <v>48</v>
      </c>
      <c r="I5" s="46" t="s">
        <v>49</v>
      </c>
      <c r="J5" s="46" t="s">
        <v>50</v>
      </c>
      <c r="K5" s="46" t="s">
        <v>51</v>
      </c>
    </row>
    <row r="6" spans="3:11" ht="58.15" thickBot="1">
      <c r="C6" s="82" t="s">
        <v>52</v>
      </c>
      <c r="D6" s="63" t="s">
        <v>53</v>
      </c>
      <c r="E6" s="63" t="s">
        <v>54</v>
      </c>
      <c r="F6" s="63" t="s">
        <v>55</v>
      </c>
      <c r="G6" s="50" t="s">
        <v>56</v>
      </c>
      <c r="H6" s="50" t="s">
        <v>57</v>
      </c>
      <c r="I6" s="50" t="s">
        <v>58</v>
      </c>
      <c r="J6" s="50" t="s">
        <v>16</v>
      </c>
      <c r="K6" s="50" t="s">
        <v>59</v>
      </c>
    </row>
    <row r="7" spans="3:11" ht="43.15">
      <c r="C7" s="162" t="s">
        <v>60</v>
      </c>
      <c r="D7" s="159">
        <v>30</v>
      </c>
      <c r="E7" s="180">
        <v>30</v>
      </c>
      <c r="F7" s="52" t="s">
        <v>61</v>
      </c>
      <c r="G7" s="179" t="s">
        <v>62</v>
      </c>
      <c r="H7" s="179" t="s">
        <v>63</v>
      </c>
      <c r="I7" s="179" t="s">
        <v>64</v>
      </c>
      <c r="J7" s="188" t="s">
        <v>65</v>
      </c>
      <c r="K7" s="174" t="s">
        <v>66</v>
      </c>
    </row>
    <row r="8" spans="3:11" ht="58.15" thickBot="1">
      <c r="C8" s="164"/>
      <c r="D8" s="161"/>
      <c r="E8" s="190"/>
      <c r="F8" s="54" t="s">
        <v>67</v>
      </c>
      <c r="G8" s="186"/>
      <c r="H8" s="187"/>
      <c r="I8" s="187"/>
      <c r="J8" s="166"/>
      <c r="K8" s="189"/>
    </row>
    <row r="9" spans="3:11" ht="43.15">
      <c r="C9" s="157" t="s">
        <v>68</v>
      </c>
      <c r="D9" s="180">
        <v>30</v>
      </c>
      <c r="E9" s="180">
        <v>10</v>
      </c>
      <c r="F9" s="52" t="s">
        <v>69</v>
      </c>
      <c r="G9" s="179" t="s">
        <v>70</v>
      </c>
      <c r="H9" s="179" t="s">
        <v>71</v>
      </c>
      <c r="I9" s="179" t="s">
        <v>72</v>
      </c>
      <c r="J9" s="179" t="s">
        <v>73</v>
      </c>
      <c r="K9" s="174" t="s">
        <v>66</v>
      </c>
    </row>
    <row r="10" spans="3:11" ht="43.15">
      <c r="C10" s="158"/>
      <c r="D10" s="171"/>
      <c r="E10" s="176"/>
      <c r="F10" s="41" t="s">
        <v>74</v>
      </c>
      <c r="G10" s="177"/>
      <c r="H10" s="177"/>
      <c r="I10" s="177"/>
      <c r="J10" s="177"/>
      <c r="K10" s="175"/>
    </row>
    <row r="11" spans="3:11" ht="57.6">
      <c r="C11" s="158"/>
      <c r="D11" s="171"/>
      <c r="E11" s="170">
        <v>10</v>
      </c>
      <c r="F11" s="41" t="s">
        <v>75</v>
      </c>
      <c r="G11" s="172" t="s">
        <v>76</v>
      </c>
      <c r="H11" s="172" t="s">
        <v>77</v>
      </c>
      <c r="I11" s="172" t="s">
        <v>78</v>
      </c>
      <c r="J11" s="172" t="s">
        <v>79</v>
      </c>
      <c r="K11" s="178" t="s">
        <v>66</v>
      </c>
    </row>
    <row r="12" spans="3:11" ht="28.9">
      <c r="C12" s="158"/>
      <c r="D12" s="171"/>
      <c r="E12" s="176"/>
      <c r="F12" s="41" t="s">
        <v>80</v>
      </c>
      <c r="G12" s="177"/>
      <c r="H12" s="177"/>
      <c r="I12" s="177"/>
      <c r="J12" s="177"/>
      <c r="K12" s="175"/>
    </row>
    <row r="13" spans="3:11" ht="72">
      <c r="C13" s="158"/>
      <c r="D13" s="171"/>
      <c r="E13" s="170">
        <v>10</v>
      </c>
      <c r="F13" s="41" t="s">
        <v>81</v>
      </c>
      <c r="G13" s="172" t="s">
        <v>82</v>
      </c>
      <c r="H13" s="172" t="s">
        <v>83</v>
      </c>
      <c r="I13" s="172" t="s">
        <v>84</v>
      </c>
      <c r="J13" s="149" t="s">
        <v>85</v>
      </c>
      <c r="K13" s="178" t="s">
        <v>66</v>
      </c>
    </row>
    <row r="14" spans="3:11" ht="58.15" thickBot="1">
      <c r="C14" s="158"/>
      <c r="D14" s="171"/>
      <c r="E14" s="171"/>
      <c r="F14" s="55" t="s">
        <v>86</v>
      </c>
      <c r="G14" s="173"/>
      <c r="H14" s="173"/>
      <c r="I14" s="173"/>
      <c r="J14" s="150"/>
      <c r="K14" s="191"/>
    </row>
    <row r="15" spans="3:11" ht="100.9">
      <c r="C15" s="162" t="s">
        <v>87</v>
      </c>
      <c r="D15" s="159">
        <v>30</v>
      </c>
      <c r="E15" s="51">
        <v>10</v>
      </c>
      <c r="F15" s="165" t="s">
        <v>88</v>
      </c>
      <c r="G15" s="52" t="s">
        <v>89</v>
      </c>
      <c r="H15" s="56" t="s">
        <v>90</v>
      </c>
      <c r="I15" s="57" t="s">
        <v>91</v>
      </c>
      <c r="J15" s="52" t="s">
        <v>92</v>
      </c>
      <c r="K15" s="58" t="s">
        <v>66</v>
      </c>
    </row>
    <row r="16" spans="3:11" ht="72">
      <c r="C16" s="163"/>
      <c r="D16" s="160"/>
      <c r="E16" s="47">
        <v>10</v>
      </c>
      <c r="F16" s="146"/>
      <c r="G16" s="41" t="s">
        <v>93</v>
      </c>
      <c r="H16" s="49" t="s">
        <v>94</v>
      </c>
      <c r="I16" s="41" t="s">
        <v>95</v>
      </c>
      <c r="J16" s="44" t="s">
        <v>96</v>
      </c>
      <c r="K16" s="59" t="s">
        <v>59</v>
      </c>
    </row>
    <row r="17" spans="1:11" ht="72.599999999999994" thickBot="1">
      <c r="C17" s="164"/>
      <c r="D17" s="161"/>
      <c r="E17" s="53">
        <v>10</v>
      </c>
      <c r="F17" s="166"/>
      <c r="G17" s="54" t="s">
        <v>97</v>
      </c>
      <c r="H17" s="54" t="s">
        <v>98</v>
      </c>
      <c r="I17" s="54" t="s">
        <v>99</v>
      </c>
      <c r="J17" s="54" t="s">
        <v>100</v>
      </c>
      <c r="K17" s="60" t="s">
        <v>59</v>
      </c>
    </row>
    <row r="18" spans="1:11" ht="45" customHeight="1">
      <c r="A18" s="155"/>
      <c r="C18" s="167" t="s">
        <v>101</v>
      </c>
      <c r="D18" s="168">
        <v>10</v>
      </c>
      <c r="E18" s="168">
        <v>10</v>
      </c>
      <c r="F18" s="48" t="s">
        <v>102</v>
      </c>
      <c r="G18" s="151" t="s">
        <v>103</v>
      </c>
      <c r="H18" s="151" t="s">
        <v>104</v>
      </c>
      <c r="I18" s="151" t="s">
        <v>105</v>
      </c>
      <c r="J18" s="151" t="s">
        <v>106</v>
      </c>
      <c r="K18" s="61" t="s">
        <v>59</v>
      </c>
    </row>
    <row r="19" spans="1:11" ht="43.9" thickBot="1">
      <c r="A19" s="156"/>
      <c r="C19" s="164"/>
      <c r="D19" s="169"/>
      <c r="E19" s="169"/>
      <c r="F19" s="54" t="s">
        <v>107</v>
      </c>
      <c r="G19" s="154"/>
      <c r="H19" s="154"/>
      <c r="I19" s="154"/>
      <c r="J19" s="154"/>
      <c r="K19" s="59" t="s">
        <v>59</v>
      </c>
    </row>
    <row r="20" spans="1:11" ht="18">
      <c r="D20" s="84">
        <v>100</v>
      </c>
      <c r="E20" s="84">
        <v>100</v>
      </c>
    </row>
  </sheetData>
  <mergeCells count="43">
    <mergeCell ref="D9:D14"/>
    <mergeCell ref="J13:J14"/>
    <mergeCell ref="C4:C5"/>
    <mergeCell ref="D4:E4"/>
    <mergeCell ref="F4:F5"/>
    <mergeCell ref="G4:K4"/>
    <mergeCell ref="G7:G8"/>
    <mergeCell ref="H7:H8"/>
    <mergeCell ref="I7:I8"/>
    <mergeCell ref="J7:J8"/>
    <mergeCell ref="K7:K8"/>
    <mergeCell ref="C7:C8"/>
    <mergeCell ref="D7:D8"/>
    <mergeCell ref="E7:E8"/>
    <mergeCell ref="K13:K14"/>
    <mergeCell ref="J9:J10"/>
    <mergeCell ref="K9:K10"/>
    <mergeCell ref="E11:E12"/>
    <mergeCell ref="G11:G12"/>
    <mergeCell ref="H11:H12"/>
    <mergeCell ref="I11:I12"/>
    <mergeCell ref="J11:J12"/>
    <mergeCell ref="K11:K12"/>
    <mergeCell ref="I9:I10"/>
    <mergeCell ref="E9:E10"/>
    <mergeCell ref="G9:G10"/>
    <mergeCell ref="H9:H10"/>
    <mergeCell ref="I18:I19"/>
    <mergeCell ref="J18:J19"/>
    <mergeCell ref="A18:A19"/>
    <mergeCell ref="C9:C14"/>
    <mergeCell ref="D15:D17"/>
    <mergeCell ref="C15:C17"/>
    <mergeCell ref="F15:F17"/>
    <mergeCell ref="C18:C19"/>
    <mergeCell ref="D18:D19"/>
    <mergeCell ref="E18:E19"/>
    <mergeCell ref="G18:G19"/>
    <mergeCell ref="H18:H19"/>
    <mergeCell ref="E13:E14"/>
    <mergeCell ref="G13:G14"/>
    <mergeCell ref="H13:H14"/>
    <mergeCell ref="I13:I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Z154"/>
  <sheetViews>
    <sheetView topLeftCell="G73" workbookViewId="0">
      <selection activeCell="J11" sqref="J11"/>
    </sheetView>
  </sheetViews>
  <sheetFormatPr defaultColWidth="9.140625" defaultRowHeight="15" customHeight="1"/>
  <cols>
    <col min="1" max="1" width="14.28515625" customWidth="1"/>
    <col min="2" max="2" width="11.42578125" customWidth="1"/>
    <col min="3" max="3" width="41.5703125" customWidth="1"/>
    <col min="4" max="4" width="20.85546875" hidden="1" customWidth="1"/>
    <col min="5" max="5" width="23" hidden="1" customWidth="1"/>
    <col min="6" max="6" width="31.85546875" hidden="1" customWidth="1"/>
    <col min="7" max="7" width="52.28515625" customWidth="1"/>
    <col min="8" max="10" width="14.28515625" customWidth="1"/>
    <col min="11" max="11" width="32.28515625" customWidth="1"/>
    <col min="12" max="12" width="61.85546875" customWidth="1"/>
    <col min="13" max="13" width="21.85546875" customWidth="1"/>
    <col min="14" max="14" width="23" customWidth="1"/>
    <col min="15" max="16" width="35.28515625" customWidth="1"/>
    <col min="17" max="17" width="33.42578125" customWidth="1"/>
    <col min="18" max="19" width="43.5703125" customWidth="1"/>
    <col min="20" max="20" width="41.7109375" customWidth="1"/>
    <col min="21" max="21" width="41.85546875" customWidth="1"/>
    <col min="22" max="23" width="44.5703125" customWidth="1"/>
    <col min="24" max="25" width="14.28515625" customWidth="1"/>
    <col min="26" max="26" width="18" customWidth="1"/>
  </cols>
  <sheetData>
    <row r="1" spans="1:26" s="3" customFormat="1" ht="93" customHeight="1">
      <c r="A1" s="196" t="s">
        <v>108</v>
      </c>
      <c r="B1" s="197"/>
      <c r="C1" s="197"/>
      <c r="D1" s="197"/>
      <c r="E1" s="197"/>
      <c r="F1" s="197"/>
      <c r="G1" s="197"/>
      <c r="H1" s="197"/>
      <c r="I1" s="197"/>
      <c r="J1" s="198"/>
      <c r="K1" s="202" t="s">
        <v>109</v>
      </c>
      <c r="L1" s="203"/>
      <c r="M1" s="206" t="s">
        <v>110</v>
      </c>
      <c r="N1" s="207"/>
      <c r="O1" s="207"/>
      <c r="P1" s="207"/>
      <c r="Q1" s="207"/>
      <c r="R1" s="208"/>
      <c r="S1" s="217" t="s">
        <v>111</v>
      </c>
      <c r="T1" s="218"/>
      <c r="U1" s="218"/>
      <c r="V1" s="213" t="s">
        <v>112</v>
      </c>
      <c r="W1" s="214"/>
      <c r="X1" s="192"/>
      <c r="Y1" s="192"/>
      <c r="Z1" s="193"/>
    </row>
    <row r="2" spans="1:26" s="3" customFormat="1" ht="63.75" customHeight="1" thickBot="1">
      <c r="A2" s="199"/>
      <c r="B2" s="200"/>
      <c r="C2" s="200"/>
      <c r="D2" s="200"/>
      <c r="E2" s="200"/>
      <c r="F2" s="200"/>
      <c r="G2" s="200"/>
      <c r="H2" s="200"/>
      <c r="I2" s="200"/>
      <c r="J2" s="201"/>
      <c r="K2" s="204"/>
      <c r="L2" s="205"/>
      <c r="M2" s="209"/>
      <c r="N2" s="210"/>
      <c r="O2" s="211"/>
      <c r="P2" s="211"/>
      <c r="Q2" s="211"/>
      <c r="R2" s="212"/>
      <c r="S2" s="219"/>
      <c r="T2" s="220"/>
      <c r="U2" s="220"/>
      <c r="V2" s="215"/>
      <c r="W2" s="216"/>
      <c r="X2" s="194"/>
      <c r="Y2" s="194"/>
      <c r="Z2" s="195"/>
    </row>
    <row r="3" spans="1:26" s="1" customFormat="1" ht="114.75" customHeight="1" thickBot="1">
      <c r="A3" s="32" t="s">
        <v>113</v>
      </c>
      <c r="B3" s="32" t="s">
        <v>114</v>
      </c>
      <c r="C3" s="32" t="s">
        <v>115</v>
      </c>
      <c r="D3" s="32" t="s">
        <v>116</v>
      </c>
      <c r="E3" s="32" t="s">
        <v>117</v>
      </c>
      <c r="F3" s="32" t="s">
        <v>118</v>
      </c>
      <c r="G3" s="32" t="s">
        <v>119</v>
      </c>
      <c r="H3" s="33" t="s">
        <v>120</v>
      </c>
      <c r="I3" s="33" t="s">
        <v>121</v>
      </c>
      <c r="J3" s="33" t="s">
        <v>122</v>
      </c>
      <c r="K3" s="31" t="s">
        <v>123</v>
      </c>
      <c r="L3" s="67" t="s">
        <v>124</v>
      </c>
      <c r="M3" s="69" t="s">
        <v>125</v>
      </c>
      <c r="N3" s="70" t="s">
        <v>126</v>
      </c>
      <c r="O3" s="71" t="s">
        <v>127</v>
      </c>
      <c r="P3" s="72" t="s">
        <v>128</v>
      </c>
      <c r="Q3" s="73" t="s">
        <v>129</v>
      </c>
      <c r="R3" s="72" t="s">
        <v>130</v>
      </c>
      <c r="S3" s="77" t="s">
        <v>131</v>
      </c>
      <c r="T3" s="79" t="s">
        <v>132</v>
      </c>
      <c r="U3" s="78" t="s">
        <v>133</v>
      </c>
      <c r="V3" s="62" t="s">
        <v>134</v>
      </c>
      <c r="W3" s="64" t="s">
        <v>135</v>
      </c>
      <c r="X3" s="74" t="s">
        <v>136</v>
      </c>
      <c r="Y3" s="75" t="s">
        <v>137</v>
      </c>
      <c r="Z3" s="75" t="s">
        <v>138</v>
      </c>
    </row>
    <row r="4" spans="1:26">
      <c r="A4" s="80">
        <v>17578967</v>
      </c>
      <c r="B4" s="80">
        <v>7</v>
      </c>
      <c r="C4" s="80" t="s">
        <v>139</v>
      </c>
      <c r="D4" s="81" t="s">
        <v>140</v>
      </c>
      <c r="E4" s="81" t="s">
        <v>141</v>
      </c>
      <c r="F4" s="98" t="s">
        <v>142</v>
      </c>
      <c r="G4" s="99" t="s">
        <v>143</v>
      </c>
      <c r="H4" s="100" t="s">
        <v>144</v>
      </c>
      <c r="I4" s="35"/>
      <c r="J4" s="38"/>
      <c r="K4" s="38"/>
      <c r="L4" s="38"/>
      <c r="M4" s="68"/>
      <c r="N4" s="68"/>
      <c r="O4" s="68"/>
      <c r="P4" s="68"/>
      <c r="Q4" s="68"/>
      <c r="R4" s="68"/>
      <c r="S4" s="38"/>
      <c r="T4" s="38"/>
      <c r="U4" s="38"/>
      <c r="V4" s="38"/>
      <c r="W4" s="65"/>
      <c r="X4" s="38"/>
      <c r="Y4" s="76"/>
      <c r="Z4" s="38"/>
    </row>
    <row r="5" spans="1:26">
      <c r="A5" s="80">
        <v>17632543</v>
      </c>
      <c r="B5" s="80">
        <v>7</v>
      </c>
      <c r="C5" s="80" t="s">
        <v>145</v>
      </c>
      <c r="D5" s="81" t="s">
        <v>146</v>
      </c>
      <c r="E5" s="81" t="s">
        <v>147</v>
      </c>
      <c r="F5" s="98" t="s">
        <v>148</v>
      </c>
      <c r="G5" s="99" t="s">
        <v>143</v>
      </c>
      <c r="H5" s="100" t="s">
        <v>144</v>
      </c>
      <c r="I5" s="36"/>
      <c r="J5" s="34"/>
      <c r="K5" s="34"/>
      <c r="L5" s="34"/>
      <c r="M5" s="34"/>
      <c r="N5" s="34"/>
      <c r="O5" s="34"/>
      <c r="P5" s="34"/>
      <c r="Q5" s="34"/>
      <c r="R5" s="34"/>
      <c r="S5" s="34"/>
      <c r="T5" s="34"/>
      <c r="U5" s="34"/>
      <c r="V5" s="34"/>
      <c r="W5" s="66"/>
      <c r="X5" s="38"/>
      <c r="Y5" s="34"/>
      <c r="Z5" s="34"/>
    </row>
    <row r="6" spans="1:26" ht="29.25">
      <c r="A6" s="80">
        <v>18858105</v>
      </c>
      <c r="B6" s="80">
        <v>6</v>
      </c>
      <c r="C6" s="80" t="s">
        <v>149</v>
      </c>
      <c r="D6" s="81" t="s">
        <v>150</v>
      </c>
      <c r="E6" s="81" t="s">
        <v>151</v>
      </c>
      <c r="F6" s="98" t="s">
        <v>152</v>
      </c>
      <c r="G6" s="101" t="s">
        <v>153</v>
      </c>
      <c r="H6" s="102" t="s">
        <v>154</v>
      </c>
      <c r="I6" s="36"/>
      <c r="J6" s="34"/>
      <c r="K6" s="34"/>
      <c r="L6" s="34"/>
      <c r="M6" s="34"/>
      <c r="N6" s="34"/>
      <c r="O6" s="34"/>
      <c r="P6" s="34"/>
      <c r="Q6" s="34"/>
      <c r="R6" s="34"/>
      <c r="S6" s="34"/>
      <c r="T6" s="34"/>
      <c r="U6" s="34"/>
      <c r="V6" s="34"/>
      <c r="W6" s="66"/>
      <c r="X6" s="38"/>
      <c r="Y6" s="34"/>
      <c r="Z6" s="34"/>
    </row>
    <row r="7" spans="1:26">
      <c r="A7" s="80">
        <v>19048320</v>
      </c>
      <c r="B7" s="80">
        <v>7</v>
      </c>
      <c r="C7" s="80" t="s">
        <v>155</v>
      </c>
      <c r="D7" s="81" t="s">
        <v>156</v>
      </c>
      <c r="E7" s="81" t="s">
        <v>157</v>
      </c>
      <c r="F7" s="98" t="s">
        <v>158</v>
      </c>
      <c r="G7" s="101" t="s">
        <v>153</v>
      </c>
      <c r="H7" s="102" t="s">
        <v>159</v>
      </c>
      <c r="I7" s="103">
        <v>45764</v>
      </c>
      <c r="J7" s="41"/>
      <c r="K7" s="41">
        <v>2</v>
      </c>
      <c r="L7" s="34">
        <v>2</v>
      </c>
      <c r="M7" s="34">
        <v>2</v>
      </c>
      <c r="N7" s="34">
        <v>2</v>
      </c>
      <c r="O7" s="34">
        <v>2</v>
      </c>
      <c r="P7" s="34">
        <v>2</v>
      </c>
      <c r="Q7" s="34">
        <v>2</v>
      </c>
      <c r="R7" s="34">
        <v>2</v>
      </c>
      <c r="S7" s="34">
        <v>2</v>
      </c>
      <c r="T7" s="34">
        <v>2</v>
      </c>
      <c r="U7" s="34">
        <v>2</v>
      </c>
      <c r="V7" s="34">
        <v>2</v>
      </c>
      <c r="W7" s="66">
        <v>2</v>
      </c>
      <c r="X7" s="38">
        <f t="shared" ref="X5:X68" si="0">SUM(K7:W7)</f>
        <v>26</v>
      </c>
      <c r="Y7" s="107">
        <f>X7/52</f>
        <v>0.5</v>
      </c>
      <c r="Z7" s="108"/>
    </row>
    <row r="8" spans="1:26">
      <c r="A8" s="80">
        <v>19341649</v>
      </c>
      <c r="B8" s="80">
        <v>7</v>
      </c>
      <c r="C8" s="80" t="s">
        <v>160</v>
      </c>
      <c r="D8" s="81" t="s">
        <v>161</v>
      </c>
      <c r="E8" s="81" t="s">
        <v>162</v>
      </c>
      <c r="F8" s="98" t="s">
        <v>163</v>
      </c>
      <c r="G8" s="101" t="s">
        <v>143</v>
      </c>
      <c r="H8" s="102" t="s">
        <v>144</v>
      </c>
      <c r="I8" s="42"/>
      <c r="J8" s="41"/>
      <c r="K8" s="41"/>
      <c r="L8" s="34"/>
      <c r="M8" s="34"/>
      <c r="N8" s="34"/>
      <c r="O8" s="34"/>
      <c r="P8" s="34"/>
      <c r="Q8" s="34"/>
      <c r="R8" s="34"/>
      <c r="S8" s="34"/>
      <c r="T8" s="34"/>
      <c r="U8" s="34"/>
      <c r="V8" s="34"/>
      <c r="W8" s="66"/>
      <c r="X8" s="38"/>
      <c r="Y8" s="107"/>
      <c r="Z8" s="34"/>
    </row>
    <row r="9" spans="1:26">
      <c r="A9" s="80">
        <v>19406881</v>
      </c>
      <c r="B9" s="80">
        <v>6</v>
      </c>
      <c r="C9" s="80" t="s">
        <v>164</v>
      </c>
      <c r="D9" s="81" t="s">
        <v>165</v>
      </c>
      <c r="E9" s="81" t="s">
        <v>166</v>
      </c>
      <c r="F9" s="98" t="s">
        <v>167</v>
      </c>
      <c r="G9" s="101" t="s">
        <v>153</v>
      </c>
      <c r="H9" s="102" t="s">
        <v>159</v>
      </c>
      <c r="I9" s="103">
        <v>45764</v>
      </c>
      <c r="J9" s="41"/>
      <c r="K9" s="41">
        <v>4</v>
      </c>
      <c r="L9" s="34">
        <v>4</v>
      </c>
      <c r="M9" s="34">
        <v>2</v>
      </c>
      <c r="N9" s="34">
        <v>1</v>
      </c>
      <c r="O9" s="34">
        <v>1</v>
      </c>
      <c r="P9" s="34">
        <v>2</v>
      </c>
      <c r="Q9" s="34">
        <v>1</v>
      </c>
      <c r="R9" s="34">
        <v>2</v>
      </c>
      <c r="S9" s="34">
        <v>2</v>
      </c>
      <c r="T9" s="34">
        <v>2</v>
      </c>
      <c r="U9" s="34">
        <v>2</v>
      </c>
      <c r="V9" s="34">
        <v>3</v>
      </c>
      <c r="W9" s="66">
        <v>2</v>
      </c>
      <c r="X9" s="38">
        <f t="shared" si="0"/>
        <v>28</v>
      </c>
      <c r="Y9" s="107">
        <f t="shared" ref="Y8:Y71" si="1">X9/52</f>
        <v>0.53846153846153844</v>
      </c>
      <c r="Z9" s="34"/>
    </row>
    <row r="10" spans="1:26">
      <c r="A10" s="80">
        <v>19647892</v>
      </c>
      <c r="B10" s="80">
        <v>2</v>
      </c>
      <c r="C10" s="80" t="s">
        <v>168</v>
      </c>
      <c r="D10" s="81" t="s">
        <v>150</v>
      </c>
      <c r="E10" s="81" t="s">
        <v>169</v>
      </c>
      <c r="F10" s="98" t="s">
        <v>170</v>
      </c>
      <c r="G10" s="99" t="s">
        <v>143</v>
      </c>
      <c r="H10" s="100" t="s">
        <v>144</v>
      </c>
      <c r="I10" s="43"/>
      <c r="J10" s="41"/>
      <c r="K10" s="41"/>
      <c r="L10" s="34"/>
      <c r="M10" s="34"/>
      <c r="N10" s="34"/>
      <c r="O10" s="34"/>
      <c r="P10" s="34"/>
      <c r="Q10" s="34"/>
      <c r="R10" s="34"/>
      <c r="S10" s="34"/>
      <c r="T10" s="34"/>
      <c r="U10" s="34"/>
      <c r="V10" s="34"/>
      <c r="W10" s="66"/>
      <c r="X10" s="38"/>
      <c r="Y10" s="107"/>
      <c r="Z10" s="34"/>
    </row>
    <row r="11" spans="1:26">
      <c r="A11" s="80">
        <v>19881734</v>
      </c>
      <c r="B11" s="80">
        <v>1</v>
      </c>
      <c r="C11" s="80" t="s">
        <v>171</v>
      </c>
      <c r="D11" s="81" t="s">
        <v>172</v>
      </c>
      <c r="E11" s="81" t="s">
        <v>173</v>
      </c>
      <c r="F11" s="98" t="s">
        <v>174</v>
      </c>
      <c r="G11" s="99" t="s">
        <v>143</v>
      </c>
      <c r="H11" s="100" t="s">
        <v>144</v>
      </c>
      <c r="I11" s="43"/>
      <c r="J11" s="41"/>
      <c r="K11" s="41"/>
      <c r="L11" s="34"/>
      <c r="M11" s="34"/>
      <c r="N11" s="34"/>
      <c r="O11" s="34"/>
      <c r="P11" s="34"/>
      <c r="Q11" s="34"/>
      <c r="R11" s="34"/>
      <c r="S11" s="34"/>
      <c r="T11" s="34"/>
      <c r="U11" s="34"/>
      <c r="V11" s="34"/>
      <c r="W11" s="66"/>
      <c r="X11" s="38"/>
      <c r="Y11" s="107"/>
      <c r="Z11" s="34"/>
    </row>
    <row r="12" spans="1:26">
      <c r="A12" s="80">
        <v>20096834</v>
      </c>
      <c r="B12" s="80">
        <v>4</v>
      </c>
      <c r="C12" s="80" t="s">
        <v>175</v>
      </c>
      <c r="D12" s="81" t="s">
        <v>176</v>
      </c>
      <c r="E12" s="81" t="s">
        <v>177</v>
      </c>
      <c r="F12" s="98" t="s">
        <v>178</v>
      </c>
      <c r="G12" s="101" t="s">
        <v>153</v>
      </c>
      <c r="H12" s="102" t="s">
        <v>159</v>
      </c>
      <c r="I12" s="103">
        <v>45764</v>
      </c>
      <c r="J12" s="41"/>
      <c r="K12" s="41">
        <v>4</v>
      </c>
      <c r="L12" s="34">
        <v>4</v>
      </c>
      <c r="M12" s="34">
        <v>2</v>
      </c>
      <c r="N12" s="34">
        <v>3</v>
      </c>
      <c r="O12" s="34">
        <v>4</v>
      </c>
      <c r="P12" s="34">
        <v>2</v>
      </c>
      <c r="Q12" s="34">
        <v>3</v>
      </c>
      <c r="R12" s="34">
        <v>3</v>
      </c>
      <c r="S12" s="34">
        <v>2</v>
      </c>
      <c r="T12" s="34">
        <v>4</v>
      </c>
      <c r="U12" s="34">
        <v>2</v>
      </c>
      <c r="V12" s="34">
        <v>3</v>
      </c>
      <c r="W12" s="66">
        <v>1</v>
      </c>
      <c r="X12" s="38">
        <f t="shared" si="0"/>
        <v>37</v>
      </c>
      <c r="Y12" s="107">
        <f t="shared" si="1"/>
        <v>0.71153846153846156</v>
      </c>
      <c r="Z12" s="34"/>
    </row>
    <row r="13" spans="1:26">
      <c r="A13" s="80">
        <v>20186024</v>
      </c>
      <c r="B13" s="80">
        <v>5</v>
      </c>
      <c r="C13" s="80" t="s">
        <v>179</v>
      </c>
      <c r="D13" s="81" t="s">
        <v>180</v>
      </c>
      <c r="E13" s="81" t="s">
        <v>181</v>
      </c>
      <c r="F13" s="98" t="s">
        <v>182</v>
      </c>
      <c r="G13" s="101" t="s">
        <v>153</v>
      </c>
      <c r="H13" s="102" t="s">
        <v>159</v>
      </c>
      <c r="I13" s="103">
        <v>45764</v>
      </c>
      <c r="J13" s="41"/>
      <c r="K13" s="41">
        <v>1</v>
      </c>
      <c r="L13" s="34">
        <v>2</v>
      </c>
      <c r="M13" s="34">
        <v>3</v>
      </c>
      <c r="N13" s="34">
        <v>3</v>
      </c>
      <c r="O13" s="34">
        <v>2</v>
      </c>
      <c r="P13" s="34">
        <v>3</v>
      </c>
      <c r="Q13" s="34">
        <v>3</v>
      </c>
      <c r="R13" s="34">
        <v>3</v>
      </c>
      <c r="S13" s="34">
        <v>2</v>
      </c>
      <c r="T13" s="34">
        <v>2</v>
      </c>
      <c r="U13" s="34">
        <v>2</v>
      </c>
      <c r="V13" s="34">
        <v>3</v>
      </c>
      <c r="W13" s="66">
        <v>3</v>
      </c>
      <c r="X13" s="38">
        <f t="shared" si="0"/>
        <v>32</v>
      </c>
      <c r="Y13" s="107">
        <f t="shared" si="1"/>
        <v>0.61538461538461542</v>
      </c>
      <c r="Z13" s="34"/>
    </row>
    <row r="14" spans="1:26">
      <c r="A14" s="80">
        <v>20282812</v>
      </c>
      <c r="B14" s="80">
        <v>4</v>
      </c>
      <c r="C14" s="80" t="s">
        <v>183</v>
      </c>
      <c r="D14" s="81" t="s">
        <v>184</v>
      </c>
      <c r="E14" s="81" t="s">
        <v>185</v>
      </c>
      <c r="F14" s="98" t="s">
        <v>186</v>
      </c>
      <c r="G14" s="99" t="s">
        <v>143</v>
      </c>
      <c r="H14" s="100" t="s">
        <v>144</v>
      </c>
      <c r="I14" s="43"/>
      <c r="J14" s="41"/>
      <c r="K14" s="41"/>
      <c r="L14" s="34"/>
      <c r="M14" s="34"/>
      <c r="N14" s="34"/>
      <c r="O14" s="34"/>
      <c r="P14" s="34"/>
      <c r="Q14" s="34"/>
      <c r="R14" s="34"/>
      <c r="S14" s="34"/>
      <c r="T14" s="34"/>
      <c r="U14" s="34"/>
      <c r="V14" s="34"/>
      <c r="W14" s="66"/>
      <c r="X14" s="38"/>
      <c r="Y14" s="107"/>
      <c r="Z14" s="34"/>
    </row>
    <row r="15" spans="1:26">
      <c r="A15" s="80">
        <v>20344962</v>
      </c>
      <c r="B15" s="80">
        <v>3</v>
      </c>
      <c r="C15" s="80" t="s">
        <v>187</v>
      </c>
      <c r="D15" s="81" t="s">
        <v>188</v>
      </c>
      <c r="E15" s="81" t="s">
        <v>189</v>
      </c>
      <c r="F15" s="98" t="s">
        <v>190</v>
      </c>
      <c r="G15" s="101" t="s">
        <v>153</v>
      </c>
      <c r="H15" s="102" t="s">
        <v>159</v>
      </c>
      <c r="I15" s="103">
        <v>45764</v>
      </c>
      <c r="J15" s="41"/>
      <c r="K15" s="41">
        <v>3</v>
      </c>
      <c r="L15" s="34">
        <v>2</v>
      </c>
      <c r="M15" s="34">
        <v>4</v>
      </c>
      <c r="N15" s="34">
        <v>4</v>
      </c>
      <c r="O15" s="34">
        <v>3</v>
      </c>
      <c r="P15" s="34">
        <v>4</v>
      </c>
      <c r="Q15" s="34">
        <v>3</v>
      </c>
      <c r="R15" s="34">
        <v>3</v>
      </c>
      <c r="S15" s="34">
        <v>2</v>
      </c>
      <c r="T15" s="34">
        <v>2</v>
      </c>
      <c r="U15" s="34">
        <v>2</v>
      </c>
      <c r="V15" s="34">
        <v>3</v>
      </c>
      <c r="W15" s="66">
        <v>3</v>
      </c>
      <c r="X15" s="38">
        <f t="shared" si="0"/>
        <v>38</v>
      </c>
      <c r="Y15" s="107">
        <f t="shared" si="1"/>
        <v>0.73076923076923073</v>
      </c>
      <c r="Z15" s="34"/>
    </row>
    <row r="16" spans="1:26">
      <c r="A16" s="80">
        <v>20383771</v>
      </c>
      <c r="B16" s="80">
        <v>2</v>
      </c>
      <c r="C16" s="80" t="s">
        <v>191</v>
      </c>
      <c r="D16" s="81" t="s">
        <v>192</v>
      </c>
      <c r="E16" s="81" t="s">
        <v>193</v>
      </c>
      <c r="F16" s="98" t="s">
        <v>194</v>
      </c>
      <c r="G16" s="101" t="s">
        <v>153</v>
      </c>
      <c r="H16" s="102" t="s">
        <v>159</v>
      </c>
      <c r="I16" s="103">
        <v>45764</v>
      </c>
      <c r="J16" s="41"/>
      <c r="K16" s="41">
        <v>3</v>
      </c>
      <c r="L16" s="34">
        <v>3</v>
      </c>
      <c r="M16" s="34">
        <v>4</v>
      </c>
      <c r="N16" s="34">
        <v>4</v>
      </c>
      <c r="O16" s="34">
        <v>4</v>
      </c>
      <c r="P16" s="34">
        <v>4</v>
      </c>
      <c r="Q16" s="34">
        <v>4</v>
      </c>
      <c r="R16" s="34">
        <v>4</v>
      </c>
      <c r="S16" s="34">
        <v>4</v>
      </c>
      <c r="T16" s="34">
        <v>4</v>
      </c>
      <c r="U16" s="34">
        <v>4</v>
      </c>
      <c r="V16" s="34">
        <v>4</v>
      </c>
      <c r="W16" s="66">
        <v>4</v>
      </c>
      <c r="X16" s="38">
        <f t="shared" si="0"/>
        <v>50</v>
      </c>
      <c r="Y16" s="107">
        <f t="shared" si="1"/>
        <v>0.96153846153846156</v>
      </c>
      <c r="Z16" s="34"/>
    </row>
    <row r="17" spans="1:26">
      <c r="A17" s="80">
        <v>20451527</v>
      </c>
      <c r="B17" s="80">
        <v>1</v>
      </c>
      <c r="C17" s="80" t="s">
        <v>195</v>
      </c>
      <c r="D17" s="81" t="s">
        <v>196</v>
      </c>
      <c r="E17" s="81" t="s">
        <v>197</v>
      </c>
      <c r="F17" s="98" t="s">
        <v>198</v>
      </c>
      <c r="G17" s="101" t="s">
        <v>153</v>
      </c>
      <c r="H17" s="102" t="s">
        <v>159</v>
      </c>
      <c r="I17" s="103">
        <v>45764</v>
      </c>
      <c r="J17" s="27"/>
      <c r="K17" s="27">
        <v>3</v>
      </c>
      <c r="L17" s="27">
        <v>4</v>
      </c>
      <c r="M17" s="27">
        <v>4</v>
      </c>
      <c r="N17" s="27"/>
      <c r="O17" s="27"/>
      <c r="P17" s="27"/>
      <c r="Q17" s="27"/>
      <c r="R17" s="27"/>
      <c r="S17" s="27"/>
      <c r="T17" s="27"/>
      <c r="U17" s="27"/>
      <c r="V17" s="27"/>
      <c r="W17" s="45"/>
      <c r="X17" s="38">
        <f t="shared" si="0"/>
        <v>11</v>
      </c>
      <c r="Y17" s="107">
        <f t="shared" si="1"/>
        <v>0.21153846153846154</v>
      </c>
      <c r="Z17" s="27"/>
    </row>
    <row r="18" spans="1:26" ht="29.25">
      <c r="A18" s="80">
        <v>20456011</v>
      </c>
      <c r="B18" s="80">
        <v>0</v>
      </c>
      <c r="C18" s="80" t="s">
        <v>199</v>
      </c>
      <c r="D18" s="81" t="s">
        <v>200</v>
      </c>
      <c r="E18" s="81" t="s">
        <v>201</v>
      </c>
      <c r="F18" s="98" t="s">
        <v>202</v>
      </c>
      <c r="G18" s="101" t="s">
        <v>153</v>
      </c>
      <c r="H18" s="102" t="s">
        <v>154</v>
      </c>
      <c r="I18" s="43"/>
      <c r="J18" s="34"/>
      <c r="K18" s="41"/>
      <c r="L18" s="34"/>
      <c r="M18" s="34"/>
      <c r="N18" s="34"/>
      <c r="O18" s="34"/>
      <c r="P18" s="34"/>
      <c r="Q18" s="34"/>
      <c r="R18" s="34"/>
      <c r="S18" s="34"/>
      <c r="T18" s="34"/>
      <c r="U18" s="34"/>
      <c r="V18" s="34"/>
      <c r="W18" s="66"/>
      <c r="X18" s="38"/>
      <c r="Y18" s="107"/>
      <c r="Z18" s="34"/>
    </row>
    <row r="19" spans="1:26">
      <c r="A19" s="80">
        <v>20472614</v>
      </c>
      <c r="B19" s="80">
        <v>0</v>
      </c>
      <c r="C19" s="80" t="s">
        <v>203</v>
      </c>
      <c r="D19" s="81" t="s">
        <v>204</v>
      </c>
      <c r="E19" s="81" t="s">
        <v>205</v>
      </c>
      <c r="F19" s="98" t="s">
        <v>206</v>
      </c>
      <c r="G19" s="101" t="s">
        <v>153</v>
      </c>
      <c r="H19" s="102" t="s">
        <v>159</v>
      </c>
      <c r="I19" s="103">
        <v>45764</v>
      </c>
      <c r="J19" s="41"/>
      <c r="K19" s="41">
        <v>4</v>
      </c>
      <c r="L19" s="34">
        <v>4</v>
      </c>
      <c r="M19" s="34">
        <v>4</v>
      </c>
      <c r="N19" s="34">
        <v>4</v>
      </c>
      <c r="O19" s="34">
        <v>4</v>
      </c>
      <c r="P19" s="34">
        <v>4</v>
      </c>
      <c r="Q19" s="34">
        <v>4</v>
      </c>
      <c r="R19" s="34">
        <v>4</v>
      </c>
      <c r="S19" s="34">
        <v>4</v>
      </c>
      <c r="T19" s="34">
        <v>4</v>
      </c>
      <c r="U19" s="34">
        <v>4</v>
      </c>
      <c r="V19" s="34">
        <v>4</v>
      </c>
      <c r="W19" s="66">
        <v>4</v>
      </c>
      <c r="X19" s="38">
        <f t="shared" si="0"/>
        <v>52</v>
      </c>
      <c r="Y19" s="107">
        <f t="shared" si="1"/>
        <v>1</v>
      </c>
      <c r="Z19" s="34"/>
    </row>
    <row r="20" spans="1:26">
      <c r="A20" s="80">
        <v>20653230</v>
      </c>
      <c r="B20" s="80">
        <v>0</v>
      </c>
      <c r="C20" s="80" t="s">
        <v>207</v>
      </c>
      <c r="D20" s="81" t="s">
        <v>208</v>
      </c>
      <c r="E20" s="81" t="s">
        <v>209</v>
      </c>
      <c r="F20" s="98" t="s">
        <v>210</v>
      </c>
      <c r="G20" s="101" t="s">
        <v>153</v>
      </c>
      <c r="H20" s="102" t="s">
        <v>159</v>
      </c>
      <c r="I20" s="103">
        <v>45765</v>
      </c>
      <c r="J20" s="41"/>
      <c r="K20" s="41">
        <v>3</v>
      </c>
      <c r="L20" s="34">
        <v>2</v>
      </c>
      <c r="M20" s="34">
        <v>4</v>
      </c>
      <c r="N20" s="34">
        <v>3</v>
      </c>
      <c r="O20" s="34">
        <v>4</v>
      </c>
      <c r="P20" s="34">
        <v>3</v>
      </c>
      <c r="Q20" s="34">
        <v>3</v>
      </c>
      <c r="R20" s="34">
        <v>4</v>
      </c>
      <c r="S20" s="34">
        <v>4</v>
      </c>
      <c r="T20" s="34">
        <v>4</v>
      </c>
      <c r="U20" s="34">
        <v>3</v>
      </c>
      <c r="V20" s="34">
        <v>4</v>
      </c>
      <c r="W20" s="66">
        <v>4</v>
      </c>
      <c r="X20" s="38">
        <f t="shared" si="0"/>
        <v>45</v>
      </c>
      <c r="Y20" s="107">
        <f t="shared" si="1"/>
        <v>0.86538461538461542</v>
      </c>
      <c r="Z20" s="34"/>
    </row>
    <row r="21" spans="1:26">
      <c r="A21" s="80">
        <v>20758552</v>
      </c>
      <c r="B21" s="80">
        <v>1</v>
      </c>
      <c r="C21" s="80" t="s">
        <v>211</v>
      </c>
      <c r="D21" s="81" t="s">
        <v>212</v>
      </c>
      <c r="E21" s="81" t="s">
        <v>213</v>
      </c>
      <c r="F21" s="98" t="s">
        <v>214</v>
      </c>
      <c r="G21" s="101" t="s">
        <v>143</v>
      </c>
      <c r="H21" s="102" t="s">
        <v>144</v>
      </c>
      <c r="I21" s="43"/>
      <c r="J21" s="41"/>
      <c r="K21" s="41"/>
      <c r="L21" s="34"/>
      <c r="M21" s="34"/>
      <c r="N21" s="34"/>
      <c r="O21" s="34"/>
      <c r="P21" s="34"/>
      <c r="Q21" s="34"/>
      <c r="R21" s="34"/>
      <c r="S21" s="34"/>
      <c r="T21" s="34"/>
      <c r="U21" s="34"/>
      <c r="V21" s="34"/>
      <c r="W21" s="66"/>
      <c r="X21" s="38"/>
      <c r="Y21" s="107"/>
      <c r="Z21" s="34"/>
    </row>
    <row r="22" spans="1:26">
      <c r="A22" s="80">
        <v>20792554</v>
      </c>
      <c r="B22" s="80">
        <v>3</v>
      </c>
      <c r="C22" s="80" t="s">
        <v>215</v>
      </c>
      <c r="D22" s="81" t="s">
        <v>216</v>
      </c>
      <c r="E22" s="81" t="s">
        <v>169</v>
      </c>
      <c r="F22" s="98" t="s">
        <v>217</v>
      </c>
      <c r="G22" s="101" t="s">
        <v>143</v>
      </c>
      <c r="H22" s="102" t="s">
        <v>144</v>
      </c>
      <c r="I22" s="43"/>
      <c r="J22" s="41"/>
      <c r="K22" s="41"/>
      <c r="L22" s="34"/>
      <c r="M22" s="34"/>
      <c r="N22" s="34"/>
      <c r="O22" s="34"/>
      <c r="P22" s="34"/>
      <c r="Q22" s="34"/>
      <c r="R22" s="34"/>
      <c r="S22" s="34"/>
      <c r="T22" s="34"/>
      <c r="U22" s="34"/>
      <c r="V22" s="34"/>
      <c r="W22" s="66"/>
      <c r="X22" s="38"/>
      <c r="Y22" s="107"/>
      <c r="Z22" s="34"/>
    </row>
    <row r="23" spans="1:26">
      <c r="A23" s="80">
        <v>20832145</v>
      </c>
      <c r="B23" s="80">
        <v>5</v>
      </c>
      <c r="C23" s="80" t="s">
        <v>218</v>
      </c>
      <c r="D23" s="81" t="s">
        <v>219</v>
      </c>
      <c r="E23" s="81" t="s">
        <v>220</v>
      </c>
      <c r="F23" s="98" t="s">
        <v>221</v>
      </c>
      <c r="G23" s="101" t="s">
        <v>153</v>
      </c>
      <c r="H23" s="102" t="s">
        <v>159</v>
      </c>
      <c r="I23" s="103">
        <v>45763</v>
      </c>
      <c r="J23" s="41"/>
      <c r="K23" s="41">
        <v>1</v>
      </c>
      <c r="L23" s="34">
        <v>2</v>
      </c>
      <c r="M23" s="34">
        <v>3</v>
      </c>
      <c r="N23" s="34">
        <v>2</v>
      </c>
      <c r="O23" s="34">
        <v>3</v>
      </c>
      <c r="P23" s="34">
        <v>3</v>
      </c>
      <c r="Q23" s="34">
        <v>4</v>
      </c>
      <c r="R23" s="34">
        <v>4</v>
      </c>
      <c r="S23" s="34">
        <v>2</v>
      </c>
      <c r="T23" s="34">
        <v>4</v>
      </c>
      <c r="U23" s="34">
        <v>2</v>
      </c>
      <c r="V23" s="34">
        <v>2</v>
      </c>
      <c r="W23" s="66">
        <v>2</v>
      </c>
      <c r="X23" s="38">
        <f t="shared" si="0"/>
        <v>34</v>
      </c>
      <c r="Y23" s="107">
        <f t="shared" si="1"/>
        <v>0.65384615384615385</v>
      </c>
      <c r="Z23" s="34"/>
    </row>
    <row r="24" spans="1:26">
      <c r="A24" s="80">
        <v>20844772</v>
      </c>
      <c r="B24" s="80">
        <v>6</v>
      </c>
      <c r="C24" s="80" t="s">
        <v>222</v>
      </c>
      <c r="D24" s="81" t="s">
        <v>193</v>
      </c>
      <c r="E24" s="81" t="s">
        <v>223</v>
      </c>
      <c r="F24" s="98" t="s">
        <v>224</v>
      </c>
      <c r="G24" s="101" t="s">
        <v>153</v>
      </c>
      <c r="H24" s="102" t="s">
        <v>159</v>
      </c>
      <c r="I24" s="103">
        <v>45764</v>
      </c>
      <c r="J24" s="41"/>
      <c r="K24" s="41">
        <v>3</v>
      </c>
      <c r="L24" s="34">
        <v>2</v>
      </c>
      <c r="M24" s="34">
        <v>4</v>
      </c>
      <c r="N24" s="34">
        <v>4</v>
      </c>
      <c r="O24" s="34">
        <v>3</v>
      </c>
      <c r="P24" s="34">
        <v>3</v>
      </c>
      <c r="Q24" s="34">
        <v>2</v>
      </c>
      <c r="R24" s="34">
        <v>3</v>
      </c>
      <c r="S24" s="34">
        <v>1</v>
      </c>
      <c r="T24" s="34">
        <v>1</v>
      </c>
      <c r="U24" s="34">
        <v>1</v>
      </c>
      <c r="V24" s="34">
        <v>2</v>
      </c>
      <c r="W24" s="66">
        <v>2</v>
      </c>
      <c r="X24" s="38">
        <f t="shared" si="0"/>
        <v>31</v>
      </c>
      <c r="Y24" s="107">
        <f t="shared" si="1"/>
        <v>0.59615384615384615</v>
      </c>
      <c r="Z24" s="34"/>
    </row>
    <row r="25" spans="1:26">
      <c r="A25" s="80">
        <v>20878924</v>
      </c>
      <c r="B25" s="80">
        <v>4</v>
      </c>
      <c r="C25" s="80" t="s">
        <v>225</v>
      </c>
      <c r="D25" s="81" t="s">
        <v>226</v>
      </c>
      <c r="E25" s="81" t="s">
        <v>227</v>
      </c>
      <c r="F25" s="98" t="s">
        <v>228</v>
      </c>
      <c r="G25" s="101" t="s">
        <v>143</v>
      </c>
      <c r="H25" s="102" t="s">
        <v>144</v>
      </c>
      <c r="I25" s="40"/>
      <c r="J25" s="27"/>
      <c r="K25" s="27"/>
      <c r="L25" s="27"/>
      <c r="M25" s="27"/>
      <c r="N25" s="27"/>
      <c r="O25" s="27"/>
      <c r="P25" s="27"/>
      <c r="Q25" s="27"/>
      <c r="R25" s="27"/>
      <c r="S25" s="27"/>
      <c r="T25" s="27"/>
      <c r="U25" s="27"/>
      <c r="V25" s="27"/>
      <c r="W25" s="45"/>
      <c r="X25" s="38"/>
      <c r="Y25" s="107"/>
      <c r="Z25" s="27"/>
    </row>
    <row r="26" spans="1:26">
      <c r="A26" s="80">
        <v>20879505</v>
      </c>
      <c r="B26" s="80">
        <v>8</v>
      </c>
      <c r="C26" s="80" t="s">
        <v>229</v>
      </c>
      <c r="D26" s="81" t="s">
        <v>169</v>
      </c>
      <c r="E26" s="81" t="s">
        <v>230</v>
      </c>
      <c r="F26" s="98" t="s">
        <v>231</v>
      </c>
      <c r="G26" s="99" t="s">
        <v>153</v>
      </c>
      <c r="H26" s="100" t="s">
        <v>159</v>
      </c>
      <c r="I26" s="103">
        <v>45758</v>
      </c>
      <c r="J26" s="27"/>
      <c r="K26" s="27">
        <v>3</v>
      </c>
      <c r="L26" s="27">
        <v>2</v>
      </c>
      <c r="M26" s="27">
        <v>2</v>
      </c>
      <c r="N26" s="27">
        <v>3</v>
      </c>
      <c r="O26" s="27">
        <v>3</v>
      </c>
      <c r="P26" s="27">
        <v>3</v>
      </c>
      <c r="Q26" s="27">
        <v>2</v>
      </c>
      <c r="R26" s="27">
        <v>3</v>
      </c>
      <c r="S26" s="27">
        <v>1</v>
      </c>
      <c r="T26" s="27">
        <v>1</v>
      </c>
      <c r="U26" s="27">
        <v>1</v>
      </c>
      <c r="V26" s="27">
        <v>2</v>
      </c>
      <c r="W26" s="45">
        <v>2</v>
      </c>
      <c r="X26" s="38">
        <f t="shared" si="0"/>
        <v>28</v>
      </c>
      <c r="Y26" s="107">
        <f t="shared" si="1"/>
        <v>0.53846153846153844</v>
      </c>
      <c r="Z26" s="27"/>
    </row>
    <row r="27" spans="1:26">
      <c r="A27" s="80">
        <v>20888680</v>
      </c>
      <c r="B27" s="80">
        <v>0</v>
      </c>
      <c r="C27" s="80" t="s">
        <v>232</v>
      </c>
      <c r="D27" s="81" t="s">
        <v>233</v>
      </c>
      <c r="E27" s="81" t="s">
        <v>234</v>
      </c>
      <c r="F27" s="98" t="s">
        <v>235</v>
      </c>
      <c r="G27" s="101" t="s">
        <v>153</v>
      </c>
      <c r="H27" s="102" t="s">
        <v>159</v>
      </c>
      <c r="I27" s="103">
        <v>45764</v>
      </c>
      <c r="J27" s="41"/>
      <c r="K27" s="41">
        <v>2</v>
      </c>
      <c r="L27" s="34">
        <v>1</v>
      </c>
      <c r="M27" s="34">
        <v>3</v>
      </c>
      <c r="N27" s="34">
        <v>3</v>
      </c>
      <c r="O27" s="34">
        <v>2</v>
      </c>
      <c r="P27" s="34">
        <v>3</v>
      </c>
      <c r="Q27" s="34">
        <v>2</v>
      </c>
      <c r="R27" s="34">
        <v>3</v>
      </c>
      <c r="S27" s="34">
        <v>2</v>
      </c>
      <c r="T27" s="34">
        <v>2</v>
      </c>
      <c r="U27" s="34">
        <v>2</v>
      </c>
      <c r="V27" s="34">
        <v>2</v>
      </c>
      <c r="W27" s="66">
        <v>1</v>
      </c>
      <c r="X27" s="38">
        <f t="shared" si="0"/>
        <v>28</v>
      </c>
      <c r="Y27" s="107">
        <f t="shared" si="1"/>
        <v>0.53846153846153844</v>
      </c>
      <c r="Z27" s="34"/>
    </row>
    <row r="28" spans="1:26">
      <c r="A28" s="80">
        <v>20937278</v>
      </c>
      <c r="B28" s="80">
        <v>9</v>
      </c>
      <c r="C28" s="80" t="s">
        <v>236</v>
      </c>
      <c r="D28" s="81" t="s">
        <v>237</v>
      </c>
      <c r="E28" s="81" t="s">
        <v>238</v>
      </c>
      <c r="F28" s="98" t="s">
        <v>239</v>
      </c>
      <c r="G28" s="101" t="s">
        <v>153</v>
      </c>
      <c r="H28" s="102" t="s">
        <v>159</v>
      </c>
      <c r="I28" s="103">
        <v>45812</v>
      </c>
      <c r="J28" s="41"/>
      <c r="K28" s="41">
        <v>4</v>
      </c>
      <c r="L28" s="34">
        <v>4</v>
      </c>
      <c r="M28" s="34">
        <v>4</v>
      </c>
      <c r="N28" s="34">
        <v>4</v>
      </c>
      <c r="O28" s="34">
        <v>4</v>
      </c>
      <c r="P28" s="34">
        <v>4</v>
      </c>
      <c r="Q28" s="34">
        <v>4</v>
      </c>
      <c r="R28" s="34">
        <v>4</v>
      </c>
      <c r="S28" s="34">
        <v>4</v>
      </c>
      <c r="T28" s="34">
        <v>3</v>
      </c>
      <c r="U28" s="34">
        <v>3</v>
      </c>
      <c r="V28" s="34">
        <v>4</v>
      </c>
      <c r="W28" s="66">
        <v>4</v>
      </c>
      <c r="X28" s="38">
        <f t="shared" si="0"/>
        <v>50</v>
      </c>
      <c r="Y28" s="107">
        <f t="shared" si="1"/>
        <v>0.96153846153846156</v>
      </c>
      <c r="Z28" s="34"/>
    </row>
    <row r="29" spans="1:26" ht="28.5" customHeight="1">
      <c r="A29" s="80">
        <v>20964489</v>
      </c>
      <c r="B29" s="80">
        <v>4</v>
      </c>
      <c r="C29" s="80" t="s">
        <v>240</v>
      </c>
      <c r="D29" s="81" t="s">
        <v>241</v>
      </c>
      <c r="E29" s="81" t="s">
        <v>226</v>
      </c>
      <c r="F29" s="98" t="s">
        <v>198</v>
      </c>
      <c r="G29" s="101" t="s">
        <v>153</v>
      </c>
      <c r="H29" s="102" t="s">
        <v>159</v>
      </c>
      <c r="I29" s="103">
        <v>45764</v>
      </c>
      <c r="J29" s="41"/>
      <c r="K29" s="41">
        <v>4</v>
      </c>
      <c r="L29" s="34">
        <v>4</v>
      </c>
      <c r="M29" s="34">
        <v>0</v>
      </c>
      <c r="N29" s="34">
        <v>0</v>
      </c>
      <c r="O29" s="34">
        <v>0</v>
      </c>
      <c r="P29" s="34">
        <v>0</v>
      </c>
      <c r="Q29" s="34">
        <v>0</v>
      </c>
      <c r="R29" s="34">
        <v>0</v>
      </c>
      <c r="S29" s="34">
        <v>0</v>
      </c>
      <c r="T29" s="34">
        <v>0</v>
      </c>
      <c r="U29" s="34">
        <v>0</v>
      </c>
      <c r="V29" s="34">
        <v>0</v>
      </c>
      <c r="W29" s="66">
        <v>0</v>
      </c>
      <c r="X29" s="38">
        <f t="shared" si="0"/>
        <v>8</v>
      </c>
      <c r="Y29" s="107">
        <f t="shared" si="1"/>
        <v>0.15384615384615385</v>
      </c>
      <c r="Z29" s="34"/>
    </row>
    <row r="30" spans="1:26">
      <c r="A30" s="80">
        <v>21072982</v>
      </c>
      <c r="B30" s="80">
        <v>8</v>
      </c>
      <c r="C30" s="80" t="s">
        <v>242</v>
      </c>
      <c r="D30" s="81" t="s">
        <v>243</v>
      </c>
      <c r="E30" s="81" t="s">
        <v>244</v>
      </c>
      <c r="F30" s="98" t="s">
        <v>245</v>
      </c>
      <c r="G30" s="101" t="s">
        <v>153</v>
      </c>
      <c r="H30" s="102" t="s">
        <v>159</v>
      </c>
      <c r="I30" s="103"/>
      <c r="J30" s="41"/>
      <c r="K30" s="41">
        <v>3</v>
      </c>
      <c r="L30" s="34">
        <v>2</v>
      </c>
      <c r="M30" s="34">
        <v>3</v>
      </c>
      <c r="N30" s="34">
        <v>3</v>
      </c>
      <c r="O30" s="34">
        <v>4</v>
      </c>
      <c r="P30" s="34">
        <v>2</v>
      </c>
      <c r="Q30" s="34">
        <v>2</v>
      </c>
      <c r="R30" s="34">
        <v>3</v>
      </c>
      <c r="S30" s="34">
        <v>2</v>
      </c>
      <c r="T30" s="34">
        <v>2</v>
      </c>
      <c r="U30" s="34">
        <v>2</v>
      </c>
      <c r="V30" s="34">
        <v>3</v>
      </c>
      <c r="W30" s="66">
        <v>2</v>
      </c>
      <c r="X30" s="38">
        <f t="shared" si="0"/>
        <v>33</v>
      </c>
      <c r="Y30" s="107">
        <f t="shared" si="1"/>
        <v>0.63461538461538458</v>
      </c>
      <c r="Z30" s="34"/>
    </row>
    <row r="31" spans="1:26">
      <c r="A31" s="80">
        <v>21079072</v>
      </c>
      <c r="B31" s="80">
        <v>1</v>
      </c>
      <c r="C31" s="80" t="s">
        <v>246</v>
      </c>
      <c r="D31" s="81" t="s">
        <v>247</v>
      </c>
      <c r="E31" s="81" t="s">
        <v>248</v>
      </c>
      <c r="F31" s="98" t="s">
        <v>249</v>
      </c>
      <c r="G31" s="101" t="s">
        <v>153</v>
      </c>
      <c r="H31" s="102" t="s">
        <v>159</v>
      </c>
      <c r="I31" s="103">
        <v>45764</v>
      </c>
      <c r="J31" s="41"/>
      <c r="K31" s="41">
        <v>3</v>
      </c>
      <c r="L31" s="34">
        <v>3</v>
      </c>
      <c r="M31" s="34">
        <v>4</v>
      </c>
      <c r="N31" s="34">
        <v>3</v>
      </c>
      <c r="O31" s="34">
        <v>4</v>
      </c>
      <c r="P31" s="34">
        <v>4</v>
      </c>
      <c r="Q31" s="34">
        <v>2</v>
      </c>
      <c r="R31" s="34">
        <v>4</v>
      </c>
      <c r="S31" s="34">
        <v>4</v>
      </c>
      <c r="T31" s="34">
        <v>4</v>
      </c>
      <c r="U31" s="34">
        <v>4</v>
      </c>
      <c r="V31" s="34">
        <v>4</v>
      </c>
      <c r="W31" s="66">
        <v>4</v>
      </c>
      <c r="X31" s="38">
        <f t="shared" si="0"/>
        <v>47</v>
      </c>
      <c r="Y31" s="107">
        <f t="shared" si="1"/>
        <v>0.90384615384615385</v>
      </c>
      <c r="Z31" s="34"/>
    </row>
    <row r="32" spans="1:26" ht="25.5" customHeight="1">
      <c r="A32" s="80">
        <v>21092444</v>
      </c>
      <c r="B32" s="80">
        <v>2</v>
      </c>
      <c r="C32" s="80" t="s">
        <v>250</v>
      </c>
      <c r="D32" s="81" t="s">
        <v>251</v>
      </c>
      <c r="E32" s="81" t="s">
        <v>252</v>
      </c>
      <c r="F32" s="98" t="s">
        <v>253</v>
      </c>
      <c r="G32" s="99" t="s">
        <v>153</v>
      </c>
      <c r="H32" s="100" t="s">
        <v>159</v>
      </c>
      <c r="I32" s="103">
        <v>45764</v>
      </c>
      <c r="J32" s="41"/>
      <c r="K32" s="41">
        <v>2</v>
      </c>
      <c r="L32" s="34">
        <v>2</v>
      </c>
      <c r="M32" s="34">
        <v>3</v>
      </c>
      <c r="N32" s="34">
        <v>3</v>
      </c>
      <c r="O32" s="34">
        <v>1</v>
      </c>
      <c r="P32" s="34">
        <v>2</v>
      </c>
      <c r="Q32" s="34">
        <v>3</v>
      </c>
      <c r="R32" s="34">
        <v>2</v>
      </c>
      <c r="S32" s="34">
        <v>2</v>
      </c>
      <c r="T32" s="34">
        <v>4</v>
      </c>
      <c r="U32" s="34">
        <v>2</v>
      </c>
      <c r="V32" s="34">
        <v>3</v>
      </c>
      <c r="W32" s="66">
        <v>3</v>
      </c>
      <c r="X32" s="38">
        <f t="shared" si="0"/>
        <v>32</v>
      </c>
      <c r="Y32" s="107">
        <f t="shared" si="1"/>
        <v>0.61538461538461542</v>
      </c>
      <c r="Z32" s="34"/>
    </row>
    <row r="33" spans="1:26">
      <c r="A33" s="80">
        <v>21127366</v>
      </c>
      <c r="B33" s="80">
        <v>6</v>
      </c>
      <c r="C33" s="80" t="s">
        <v>254</v>
      </c>
      <c r="D33" s="81" t="s">
        <v>255</v>
      </c>
      <c r="E33" s="81" t="s">
        <v>256</v>
      </c>
      <c r="F33" s="98" t="s">
        <v>257</v>
      </c>
      <c r="G33" s="101" t="s">
        <v>143</v>
      </c>
      <c r="H33" s="102" t="s">
        <v>144</v>
      </c>
      <c r="I33" s="43"/>
      <c r="J33" s="41"/>
      <c r="K33" s="41"/>
      <c r="L33" s="34"/>
      <c r="M33" s="34"/>
      <c r="N33" s="34"/>
      <c r="O33" s="34"/>
      <c r="P33" s="34"/>
      <c r="Q33" s="34"/>
      <c r="R33" s="34"/>
      <c r="S33" s="34"/>
      <c r="T33" s="34"/>
      <c r="U33" s="34"/>
      <c r="V33" s="34"/>
      <c r="W33" s="66"/>
      <c r="X33" s="38"/>
      <c r="Y33" s="107"/>
      <c r="Z33" s="34"/>
    </row>
    <row r="34" spans="1:26">
      <c r="A34" s="80">
        <v>21140860</v>
      </c>
      <c r="B34" s="81" t="s">
        <v>258</v>
      </c>
      <c r="C34" s="80" t="s">
        <v>259</v>
      </c>
      <c r="D34" s="81" t="s">
        <v>177</v>
      </c>
      <c r="E34" s="81" t="s">
        <v>227</v>
      </c>
      <c r="F34" s="98" t="s">
        <v>260</v>
      </c>
      <c r="G34" s="101"/>
      <c r="H34" s="102" t="s">
        <v>144</v>
      </c>
      <c r="I34" s="43"/>
      <c r="J34" s="41"/>
      <c r="K34" s="41"/>
      <c r="L34" s="34"/>
      <c r="M34" s="34"/>
      <c r="N34" s="34"/>
      <c r="O34" s="34"/>
      <c r="P34" s="34"/>
      <c r="Q34" s="34"/>
      <c r="R34" s="34"/>
      <c r="S34" s="34"/>
      <c r="T34" s="34"/>
      <c r="U34" s="34"/>
      <c r="V34" s="34"/>
      <c r="W34" s="66"/>
      <c r="X34" s="38"/>
      <c r="Y34" s="107"/>
      <c r="Z34" s="34"/>
    </row>
    <row r="35" spans="1:26" ht="29.25">
      <c r="A35" s="80">
        <v>21157159</v>
      </c>
      <c r="B35" s="80">
        <v>4</v>
      </c>
      <c r="C35" s="80" t="s">
        <v>261</v>
      </c>
      <c r="D35" s="81" t="s">
        <v>262</v>
      </c>
      <c r="E35" s="81" t="s">
        <v>263</v>
      </c>
      <c r="F35" s="98" t="s">
        <v>264</v>
      </c>
      <c r="G35" s="101" t="s">
        <v>153</v>
      </c>
      <c r="H35" s="102" t="s">
        <v>154</v>
      </c>
      <c r="I35" s="43"/>
      <c r="J35" s="34"/>
      <c r="K35" s="41"/>
      <c r="L35" s="34"/>
      <c r="M35" s="34"/>
      <c r="N35" s="34"/>
      <c r="O35" s="34"/>
      <c r="P35" s="34"/>
      <c r="Q35" s="34"/>
      <c r="R35" s="34"/>
      <c r="S35" s="34"/>
      <c r="T35" s="34"/>
      <c r="U35" s="34"/>
      <c r="V35" s="34"/>
      <c r="W35" s="66"/>
      <c r="X35" s="38"/>
      <c r="Y35" s="107"/>
      <c r="Z35" s="34"/>
    </row>
    <row r="36" spans="1:26">
      <c r="A36" s="80">
        <v>21168599</v>
      </c>
      <c r="B36" s="80">
        <v>9</v>
      </c>
      <c r="C36" s="80" t="s">
        <v>265</v>
      </c>
      <c r="D36" s="81" t="s">
        <v>212</v>
      </c>
      <c r="E36" s="81" t="s">
        <v>266</v>
      </c>
      <c r="F36" s="98" t="s">
        <v>267</v>
      </c>
      <c r="G36" s="101" t="s">
        <v>143</v>
      </c>
      <c r="H36" s="102" t="s">
        <v>144</v>
      </c>
      <c r="I36" s="43"/>
      <c r="J36" s="41"/>
      <c r="K36" s="41"/>
      <c r="L36" s="34"/>
      <c r="M36" s="34"/>
      <c r="N36" s="34"/>
      <c r="O36" s="34"/>
      <c r="P36" s="34"/>
      <c r="Q36" s="34"/>
      <c r="R36" s="34"/>
      <c r="S36" s="34"/>
      <c r="T36" s="34"/>
      <c r="U36" s="34"/>
      <c r="V36" s="34"/>
      <c r="W36" s="66"/>
      <c r="X36" s="38"/>
      <c r="Y36" s="107"/>
      <c r="Z36" s="34"/>
    </row>
    <row r="37" spans="1:26">
      <c r="A37" s="80">
        <v>21169233</v>
      </c>
      <c r="B37" s="80">
        <v>2</v>
      </c>
      <c r="C37" s="80" t="s">
        <v>268</v>
      </c>
      <c r="D37" s="81" t="s">
        <v>269</v>
      </c>
      <c r="E37" s="81" t="s">
        <v>270</v>
      </c>
      <c r="F37" s="98" t="s">
        <v>271</v>
      </c>
      <c r="G37" s="101" t="s">
        <v>153</v>
      </c>
      <c r="H37" s="102" t="s">
        <v>159</v>
      </c>
      <c r="I37" s="103">
        <v>45764</v>
      </c>
      <c r="J37" s="41"/>
      <c r="K37" s="41">
        <v>2</v>
      </c>
      <c r="L37" s="34">
        <v>3</v>
      </c>
      <c r="M37" s="34">
        <v>4</v>
      </c>
      <c r="N37" s="34">
        <v>3</v>
      </c>
      <c r="O37" s="34">
        <v>4</v>
      </c>
      <c r="P37" s="34">
        <v>4</v>
      </c>
      <c r="Q37" s="34">
        <v>3</v>
      </c>
      <c r="R37" s="34">
        <v>3</v>
      </c>
      <c r="S37" s="34">
        <v>3</v>
      </c>
      <c r="T37" s="34">
        <v>3</v>
      </c>
      <c r="U37" s="34">
        <v>3</v>
      </c>
      <c r="V37" s="34">
        <v>3</v>
      </c>
      <c r="W37" s="66">
        <v>1</v>
      </c>
      <c r="X37" s="38">
        <f t="shared" si="0"/>
        <v>39</v>
      </c>
      <c r="Y37" s="107">
        <f t="shared" si="1"/>
        <v>0.75</v>
      </c>
      <c r="Z37" s="34"/>
    </row>
    <row r="38" spans="1:26">
      <c r="A38" s="80">
        <v>21169349</v>
      </c>
      <c r="B38" s="80">
        <v>5</v>
      </c>
      <c r="C38" s="80" t="s">
        <v>272</v>
      </c>
      <c r="D38" s="81" t="s">
        <v>273</v>
      </c>
      <c r="E38" s="81" t="s">
        <v>274</v>
      </c>
      <c r="F38" s="98" t="s">
        <v>275</v>
      </c>
      <c r="G38" s="101"/>
      <c r="H38" s="102" t="s">
        <v>144</v>
      </c>
      <c r="I38" s="43"/>
      <c r="J38" s="41"/>
      <c r="K38" s="41"/>
      <c r="L38" s="34"/>
      <c r="M38" s="34"/>
      <c r="N38" s="34"/>
      <c r="O38" s="34"/>
      <c r="P38" s="34"/>
      <c r="Q38" s="34"/>
      <c r="R38" s="34"/>
      <c r="S38" s="34"/>
      <c r="T38" s="34"/>
      <c r="U38" s="34"/>
      <c r="V38" s="34"/>
      <c r="W38" s="66"/>
      <c r="X38" s="38"/>
      <c r="Y38" s="107"/>
      <c r="Z38" s="34"/>
    </row>
    <row r="39" spans="1:26" ht="25.5" customHeight="1">
      <c r="A39" s="80">
        <v>21174906</v>
      </c>
      <c r="B39" s="80">
        <v>7</v>
      </c>
      <c r="C39" s="80" t="s">
        <v>276</v>
      </c>
      <c r="D39" s="81" t="s">
        <v>227</v>
      </c>
      <c r="E39" s="81" t="s">
        <v>277</v>
      </c>
      <c r="F39" s="98" t="s">
        <v>278</v>
      </c>
      <c r="G39" s="101" t="s">
        <v>153</v>
      </c>
      <c r="H39" s="102" t="s">
        <v>159</v>
      </c>
      <c r="I39" s="103">
        <v>45764</v>
      </c>
      <c r="J39" s="41"/>
      <c r="K39" s="41">
        <v>1</v>
      </c>
      <c r="L39" s="34">
        <v>1</v>
      </c>
      <c r="M39" s="34">
        <v>4</v>
      </c>
      <c r="N39" s="34">
        <v>4</v>
      </c>
      <c r="O39" s="34">
        <v>3</v>
      </c>
      <c r="P39" s="34">
        <v>4</v>
      </c>
      <c r="Q39" s="34">
        <v>4</v>
      </c>
      <c r="R39" s="34">
        <v>2</v>
      </c>
      <c r="S39" s="34">
        <v>2</v>
      </c>
      <c r="T39" s="34">
        <v>2</v>
      </c>
      <c r="U39" s="34">
        <v>2</v>
      </c>
      <c r="V39" s="34">
        <v>4</v>
      </c>
      <c r="W39" s="66">
        <v>1</v>
      </c>
      <c r="X39" s="38">
        <f t="shared" si="0"/>
        <v>34</v>
      </c>
      <c r="Y39" s="107">
        <f t="shared" si="1"/>
        <v>0.65384615384615385</v>
      </c>
      <c r="Z39" s="34"/>
    </row>
    <row r="40" spans="1:26">
      <c r="A40" s="80">
        <v>21186998</v>
      </c>
      <c r="B40" s="80">
        <v>4</v>
      </c>
      <c r="C40" s="80" t="s">
        <v>279</v>
      </c>
      <c r="D40" s="81" t="s">
        <v>280</v>
      </c>
      <c r="E40" s="81" t="s">
        <v>281</v>
      </c>
      <c r="F40" s="98" t="s">
        <v>282</v>
      </c>
      <c r="G40" s="99" t="s">
        <v>283</v>
      </c>
      <c r="H40" s="102" t="s">
        <v>144</v>
      </c>
      <c r="I40" s="40"/>
      <c r="J40" s="27"/>
      <c r="K40" s="27"/>
      <c r="L40" s="27"/>
      <c r="M40" s="27"/>
      <c r="N40" s="27"/>
      <c r="O40" s="27"/>
      <c r="P40" s="27"/>
      <c r="Q40" s="27"/>
      <c r="R40" s="27"/>
      <c r="S40" s="27"/>
      <c r="T40" s="27"/>
      <c r="U40" s="27"/>
      <c r="V40" s="27"/>
      <c r="W40" s="45"/>
      <c r="X40" s="38"/>
      <c r="Y40" s="107"/>
      <c r="Z40" s="27"/>
    </row>
    <row r="41" spans="1:26">
      <c r="A41" s="80">
        <v>21192043</v>
      </c>
      <c r="B41" s="80">
        <v>2</v>
      </c>
      <c r="C41" s="80" t="s">
        <v>284</v>
      </c>
      <c r="D41" s="81" t="s">
        <v>285</v>
      </c>
      <c r="E41" s="81" t="s">
        <v>200</v>
      </c>
      <c r="F41" s="98" t="s">
        <v>286</v>
      </c>
      <c r="G41" s="101" t="s">
        <v>153</v>
      </c>
      <c r="H41" s="102" t="s">
        <v>159</v>
      </c>
      <c r="I41" s="103">
        <v>45764</v>
      </c>
      <c r="J41" s="41"/>
      <c r="K41" s="41">
        <v>3</v>
      </c>
      <c r="L41" s="34">
        <v>3</v>
      </c>
      <c r="M41" s="34">
        <v>4</v>
      </c>
      <c r="N41" s="34">
        <v>4</v>
      </c>
      <c r="O41" s="34">
        <v>4</v>
      </c>
      <c r="P41" s="34">
        <v>4</v>
      </c>
      <c r="Q41" s="34">
        <v>4</v>
      </c>
      <c r="R41" s="34">
        <v>4</v>
      </c>
      <c r="S41" s="34">
        <v>1</v>
      </c>
      <c r="T41" s="34">
        <v>1</v>
      </c>
      <c r="U41" s="34">
        <v>1</v>
      </c>
      <c r="V41" s="34">
        <v>3</v>
      </c>
      <c r="W41" s="66">
        <v>2</v>
      </c>
      <c r="X41" s="38">
        <f t="shared" si="0"/>
        <v>38</v>
      </c>
      <c r="Y41" s="107">
        <f t="shared" si="1"/>
        <v>0.73076923076923073</v>
      </c>
      <c r="Z41" s="34"/>
    </row>
    <row r="42" spans="1:26">
      <c r="A42" s="80">
        <v>21241267</v>
      </c>
      <c r="B42" s="80">
        <v>8</v>
      </c>
      <c r="C42" s="80" t="s">
        <v>287</v>
      </c>
      <c r="D42" s="81" t="s">
        <v>212</v>
      </c>
      <c r="E42" s="81" t="s">
        <v>288</v>
      </c>
      <c r="F42" s="98" t="s">
        <v>289</v>
      </c>
      <c r="G42" s="101" t="s">
        <v>153</v>
      </c>
      <c r="H42" s="102" t="s">
        <v>159</v>
      </c>
      <c r="I42" s="103">
        <v>45764</v>
      </c>
      <c r="J42" s="41"/>
      <c r="K42" s="41">
        <v>4</v>
      </c>
      <c r="L42" s="34">
        <v>4</v>
      </c>
      <c r="M42" s="34">
        <v>4</v>
      </c>
      <c r="N42" s="34">
        <v>4</v>
      </c>
      <c r="O42" s="34">
        <v>4</v>
      </c>
      <c r="P42" s="34">
        <v>4</v>
      </c>
      <c r="Q42" s="34">
        <v>4</v>
      </c>
      <c r="R42" s="34">
        <v>4</v>
      </c>
      <c r="S42" s="34">
        <v>3</v>
      </c>
      <c r="T42" s="34">
        <v>3</v>
      </c>
      <c r="U42" s="34">
        <v>3</v>
      </c>
      <c r="V42" s="34">
        <v>4</v>
      </c>
      <c r="W42" s="66">
        <v>3</v>
      </c>
      <c r="X42" s="38">
        <f t="shared" si="0"/>
        <v>48</v>
      </c>
      <c r="Y42" s="107">
        <f t="shared" si="1"/>
        <v>0.92307692307692313</v>
      </c>
      <c r="Z42" s="34"/>
    </row>
    <row r="43" spans="1:26">
      <c r="A43" s="80">
        <v>21245412</v>
      </c>
      <c r="B43" s="80">
        <v>5</v>
      </c>
      <c r="C43" s="80" t="s">
        <v>290</v>
      </c>
      <c r="D43" s="81" t="s">
        <v>230</v>
      </c>
      <c r="E43" s="81" t="s">
        <v>291</v>
      </c>
      <c r="F43" s="98" t="s">
        <v>292</v>
      </c>
      <c r="G43" s="101"/>
      <c r="H43" s="102" t="s">
        <v>144</v>
      </c>
      <c r="I43" s="43"/>
      <c r="J43" s="41"/>
      <c r="K43" s="41"/>
      <c r="L43" s="34"/>
      <c r="M43" s="34"/>
      <c r="N43" s="34"/>
      <c r="O43" s="34"/>
      <c r="P43" s="34"/>
      <c r="Q43" s="34"/>
      <c r="R43" s="34"/>
      <c r="S43" s="34"/>
      <c r="T43" s="34"/>
      <c r="U43" s="34"/>
      <c r="V43" s="34"/>
      <c r="W43" s="66"/>
      <c r="X43" s="38"/>
      <c r="Y43" s="107"/>
      <c r="Z43" s="34"/>
    </row>
    <row r="44" spans="1:26">
      <c r="A44" s="80">
        <v>21268465</v>
      </c>
      <c r="B44" s="80">
        <v>1</v>
      </c>
      <c r="C44" s="80" t="s">
        <v>293</v>
      </c>
      <c r="D44" s="81" t="s">
        <v>294</v>
      </c>
      <c r="E44" s="81" t="s">
        <v>295</v>
      </c>
      <c r="F44" s="98" t="s">
        <v>296</v>
      </c>
      <c r="G44" s="101" t="s">
        <v>143</v>
      </c>
      <c r="H44" s="102" t="s">
        <v>144</v>
      </c>
      <c r="I44" s="43"/>
      <c r="J44" s="41"/>
      <c r="K44" s="41"/>
      <c r="L44" s="34"/>
      <c r="M44" s="34"/>
      <c r="N44" s="34"/>
      <c r="O44" s="34"/>
      <c r="P44" s="34"/>
      <c r="Q44" s="34"/>
      <c r="R44" s="34"/>
      <c r="S44" s="34"/>
      <c r="T44" s="34"/>
      <c r="U44" s="34"/>
      <c r="V44" s="34"/>
      <c r="W44" s="66"/>
      <c r="X44" s="38"/>
      <c r="Y44" s="107"/>
      <c r="Z44" s="34"/>
    </row>
    <row r="45" spans="1:26">
      <c r="A45" s="80">
        <v>21269740</v>
      </c>
      <c r="B45" s="80">
        <v>0</v>
      </c>
      <c r="C45" s="80" t="s">
        <v>297</v>
      </c>
      <c r="D45" s="81" t="s">
        <v>298</v>
      </c>
      <c r="E45" s="81" t="s">
        <v>299</v>
      </c>
      <c r="F45" s="98" t="s">
        <v>300</v>
      </c>
      <c r="G45" s="101" t="s">
        <v>153</v>
      </c>
      <c r="H45" s="102" t="s">
        <v>159</v>
      </c>
      <c r="I45" s="103">
        <v>45763</v>
      </c>
      <c r="J45" s="41"/>
      <c r="K45" s="41">
        <v>3</v>
      </c>
      <c r="L45" s="34">
        <v>4</v>
      </c>
      <c r="M45" s="34">
        <v>4</v>
      </c>
      <c r="N45" s="34">
        <v>4</v>
      </c>
      <c r="O45" s="34">
        <v>2</v>
      </c>
      <c r="P45" s="34">
        <v>4</v>
      </c>
      <c r="Q45" s="34">
        <v>3</v>
      </c>
      <c r="R45" s="34">
        <v>3</v>
      </c>
      <c r="S45" s="34">
        <v>2</v>
      </c>
      <c r="T45" s="34">
        <v>3</v>
      </c>
      <c r="U45" s="34">
        <v>2</v>
      </c>
      <c r="V45" s="34">
        <v>3</v>
      </c>
      <c r="W45" s="66">
        <v>2</v>
      </c>
      <c r="X45" s="38">
        <f t="shared" si="0"/>
        <v>39</v>
      </c>
      <c r="Y45" s="107">
        <f t="shared" si="1"/>
        <v>0.75</v>
      </c>
      <c r="Z45" s="34"/>
    </row>
    <row r="46" spans="1:26">
      <c r="A46" s="80">
        <v>21271559</v>
      </c>
      <c r="B46" s="81" t="s">
        <v>258</v>
      </c>
      <c r="C46" s="80" t="s">
        <v>301</v>
      </c>
      <c r="D46" s="81" t="s">
        <v>302</v>
      </c>
      <c r="E46" s="81" t="s">
        <v>192</v>
      </c>
      <c r="F46" s="98" t="s">
        <v>303</v>
      </c>
      <c r="G46" s="101" t="s">
        <v>153</v>
      </c>
      <c r="H46" s="102" t="s">
        <v>159</v>
      </c>
      <c r="I46" s="103">
        <v>45764</v>
      </c>
      <c r="J46" s="41"/>
      <c r="K46" s="41">
        <v>3</v>
      </c>
      <c r="L46" s="34">
        <v>3</v>
      </c>
      <c r="M46" s="34">
        <v>0</v>
      </c>
      <c r="N46" s="34">
        <v>0</v>
      </c>
      <c r="O46" s="34">
        <v>0</v>
      </c>
      <c r="P46" s="34">
        <v>0</v>
      </c>
      <c r="Q46" s="34">
        <v>0</v>
      </c>
      <c r="R46" s="34">
        <v>0</v>
      </c>
      <c r="S46" s="34">
        <v>0</v>
      </c>
      <c r="T46" s="34">
        <v>0</v>
      </c>
      <c r="U46" s="34">
        <v>0</v>
      </c>
      <c r="V46" s="34">
        <v>1</v>
      </c>
      <c r="W46" s="66">
        <v>1</v>
      </c>
      <c r="X46" s="38">
        <f t="shared" si="0"/>
        <v>8</v>
      </c>
      <c r="Y46" s="107">
        <f t="shared" si="1"/>
        <v>0.15384615384615385</v>
      </c>
      <c r="Z46" s="34"/>
    </row>
    <row r="47" spans="1:26">
      <c r="A47" s="80">
        <v>21286273</v>
      </c>
      <c r="B47" s="80">
        <v>8</v>
      </c>
      <c r="C47" s="80" t="s">
        <v>304</v>
      </c>
      <c r="D47" s="81" t="s">
        <v>305</v>
      </c>
      <c r="E47" s="81" t="s">
        <v>177</v>
      </c>
      <c r="F47" s="98" t="s">
        <v>306</v>
      </c>
      <c r="G47" s="101"/>
      <c r="H47" s="102" t="s">
        <v>144</v>
      </c>
      <c r="I47" s="43"/>
      <c r="J47" s="41"/>
      <c r="K47" s="41"/>
      <c r="L47" s="34"/>
      <c r="M47" s="34"/>
      <c r="N47" s="34"/>
      <c r="O47" s="34"/>
      <c r="P47" s="34"/>
      <c r="Q47" s="34"/>
      <c r="R47" s="34"/>
      <c r="S47" s="34"/>
      <c r="T47" s="34"/>
      <c r="U47" s="34"/>
      <c r="V47" s="34"/>
      <c r="W47" s="66"/>
      <c r="X47" s="38"/>
      <c r="Y47" s="107"/>
      <c r="Z47" s="34"/>
    </row>
    <row r="48" spans="1:26">
      <c r="A48" s="80">
        <v>21310333</v>
      </c>
      <c r="B48" s="80">
        <v>4</v>
      </c>
      <c r="C48" s="80" t="s">
        <v>307</v>
      </c>
      <c r="D48" s="81" t="s">
        <v>209</v>
      </c>
      <c r="E48" s="81" t="s">
        <v>157</v>
      </c>
      <c r="F48" s="98" t="s">
        <v>308</v>
      </c>
      <c r="G48" s="99" t="s">
        <v>143</v>
      </c>
      <c r="H48" s="102" t="s">
        <v>144</v>
      </c>
      <c r="I48" s="40"/>
      <c r="J48" s="27"/>
      <c r="K48" s="27"/>
      <c r="L48" s="27"/>
      <c r="M48" s="27"/>
      <c r="N48" s="27"/>
      <c r="O48" s="27"/>
      <c r="P48" s="27"/>
      <c r="Q48" s="27"/>
      <c r="R48" s="27"/>
      <c r="S48" s="27"/>
      <c r="T48" s="27"/>
      <c r="U48" s="27"/>
      <c r="V48" s="27"/>
      <c r="W48" s="45"/>
      <c r="X48" s="38"/>
      <c r="Y48" s="107"/>
      <c r="Z48" s="27"/>
    </row>
    <row r="49" spans="1:26">
      <c r="A49" s="80">
        <v>21335699</v>
      </c>
      <c r="B49" s="80">
        <v>2</v>
      </c>
      <c r="C49" s="80" t="s">
        <v>309</v>
      </c>
      <c r="D49" s="81" t="s">
        <v>310</v>
      </c>
      <c r="E49" s="81" t="s">
        <v>280</v>
      </c>
      <c r="F49" s="98" t="s">
        <v>311</v>
      </c>
      <c r="G49" s="101" t="s">
        <v>153</v>
      </c>
      <c r="H49" s="102" t="s">
        <v>159</v>
      </c>
      <c r="I49" s="103">
        <v>45782</v>
      </c>
      <c r="J49" s="41"/>
      <c r="K49" s="41">
        <v>4</v>
      </c>
      <c r="L49" s="34">
        <v>4</v>
      </c>
      <c r="M49" s="34">
        <v>2</v>
      </c>
      <c r="N49" s="34">
        <v>1</v>
      </c>
      <c r="O49" s="34">
        <v>3</v>
      </c>
      <c r="P49" s="34">
        <v>3</v>
      </c>
      <c r="Q49" s="34">
        <v>2</v>
      </c>
      <c r="R49" s="34">
        <v>3</v>
      </c>
      <c r="S49" s="34">
        <v>2</v>
      </c>
      <c r="T49" s="34">
        <v>2</v>
      </c>
      <c r="U49" s="34">
        <v>2</v>
      </c>
      <c r="V49" s="34">
        <v>3</v>
      </c>
      <c r="W49" s="66">
        <v>2</v>
      </c>
      <c r="X49" s="38">
        <f t="shared" si="0"/>
        <v>33</v>
      </c>
      <c r="Y49" s="107">
        <f t="shared" si="1"/>
        <v>0.63461538461538458</v>
      </c>
      <c r="Z49" s="34"/>
    </row>
    <row r="50" spans="1:26">
      <c r="A50" s="80">
        <v>21339841</v>
      </c>
      <c r="B50" s="80">
        <v>5</v>
      </c>
      <c r="C50" s="80" t="s">
        <v>312</v>
      </c>
      <c r="D50" s="81" t="s">
        <v>313</v>
      </c>
      <c r="E50" s="81" t="s">
        <v>314</v>
      </c>
      <c r="F50" s="98" t="s">
        <v>315</v>
      </c>
      <c r="G50" s="101" t="s">
        <v>153</v>
      </c>
      <c r="H50" s="102" t="s">
        <v>159</v>
      </c>
      <c r="I50" s="103">
        <v>45764</v>
      </c>
      <c r="J50" s="41"/>
      <c r="K50" s="41">
        <v>3</v>
      </c>
      <c r="L50" s="34">
        <v>3</v>
      </c>
      <c r="M50" s="34">
        <v>2</v>
      </c>
      <c r="N50" s="34">
        <v>4</v>
      </c>
      <c r="O50" s="34">
        <v>1</v>
      </c>
      <c r="P50" s="34">
        <v>2</v>
      </c>
      <c r="Q50" s="34">
        <v>1</v>
      </c>
      <c r="R50" s="34">
        <v>3</v>
      </c>
      <c r="S50" s="34">
        <v>2</v>
      </c>
      <c r="T50" s="34">
        <v>2</v>
      </c>
      <c r="U50" s="34">
        <v>2</v>
      </c>
      <c r="V50" s="34">
        <v>3</v>
      </c>
      <c r="W50" s="66">
        <v>1</v>
      </c>
      <c r="X50" s="38">
        <f t="shared" si="0"/>
        <v>29</v>
      </c>
      <c r="Y50" s="107">
        <f t="shared" si="1"/>
        <v>0.55769230769230771</v>
      </c>
      <c r="Z50" s="34"/>
    </row>
    <row r="51" spans="1:26">
      <c r="A51" s="80">
        <v>21342465</v>
      </c>
      <c r="B51" s="80">
        <v>3</v>
      </c>
      <c r="C51" s="80" t="s">
        <v>316</v>
      </c>
      <c r="D51" s="81" t="s">
        <v>227</v>
      </c>
      <c r="E51" s="81" t="s">
        <v>317</v>
      </c>
      <c r="F51" s="98" t="s">
        <v>318</v>
      </c>
      <c r="G51" s="101" t="s">
        <v>153</v>
      </c>
      <c r="H51" s="102" t="s">
        <v>159</v>
      </c>
      <c r="I51" s="103">
        <v>45764</v>
      </c>
      <c r="J51" s="41"/>
      <c r="K51" s="41">
        <v>4</v>
      </c>
      <c r="L51" s="34">
        <v>4</v>
      </c>
      <c r="M51" s="34">
        <v>4</v>
      </c>
      <c r="N51" s="34">
        <v>4</v>
      </c>
      <c r="O51" s="34">
        <v>4</v>
      </c>
      <c r="P51" s="34">
        <v>4</v>
      </c>
      <c r="Q51" s="34">
        <v>4</v>
      </c>
      <c r="R51" s="34">
        <v>4</v>
      </c>
      <c r="S51" s="34">
        <v>3</v>
      </c>
      <c r="T51" s="34">
        <v>3</v>
      </c>
      <c r="U51" s="34">
        <v>3</v>
      </c>
      <c r="V51" s="34">
        <v>4</v>
      </c>
      <c r="W51" s="66">
        <v>2</v>
      </c>
      <c r="X51" s="38">
        <f t="shared" si="0"/>
        <v>47</v>
      </c>
      <c r="Y51" s="107">
        <f t="shared" si="1"/>
        <v>0.90384615384615385</v>
      </c>
      <c r="Z51" s="34"/>
    </row>
    <row r="52" spans="1:26">
      <c r="A52" s="80">
        <v>21358331</v>
      </c>
      <c r="B52" s="81" t="s">
        <v>258</v>
      </c>
      <c r="C52" s="80" t="s">
        <v>319</v>
      </c>
      <c r="D52" s="81" t="s">
        <v>320</v>
      </c>
      <c r="E52" s="81" t="s">
        <v>321</v>
      </c>
      <c r="F52" s="98" t="s">
        <v>322</v>
      </c>
      <c r="G52" s="101"/>
      <c r="H52" s="102" t="s">
        <v>144</v>
      </c>
      <c r="I52" s="43"/>
      <c r="J52" s="41"/>
      <c r="K52" s="41"/>
      <c r="L52" s="34"/>
      <c r="M52" s="34"/>
      <c r="N52" s="34"/>
      <c r="O52" s="34"/>
      <c r="P52" s="34"/>
      <c r="Q52" s="34"/>
      <c r="R52" s="34"/>
      <c r="S52" s="34"/>
      <c r="T52" s="34"/>
      <c r="U52" s="34"/>
      <c r="V52" s="34"/>
      <c r="W52" s="66"/>
      <c r="X52" s="38"/>
      <c r="Y52" s="107"/>
      <c r="Z52" s="34"/>
    </row>
    <row r="53" spans="1:26">
      <c r="A53" s="80">
        <v>21364717</v>
      </c>
      <c r="B53" s="80">
        <v>2</v>
      </c>
      <c r="C53" s="80" t="s">
        <v>323</v>
      </c>
      <c r="D53" s="81" t="s">
        <v>324</v>
      </c>
      <c r="E53" s="81" t="s">
        <v>325</v>
      </c>
      <c r="F53" s="98" t="s">
        <v>326</v>
      </c>
      <c r="G53" s="101" t="s">
        <v>153</v>
      </c>
      <c r="H53" s="102" t="s">
        <v>159</v>
      </c>
      <c r="I53" s="103">
        <v>45758</v>
      </c>
      <c r="J53" s="41"/>
      <c r="K53" s="41">
        <v>4</v>
      </c>
      <c r="L53" s="34">
        <v>4</v>
      </c>
      <c r="M53" s="34">
        <v>4</v>
      </c>
      <c r="N53" s="34">
        <v>4</v>
      </c>
      <c r="O53" s="34">
        <v>4</v>
      </c>
      <c r="P53" s="34">
        <v>4</v>
      </c>
      <c r="Q53" s="34">
        <v>4</v>
      </c>
      <c r="R53" s="34">
        <v>4</v>
      </c>
      <c r="S53" s="34">
        <v>0</v>
      </c>
      <c r="T53" s="34">
        <v>0</v>
      </c>
      <c r="U53" s="34">
        <v>0</v>
      </c>
      <c r="V53" s="34">
        <v>3</v>
      </c>
      <c r="W53" s="66">
        <v>1</v>
      </c>
      <c r="X53" s="38">
        <f t="shared" si="0"/>
        <v>36</v>
      </c>
      <c r="Y53" s="107">
        <f t="shared" si="1"/>
        <v>0.69230769230769229</v>
      </c>
      <c r="Z53" s="34"/>
    </row>
    <row r="54" spans="1:26">
      <c r="A54" s="80">
        <v>21401584</v>
      </c>
      <c r="B54" s="80">
        <v>6</v>
      </c>
      <c r="C54" s="80" t="s">
        <v>327</v>
      </c>
      <c r="D54" s="81" t="s">
        <v>328</v>
      </c>
      <c r="E54" s="81" t="s">
        <v>329</v>
      </c>
      <c r="F54" s="98" t="s">
        <v>330</v>
      </c>
      <c r="G54" s="101"/>
      <c r="H54" s="102" t="s">
        <v>144</v>
      </c>
      <c r="I54" s="43"/>
      <c r="J54" s="41"/>
      <c r="K54" s="41"/>
      <c r="L54" s="34"/>
      <c r="M54" s="34"/>
      <c r="N54" s="34"/>
      <c r="O54" s="34"/>
      <c r="P54" s="34"/>
      <c r="Q54" s="34"/>
      <c r="R54" s="34"/>
      <c r="S54" s="34"/>
      <c r="T54" s="34"/>
      <c r="U54" s="34"/>
      <c r="V54" s="34"/>
      <c r="W54" s="66"/>
      <c r="X54" s="38"/>
      <c r="Y54" s="107"/>
      <c r="Z54" s="34"/>
    </row>
    <row r="55" spans="1:26">
      <c r="A55" s="80">
        <v>21421332</v>
      </c>
      <c r="B55" s="81" t="s">
        <v>258</v>
      </c>
      <c r="C55" s="80" t="s">
        <v>331</v>
      </c>
      <c r="D55" s="81" t="s">
        <v>332</v>
      </c>
      <c r="E55" s="81" t="s">
        <v>333</v>
      </c>
      <c r="F55" s="98" t="s">
        <v>334</v>
      </c>
      <c r="G55" s="101" t="s">
        <v>153</v>
      </c>
      <c r="H55" s="102" t="s">
        <v>159</v>
      </c>
      <c r="I55" s="104">
        <v>45763</v>
      </c>
      <c r="J55" s="27"/>
      <c r="K55" s="27">
        <v>4</v>
      </c>
      <c r="L55" s="27">
        <v>4</v>
      </c>
      <c r="M55" s="27">
        <v>2</v>
      </c>
      <c r="N55" s="27">
        <v>3</v>
      </c>
      <c r="O55" s="27">
        <v>3</v>
      </c>
      <c r="P55" s="27">
        <v>2</v>
      </c>
      <c r="Q55" s="27">
        <v>2</v>
      </c>
      <c r="R55" s="27">
        <v>3</v>
      </c>
      <c r="S55" s="27">
        <v>2</v>
      </c>
      <c r="T55" s="27">
        <v>2</v>
      </c>
      <c r="U55" s="27">
        <v>3</v>
      </c>
      <c r="V55" s="27">
        <v>3</v>
      </c>
      <c r="W55" s="45">
        <v>1</v>
      </c>
      <c r="X55" s="38">
        <f t="shared" si="0"/>
        <v>34</v>
      </c>
      <c r="Y55" s="107">
        <f t="shared" si="1"/>
        <v>0.65384615384615385</v>
      </c>
      <c r="Z55" s="27"/>
    </row>
    <row r="56" spans="1:26">
      <c r="A56" s="80">
        <v>21456445</v>
      </c>
      <c r="B56" s="80">
        <v>9</v>
      </c>
      <c r="C56" s="80" t="s">
        <v>335</v>
      </c>
      <c r="D56" s="81" t="s">
        <v>336</v>
      </c>
      <c r="E56" s="81" t="s">
        <v>337</v>
      </c>
      <c r="F56" s="98" t="s">
        <v>338</v>
      </c>
      <c r="G56" s="101" t="s">
        <v>153</v>
      </c>
      <c r="H56" s="102" t="s">
        <v>159</v>
      </c>
      <c r="I56" s="104">
        <v>45764</v>
      </c>
      <c r="J56" s="27"/>
      <c r="K56" s="27">
        <v>3</v>
      </c>
      <c r="L56" s="27">
        <v>3</v>
      </c>
      <c r="M56" s="27">
        <v>2</v>
      </c>
      <c r="N56" s="27">
        <v>3</v>
      </c>
      <c r="O56" s="27">
        <v>1</v>
      </c>
      <c r="P56" s="27">
        <v>2</v>
      </c>
      <c r="Q56" s="27">
        <v>1</v>
      </c>
      <c r="R56" s="27"/>
      <c r="S56" s="27">
        <v>3</v>
      </c>
      <c r="T56" s="27">
        <v>2</v>
      </c>
      <c r="U56" s="27">
        <v>2</v>
      </c>
      <c r="V56" s="27">
        <v>3</v>
      </c>
      <c r="W56" s="45">
        <v>2</v>
      </c>
      <c r="X56" s="38">
        <f t="shared" si="0"/>
        <v>27</v>
      </c>
      <c r="Y56" s="107">
        <f t="shared" si="1"/>
        <v>0.51923076923076927</v>
      </c>
      <c r="Z56" s="27"/>
    </row>
    <row r="57" spans="1:26" ht="29.25">
      <c r="A57" s="80">
        <v>21488052</v>
      </c>
      <c r="B57" s="80">
        <v>0</v>
      </c>
      <c r="C57" s="80" t="s">
        <v>339</v>
      </c>
      <c r="D57" s="81" t="s">
        <v>340</v>
      </c>
      <c r="E57" s="81" t="s">
        <v>341</v>
      </c>
      <c r="F57" s="98" t="s">
        <v>342</v>
      </c>
      <c r="G57" s="101" t="s">
        <v>153</v>
      </c>
      <c r="H57" s="102" t="s">
        <v>159</v>
      </c>
      <c r="I57" s="104">
        <v>45765</v>
      </c>
      <c r="J57" s="41"/>
      <c r="K57" s="41">
        <v>4</v>
      </c>
      <c r="L57" s="34">
        <v>4</v>
      </c>
      <c r="M57" s="34">
        <v>4</v>
      </c>
      <c r="N57" s="34">
        <v>4</v>
      </c>
      <c r="O57" s="34">
        <v>4</v>
      </c>
      <c r="P57" s="34">
        <v>4</v>
      </c>
      <c r="Q57" s="34">
        <v>4</v>
      </c>
      <c r="R57" s="34">
        <v>4</v>
      </c>
      <c r="S57" s="34">
        <v>2</v>
      </c>
      <c r="T57" s="34">
        <v>2</v>
      </c>
      <c r="U57" s="34">
        <v>2</v>
      </c>
      <c r="V57" s="34">
        <v>4</v>
      </c>
      <c r="W57" s="66">
        <v>1</v>
      </c>
      <c r="X57" s="38">
        <f t="shared" si="0"/>
        <v>43</v>
      </c>
      <c r="Y57" s="107">
        <f t="shared" si="1"/>
        <v>0.82692307692307687</v>
      </c>
      <c r="Z57" s="34"/>
    </row>
    <row r="58" spans="1:26">
      <c r="A58" s="80">
        <v>21491532</v>
      </c>
      <c r="B58" s="80">
        <v>4</v>
      </c>
      <c r="C58" s="80" t="s">
        <v>343</v>
      </c>
      <c r="D58" s="81" t="s">
        <v>344</v>
      </c>
      <c r="E58" s="81" t="s">
        <v>233</v>
      </c>
      <c r="F58" s="98" t="s">
        <v>345</v>
      </c>
      <c r="G58" s="101"/>
      <c r="H58" s="102" t="s">
        <v>159</v>
      </c>
      <c r="I58" s="104">
        <v>45766</v>
      </c>
      <c r="J58" s="41"/>
      <c r="K58" s="41">
        <v>3</v>
      </c>
      <c r="L58" s="34">
        <v>2</v>
      </c>
      <c r="M58" s="34">
        <v>2</v>
      </c>
      <c r="N58" s="34">
        <v>2</v>
      </c>
      <c r="O58" s="34">
        <v>3</v>
      </c>
      <c r="P58" s="34">
        <v>2</v>
      </c>
      <c r="Q58" s="34">
        <v>1</v>
      </c>
      <c r="R58" s="34">
        <v>3</v>
      </c>
      <c r="S58" s="34">
        <v>2</v>
      </c>
      <c r="T58" s="34">
        <v>2</v>
      </c>
      <c r="U58" s="34">
        <v>2</v>
      </c>
      <c r="V58" s="34">
        <v>3</v>
      </c>
      <c r="W58" s="66">
        <v>0</v>
      </c>
      <c r="X58" s="38">
        <f t="shared" si="0"/>
        <v>27</v>
      </c>
      <c r="Y58" s="107">
        <f t="shared" si="1"/>
        <v>0.51923076923076927</v>
      </c>
      <c r="Z58" s="34"/>
    </row>
    <row r="59" spans="1:26">
      <c r="A59" s="80">
        <v>21504585</v>
      </c>
      <c r="B59" s="80">
        <v>4</v>
      </c>
      <c r="C59" s="80" t="s">
        <v>346</v>
      </c>
      <c r="D59" s="81" t="s">
        <v>241</v>
      </c>
      <c r="E59" s="81" t="s">
        <v>347</v>
      </c>
      <c r="F59" s="98" t="s">
        <v>348</v>
      </c>
      <c r="G59" s="101" t="s">
        <v>153</v>
      </c>
      <c r="H59" s="102" t="s">
        <v>159</v>
      </c>
      <c r="I59" s="104">
        <v>45764</v>
      </c>
      <c r="J59" s="41"/>
      <c r="K59" s="41">
        <v>4</v>
      </c>
      <c r="L59" s="34">
        <v>4</v>
      </c>
      <c r="M59" s="34">
        <v>2</v>
      </c>
      <c r="N59" s="34">
        <v>2</v>
      </c>
      <c r="O59" s="34">
        <v>2</v>
      </c>
      <c r="P59" s="34">
        <v>2</v>
      </c>
      <c r="Q59" s="34">
        <v>1</v>
      </c>
      <c r="R59" s="34">
        <v>3</v>
      </c>
      <c r="S59" s="34">
        <v>0</v>
      </c>
      <c r="T59" s="34">
        <v>0</v>
      </c>
      <c r="U59" s="34">
        <v>0</v>
      </c>
      <c r="V59" s="34">
        <v>1</v>
      </c>
      <c r="W59" s="66">
        <v>1</v>
      </c>
      <c r="X59" s="38">
        <f>SUM(K59:W59)</f>
        <v>22</v>
      </c>
      <c r="Y59" s="107">
        <f t="shared" si="1"/>
        <v>0.42307692307692307</v>
      </c>
      <c r="Z59" s="34"/>
    </row>
    <row r="60" spans="1:26">
      <c r="A60" s="80">
        <v>21505613</v>
      </c>
      <c r="B60" s="80">
        <v>9</v>
      </c>
      <c r="C60" s="80" t="s">
        <v>349</v>
      </c>
      <c r="D60" s="81" t="s">
        <v>350</v>
      </c>
      <c r="E60" s="81" t="s">
        <v>181</v>
      </c>
      <c r="F60" s="98" t="s">
        <v>351</v>
      </c>
      <c r="G60" s="101" t="s">
        <v>153</v>
      </c>
      <c r="H60" s="102" t="s">
        <v>159</v>
      </c>
      <c r="I60" s="104">
        <v>45764</v>
      </c>
      <c r="J60" s="41"/>
      <c r="K60" s="41">
        <v>4</v>
      </c>
      <c r="L60" s="34">
        <v>4</v>
      </c>
      <c r="M60" s="34">
        <v>4</v>
      </c>
      <c r="N60" s="34">
        <v>4</v>
      </c>
      <c r="O60" s="34">
        <v>4</v>
      </c>
      <c r="P60" s="34">
        <v>4</v>
      </c>
      <c r="Q60" s="34">
        <v>4</v>
      </c>
      <c r="R60" s="34">
        <v>4</v>
      </c>
      <c r="S60" s="34">
        <v>2</v>
      </c>
      <c r="T60" s="34">
        <v>2</v>
      </c>
      <c r="U60" s="34">
        <v>2</v>
      </c>
      <c r="V60" s="34">
        <v>3</v>
      </c>
      <c r="W60" s="66">
        <v>1</v>
      </c>
      <c r="X60" s="38">
        <f t="shared" si="0"/>
        <v>42</v>
      </c>
      <c r="Y60" s="107">
        <f t="shared" si="1"/>
        <v>0.80769230769230771</v>
      </c>
      <c r="Z60" s="34"/>
    </row>
    <row r="61" spans="1:26">
      <c r="A61" s="80">
        <v>21510480</v>
      </c>
      <c r="B61" s="81" t="s">
        <v>258</v>
      </c>
      <c r="C61" s="80" t="s">
        <v>352</v>
      </c>
      <c r="D61" s="81" t="s">
        <v>353</v>
      </c>
      <c r="E61" s="81" t="s">
        <v>354</v>
      </c>
      <c r="F61" s="98" t="s">
        <v>355</v>
      </c>
      <c r="G61" s="101" t="s">
        <v>153</v>
      </c>
      <c r="H61" s="102" t="s">
        <v>159</v>
      </c>
      <c r="I61" s="104">
        <v>45764</v>
      </c>
      <c r="J61" s="41"/>
      <c r="K61" s="41">
        <v>4</v>
      </c>
      <c r="L61" s="34">
        <v>4</v>
      </c>
      <c r="M61" s="34">
        <v>2</v>
      </c>
      <c r="N61" s="34">
        <v>2</v>
      </c>
      <c r="O61" s="34">
        <v>3</v>
      </c>
      <c r="P61" s="34">
        <v>3</v>
      </c>
      <c r="Q61" s="34">
        <v>2</v>
      </c>
      <c r="R61" s="34">
        <v>3</v>
      </c>
      <c r="S61" s="34">
        <v>2</v>
      </c>
      <c r="T61" s="34">
        <v>2</v>
      </c>
      <c r="U61" s="34">
        <v>2</v>
      </c>
      <c r="V61" s="34">
        <v>3</v>
      </c>
      <c r="W61" s="66">
        <v>1</v>
      </c>
      <c r="X61" s="38">
        <f t="shared" si="0"/>
        <v>33</v>
      </c>
      <c r="Y61" s="107">
        <f t="shared" si="1"/>
        <v>0.63461538461538458</v>
      </c>
      <c r="Z61" s="34"/>
    </row>
    <row r="62" spans="1:26">
      <c r="A62" s="80">
        <v>21526904</v>
      </c>
      <c r="B62" s="80">
        <v>3</v>
      </c>
      <c r="C62" s="80" t="s">
        <v>356</v>
      </c>
      <c r="D62" s="81" t="s">
        <v>244</v>
      </c>
      <c r="E62" s="81" t="s">
        <v>357</v>
      </c>
      <c r="F62" s="98" t="s">
        <v>358</v>
      </c>
      <c r="G62" s="101" t="s">
        <v>143</v>
      </c>
      <c r="H62" s="102" t="s">
        <v>144</v>
      </c>
      <c r="I62" s="43"/>
      <c r="J62" s="41"/>
      <c r="K62" s="41"/>
      <c r="L62" s="34"/>
      <c r="M62" s="34"/>
      <c r="N62" s="34"/>
      <c r="O62" s="34"/>
      <c r="P62" s="34"/>
      <c r="Q62" s="34"/>
      <c r="R62" s="34"/>
      <c r="S62" s="34"/>
      <c r="T62" s="34"/>
      <c r="U62" s="34"/>
      <c r="V62" s="34"/>
      <c r="W62" s="66"/>
      <c r="X62" s="38"/>
      <c r="Y62" s="107"/>
      <c r="Z62" s="34"/>
    </row>
    <row r="63" spans="1:26">
      <c r="A63" s="80">
        <v>21553279</v>
      </c>
      <c r="B63" s="80">
        <v>8</v>
      </c>
      <c r="C63" s="80" t="s">
        <v>359</v>
      </c>
      <c r="D63" s="81" t="s">
        <v>360</v>
      </c>
      <c r="E63" s="81" t="s">
        <v>361</v>
      </c>
      <c r="F63" s="98" t="s">
        <v>362</v>
      </c>
      <c r="G63" s="101" t="s">
        <v>143</v>
      </c>
      <c r="H63" s="102" t="s">
        <v>144</v>
      </c>
      <c r="I63" s="43"/>
      <c r="J63" s="41"/>
      <c r="K63" s="41"/>
      <c r="L63" s="34"/>
      <c r="M63" s="34"/>
      <c r="N63" s="34"/>
      <c r="O63" s="34"/>
      <c r="P63" s="34"/>
      <c r="Q63" s="34"/>
      <c r="R63" s="34"/>
      <c r="S63" s="34"/>
      <c r="T63" s="34"/>
      <c r="U63" s="34"/>
      <c r="V63" s="34"/>
      <c r="W63" s="66"/>
      <c r="X63" s="38"/>
      <c r="Y63" s="107"/>
      <c r="Z63" s="34"/>
    </row>
    <row r="64" spans="1:26">
      <c r="A64" s="80">
        <v>21556382</v>
      </c>
      <c r="B64" s="80">
        <v>0</v>
      </c>
      <c r="C64" s="80" t="s">
        <v>363</v>
      </c>
      <c r="D64" s="81" t="s">
        <v>364</v>
      </c>
      <c r="E64" s="81" t="s">
        <v>365</v>
      </c>
      <c r="F64" s="98" t="s">
        <v>366</v>
      </c>
      <c r="G64" s="101" t="s">
        <v>153</v>
      </c>
      <c r="H64" s="102" t="s">
        <v>159</v>
      </c>
      <c r="I64" s="105">
        <v>45765</v>
      </c>
      <c r="J64" s="41"/>
      <c r="K64" s="41">
        <v>4</v>
      </c>
      <c r="L64" s="34">
        <v>4</v>
      </c>
      <c r="M64" s="34">
        <v>4</v>
      </c>
      <c r="N64" s="34">
        <v>4</v>
      </c>
      <c r="O64" s="34">
        <v>4</v>
      </c>
      <c r="P64" s="34">
        <v>4</v>
      </c>
      <c r="Q64" s="34">
        <v>4</v>
      </c>
      <c r="R64" s="34">
        <v>4</v>
      </c>
      <c r="S64" s="34">
        <v>2</v>
      </c>
      <c r="T64" s="34">
        <v>2</v>
      </c>
      <c r="U64" s="34">
        <v>2</v>
      </c>
      <c r="V64" s="34">
        <v>3</v>
      </c>
      <c r="W64" s="66">
        <v>3</v>
      </c>
      <c r="X64" s="38">
        <f t="shared" si="0"/>
        <v>44</v>
      </c>
      <c r="Y64" s="107">
        <f t="shared" si="1"/>
        <v>0.84615384615384615</v>
      </c>
      <c r="Z64" s="34"/>
    </row>
    <row r="65" spans="1:26" ht="29.25">
      <c r="A65" s="80">
        <v>21587158</v>
      </c>
      <c r="B65" s="80">
        <v>4</v>
      </c>
      <c r="C65" s="80" t="s">
        <v>367</v>
      </c>
      <c r="D65" s="81" t="s">
        <v>368</v>
      </c>
      <c r="E65" s="81" t="s">
        <v>369</v>
      </c>
      <c r="F65" s="98" t="s">
        <v>370</v>
      </c>
      <c r="G65" s="101" t="s">
        <v>153</v>
      </c>
      <c r="H65" s="102" t="s">
        <v>159</v>
      </c>
      <c r="I65" s="104">
        <v>45764</v>
      </c>
      <c r="J65" s="41"/>
      <c r="K65" s="41">
        <v>2</v>
      </c>
      <c r="L65" s="34">
        <v>2</v>
      </c>
      <c r="M65" s="34">
        <v>4</v>
      </c>
      <c r="N65" s="34">
        <v>4</v>
      </c>
      <c r="O65" s="34">
        <v>2</v>
      </c>
      <c r="P65" s="34">
        <v>3</v>
      </c>
      <c r="Q65" s="34">
        <v>2</v>
      </c>
      <c r="R65" s="34">
        <v>3</v>
      </c>
      <c r="S65" s="34">
        <v>3</v>
      </c>
      <c r="T65" s="34">
        <v>3</v>
      </c>
      <c r="U65" s="34">
        <v>2</v>
      </c>
      <c r="V65" s="34">
        <v>3</v>
      </c>
      <c r="W65" s="66">
        <v>1</v>
      </c>
      <c r="X65" s="38">
        <f t="shared" si="0"/>
        <v>34</v>
      </c>
      <c r="Y65" s="107">
        <f t="shared" si="1"/>
        <v>0.65384615384615385</v>
      </c>
      <c r="Z65" s="34"/>
    </row>
    <row r="66" spans="1:26">
      <c r="A66" s="80">
        <v>21598463</v>
      </c>
      <c r="B66" s="81" t="s">
        <v>258</v>
      </c>
      <c r="C66" s="80" t="s">
        <v>371</v>
      </c>
      <c r="D66" s="81" t="s">
        <v>204</v>
      </c>
      <c r="E66" s="81" t="s">
        <v>372</v>
      </c>
      <c r="F66" s="98" t="s">
        <v>373</v>
      </c>
      <c r="G66" s="101" t="s">
        <v>153</v>
      </c>
      <c r="H66" s="102" t="s">
        <v>159</v>
      </c>
      <c r="I66" s="104">
        <v>45764</v>
      </c>
      <c r="J66" s="41"/>
      <c r="K66" s="41">
        <v>2</v>
      </c>
      <c r="L66" s="34">
        <v>2</v>
      </c>
      <c r="M66" s="34">
        <v>0</v>
      </c>
      <c r="N66" s="34">
        <v>0</v>
      </c>
      <c r="O66" s="34">
        <v>0</v>
      </c>
      <c r="P66" s="34">
        <v>0</v>
      </c>
      <c r="Q66" s="34">
        <v>0</v>
      </c>
      <c r="R66" s="34">
        <v>0</v>
      </c>
      <c r="S66" s="34">
        <v>0</v>
      </c>
      <c r="T66" s="34">
        <v>0</v>
      </c>
      <c r="U66" s="34">
        <v>0</v>
      </c>
      <c r="V66" s="34">
        <v>1</v>
      </c>
      <c r="W66" s="66">
        <v>0</v>
      </c>
      <c r="X66" s="38">
        <f t="shared" si="0"/>
        <v>5</v>
      </c>
      <c r="Y66" s="107">
        <f t="shared" si="1"/>
        <v>9.6153846153846159E-2</v>
      </c>
      <c r="Z66" s="34"/>
    </row>
    <row r="67" spans="1:26">
      <c r="A67" s="80">
        <v>21608544</v>
      </c>
      <c r="B67" s="80">
        <v>2</v>
      </c>
      <c r="C67" s="80" t="s">
        <v>374</v>
      </c>
      <c r="D67" s="81" t="s">
        <v>375</v>
      </c>
      <c r="E67" s="81" t="s">
        <v>361</v>
      </c>
      <c r="F67" s="98" t="s">
        <v>376</v>
      </c>
      <c r="G67" s="101" t="s">
        <v>153</v>
      </c>
      <c r="H67" s="102" t="s">
        <v>159</v>
      </c>
      <c r="I67" s="104">
        <v>45764</v>
      </c>
      <c r="J67" s="41"/>
      <c r="K67" s="41">
        <v>4</v>
      </c>
      <c r="L67" s="34">
        <v>4</v>
      </c>
      <c r="M67" s="34">
        <v>4</v>
      </c>
      <c r="N67" s="34">
        <v>4</v>
      </c>
      <c r="O67" s="34">
        <v>4</v>
      </c>
      <c r="P67" s="34">
        <v>4</v>
      </c>
      <c r="Q67" s="34">
        <v>4</v>
      </c>
      <c r="R67" s="34">
        <v>4</v>
      </c>
      <c r="S67" s="34">
        <v>2</v>
      </c>
      <c r="T67" s="34">
        <v>2</v>
      </c>
      <c r="U67" s="34">
        <v>2</v>
      </c>
      <c r="V67" s="34">
        <v>3</v>
      </c>
      <c r="W67" s="66">
        <v>0</v>
      </c>
      <c r="X67" s="38">
        <f t="shared" si="0"/>
        <v>41</v>
      </c>
      <c r="Y67" s="107">
        <f t="shared" si="1"/>
        <v>0.78846153846153844</v>
      </c>
      <c r="Z67" s="34"/>
    </row>
    <row r="68" spans="1:26">
      <c r="A68" s="80">
        <v>21643358</v>
      </c>
      <c r="B68" s="80">
        <v>0</v>
      </c>
      <c r="C68" s="80" t="s">
        <v>377</v>
      </c>
      <c r="D68" s="81" t="s">
        <v>378</v>
      </c>
      <c r="E68" s="81" t="s">
        <v>379</v>
      </c>
      <c r="F68" s="98" t="s">
        <v>380</v>
      </c>
      <c r="G68" s="101" t="s">
        <v>153</v>
      </c>
      <c r="H68" s="102" t="s">
        <v>159</v>
      </c>
      <c r="I68" s="104">
        <v>45764</v>
      </c>
      <c r="J68" s="41"/>
      <c r="K68" s="41">
        <v>4</v>
      </c>
      <c r="L68" s="34">
        <v>4</v>
      </c>
      <c r="M68" s="34">
        <v>4</v>
      </c>
      <c r="N68" s="34">
        <v>4</v>
      </c>
      <c r="O68" s="34">
        <v>4</v>
      </c>
      <c r="P68" s="34">
        <v>4</v>
      </c>
      <c r="Q68" s="34">
        <v>4</v>
      </c>
      <c r="R68" s="34">
        <v>4</v>
      </c>
      <c r="S68" s="34">
        <v>2</v>
      </c>
      <c r="T68" s="34">
        <v>2</v>
      </c>
      <c r="U68" s="34">
        <v>2</v>
      </c>
      <c r="V68" s="34">
        <v>4</v>
      </c>
      <c r="W68" s="66">
        <v>2</v>
      </c>
      <c r="X68" s="38">
        <f t="shared" si="0"/>
        <v>44</v>
      </c>
      <c r="Y68" s="107">
        <f t="shared" si="1"/>
        <v>0.84615384615384615</v>
      </c>
      <c r="Z68" s="34"/>
    </row>
    <row r="69" spans="1:26">
      <c r="A69" s="80">
        <v>21658781</v>
      </c>
      <c r="B69" s="80">
        <v>2</v>
      </c>
      <c r="C69" s="80" t="s">
        <v>381</v>
      </c>
      <c r="D69" s="81" t="s">
        <v>382</v>
      </c>
      <c r="E69" s="81" t="s">
        <v>244</v>
      </c>
      <c r="F69" s="98" t="s">
        <v>383</v>
      </c>
      <c r="G69" s="99" t="s">
        <v>143</v>
      </c>
      <c r="H69" s="102" t="s">
        <v>144</v>
      </c>
      <c r="I69" s="40"/>
      <c r="J69" s="27"/>
      <c r="K69" s="27"/>
      <c r="L69" s="27"/>
      <c r="M69" s="27"/>
      <c r="N69" s="27"/>
      <c r="O69" s="27"/>
      <c r="P69" s="27"/>
      <c r="Q69" s="27"/>
      <c r="R69" s="27"/>
      <c r="S69" s="27"/>
      <c r="T69" s="27"/>
      <c r="U69" s="27"/>
      <c r="V69" s="27"/>
      <c r="W69" s="45"/>
      <c r="X69" s="38"/>
      <c r="Y69" s="107"/>
      <c r="Z69" s="27"/>
    </row>
    <row r="70" spans="1:26">
      <c r="A70" s="80">
        <v>21660799</v>
      </c>
      <c r="B70" s="80">
        <v>6</v>
      </c>
      <c r="C70" s="80" t="s">
        <v>384</v>
      </c>
      <c r="D70" s="81" t="s">
        <v>385</v>
      </c>
      <c r="E70" s="81" t="s">
        <v>386</v>
      </c>
      <c r="F70" s="98" t="s">
        <v>387</v>
      </c>
      <c r="G70" s="101" t="s">
        <v>143</v>
      </c>
      <c r="H70" s="102" t="s">
        <v>144</v>
      </c>
      <c r="I70" s="43"/>
      <c r="J70" s="41"/>
      <c r="K70" s="41"/>
      <c r="L70" s="34"/>
      <c r="M70" s="34"/>
      <c r="N70" s="34"/>
      <c r="O70" s="34"/>
      <c r="P70" s="34"/>
      <c r="Q70" s="34"/>
      <c r="R70" s="34"/>
      <c r="S70" s="34"/>
      <c r="T70" s="34"/>
      <c r="U70" s="34"/>
      <c r="V70" s="34"/>
      <c r="W70" s="66"/>
      <c r="X70" s="38"/>
      <c r="Y70" s="107"/>
      <c r="Z70" s="34"/>
    </row>
    <row r="71" spans="1:26">
      <c r="A71" s="80">
        <v>21669776</v>
      </c>
      <c r="B71" s="80">
        <v>6</v>
      </c>
      <c r="C71" s="80" t="s">
        <v>388</v>
      </c>
      <c r="D71" s="81" t="s">
        <v>389</v>
      </c>
      <c r="E71" s="81" t="s">
        <v>390</v>
      </c>
      <c r="F71" s="98" t="s">
        <v>391</v>
      </c>
      <c r="G71" s="101" t="s">
        <v>153</v>
      </c>
      <c r="H71" s="102" t="s">
        <v>159</v>
      </c>
      <c r="I71" s="104">
        <v>45764</v>
      </c>
      <c r="J71" s="41"/>
      <c r="K71" s="41">
        <v>4</v>
      </c>
      <c r="L71" s="34">
        <v>4</v>
      </c>
      <c r="M71" s="34">
        <v>2</v>
      </c>
      <c r="N71" s="34">
        <v>3</v>
      </c>
      <c r="O71" s="34">
        <v>4</v>
      </c>
      <c r="P71" s="34">
        <v>2</v>
      </c>
      <c r="Q71" s="34">
        <v>3</v>
      </c>
      <c r="R71" s="34">
        <v>2</v>
      </c>
      <c r="S71" s="34">
        <v>1</v>
      </c>
      <c r="T71" s="34">
        <v>2</v>
      </c>
      <c r="U71" s="34">
        <v>1</v>
      </c>
      <c r="V71" s="34">
        <v>2</v>
      </c>
      <c r="W71" s="66">
        <v>0</v>
      </c>
      <c r="X71" s="38">
        <f t="shared" ref="X69:X86" si="2">SUM(K71:W71)</f>
        <v>30</v>
      </c>
      <c r="Y71" s="107">
        <f t="shared" si="1"/>
        <v>0.57692307692307687</v>
      </c>
      <c r="Z71" s="34"/>
    </row>
    <row r="72" spans="1:26">
      <c r="A72" s="80">
        <v>21673726</v>
      </c>
      <c r="B72" s="80">
        <v>1</v>
      </c>
      <c r="C72" s="80" t="s">
        <v>392</v>
      </c>
      <c r="D72" s="81" t="s">
        <v>393</v>
      </c>
      <c r="E72" s="81" t="s">
        <v>394</v>
      </c>
      <c r="F72" s="98" t="s">
        <v>395</v>
      </c>
      <c r="G72" s="101" t="s">
        <v>153</v>
      </c>
      <c r="H72" s="102" t="s">
        <v>159</v>
      </c>
      <c r="I72" s="104">
        <v>45764</v>
      </c>
      <c r="J72" s="34"/>
      <c r="K72" s="34">
        <v>2</v>
      </c>
      <c r="L72" s="34">
        <v>2</v>
      </c>
      <c r="M72" s="34">
        <v>3</v>
      </c>
      <c r="N72" s="34">
        <v>3</v>
      </c>
      <c r="O72" s="34">
        <v>2</v>
      </c>
      <c r="P72" s="34">
        <v>3</v>
      </c>
      <c r="Q72" s="34">
        <v>2</v>
      </c>
      <c r="R72" s="34">
        <v>3</v>
      </c>
      <c r="S72" s="34">
        <v>2</v>
      </c>
      <c r="T72" s="34">
        <v>2</v>
      </c>
      <c r="U72" s="34">
        <v>2</v>
      </c>
      <c r="V72" s="34">
        <v>3</v>
      </c>
      <c r="W72" s="66">
        <v>0</v>
      </c>
      <c r="X72" s="38">
        <f t="shared" si="2"/>
        <v>29</v>
      </c>
      <c r="Y72" s="107">
        <f t="shared" ref="Y72:Y86" si="3">X72/52</f>
        <v>0.55769230769230771</v>
      </c>
      <c r="Z72" s="34"/>
    </row>
    <row r="73" spans="1:26">
      <c r="A73" s="80">
        <v>21686568</v>
      </c>
      <c r="B73" s="80">
        <v>5</v>
      </c>
      <c r="C73" s="80" t="s">
        <v>396</v>
      </c>
      <c r="D73" s="81" t="s">
        <v>397</v>
      </c>
      <c r="E73" s="81" t="s">
        <v>398</v>
      </c>
      <c r="F73" s="98" t="s">
        <v>399</v>
      </c>
      <c r="G73" s="101" t="s">
        <v>153</v>
      </c>
      <c r="H73" s="102" t="s">
        <v>159</v>
      </c>
      <c r="I73" s="104">
        <v>45763</v>
      </c>
      <c r="J73" s="34"/>
      <c r="K73" s="34">
        <v>3</v>
      </c>
      <c r="L73" s="34">
        <v>2</v>
      </c>
      <c r="M73" s="34">
        <v>3</v>
      </c>
      <c r="N73" s="34">
        <v>3</v>
      </c>
      <c r="O73" s="34">
        <v>3</v>
      </c>
      <c r="P73" s="34">
        <v>2</v>
      </c>
      <c r="Q73" s="34">
        <v>3</v>
      </c>
      <c r="R73" s="34">
        <v>2</v>
      </c>
      <c r="S73" s="34">
        <v>1</v>
      </c>
      <c r="T73" s="34">
        <v>2</v>
      </c>
      <c r="U73" s="34">
        <v>2</v>
      </c>
      <c r="V73" s="34">
        <v>3</v>
      </c>
      <c r="W73" s="66">
        <v>0</v>
      </c>
      <c r="X73" s="38">
        <f t="shared" si="2"/>
        <v>29</v>
      </c>
      <c r="Y73" s="107">
        <f t="shared" si="3"/>
        <v>0.55769230769230771</v>
      </c>
      <c r="Z73" s="34"/>
    </row>
    <row r="74" spans="1:26">
      <c r="A74" s="80">
        <v>21688151</v>
      </c>
      <c r="B74" s="80">
        <v>6</v>
      </c>
      <c r="C74" s="80" t="s">
        <v>400</v>
      </c>
      <c r="D74" s="81" t="s">
        <v>401</v>
      </c>
      <c r="E74" s="81" t="s">
        <v>402</v>
      </c>
      <c r="F74" s="98" t="s">
        <v>403</v>
      </c>
      <c r="G74" s="99" t="s">
        <v>153</v>
      </c>
      <c r="H74" s="100" t="s">
        <v>159</v>
      </c>
      <c r="I74" s="104">
        <v>45764</v>
      </c>
      <c r="J74" s="34"/>
      <c r="K74" s="34">
        <v>4</v>
      </c>
      <c r="L74" s="34">
        <v>4</v>
      </c>
      <c r="M74" s="34">
        <v>4</v>
      </c>
      <c r="N74" s="34">
        <v>4</v>
      </c>
      <c r="O74" s="34">
        <v>4</v>
      </c>
      <c r="P74" s="34">
        <v>4</v>
      </c>
      <c r="Q74" s="34">
        <v>3</v>
      </c>
      <c r="R74" s="34">
        <v>3</v>
      </c>
      <c r="S74" s="34">
        <v>2</v>
      </c>
      <c r="T74" s="34">
        <v>2</v>
      </c>
      <c r="U74" s="34">
        <v>2</v>
      </c>
      <c r="V74" s="34">
        <v>3</v>
      </c>
      <c r="W74" s="66">
        <v>0</v>
      </c>
      <c r="X74" s="38">
        <f t="shared" si="2"/>
        <v>39</v>
      </c>
      <c r="Y74" s="107">
        <f t="shared" si="3"/>
        <v>0.75</v>
      </c>
      <c r="Z74" s="34"/>
    </row>
    <row r="75" spans="1:26">
      <c r="A75" s="80">
        <v>21691057</v>
      </c>
      <c r="B75" s="80">
        <v>5</v>
      </c>
      <c r="C75" s="80" t="s">
        <v>404</v>
      </c>
      <c r="D75" s="81" t="s">
        <v>405</v>
      </c>
      <c r="E75" s="81" t="s">
        <v>406</v>
      </c>
      <c r="F75" s="98" t="s">
        <v>407</v>
      </c>
      <c r="G75" s="99" t="s">
        <v>153</v>
      </c>
      <c r="H75" s="100" t="s">
        <v>159</v>
      </c>
      <c r="I75" s="104">
        <v>45764</v>
      </c>
      <c r="J75" s="34"/>
      <c r="K75" s="34">
        <v>4</v>
      </c>
      <c r="L75" s="34">
        <v>4</v>
      </c>
      <c r="M75" s="34">
        <v>4</v>
      </c>
      <c r="N75" s="34">
        <v>4</v>
      </c>
      <c r="O75" s="34">
        <v>4</v>
      </c>
      <c r="P75" s="34">
        <v>4</v>
      </c>
      <c r="Q75" s="34">
        <v>4</v>
      </c>
      <c r="R75" s="34">
        <v>4</v>
      </c>
      <c r="S75" s="34">
        <v>4</v>
      </c>
      <c r="T75" s="34">
        <v>4</v>
      </c>
      <c r="U75" s="34">
        <v>4</v>
      </c>
      <c r="V75" s="34">
        <v>4</v>
      </c>
      <c r="W75" s="66">
        <v>4</v>
      </c>
      <c r="X75" s="38">
        <f t="shared" si="2"/>
        <v>52</v>
      </c>
      <c r="Y75" s="107">
        <f t="shared" si="3"/>
        <v>1</v>
      </c>
      <c r="Z75" s="34"/>
    </row>
    <row r="76" spans="1:26">
      <c r="A76" s="80">
        <v>21694017</v>
      </c>
      <c r="B76" s="80">
        <v>2</v>
      </c>
      <c r="C76" s="80" t="s">
        <v>408</v>
      </c>
      <c r="D76" s="81" t="s">
        <v>409</v>
      </c>
      <c r="E76" s="81" t="s">
        <v>410</v>
      </c>
      <c r="F76" s="98" t="s">
        <v>411</v>
      </c>
      <c r="G76" s="99" t="s">
        <v>153</v>
      </c>
      <c r="H76" s="100" t="s">
        <v>159</v>
      </c>
      <c r="I76" s="104">
        <v>45764</v>
      </c>
      <c r="J76" s="27"/>
      <c r="K76" s="27">
        <v>4</v>
      </c>
      <c r="L76" s="27">
        <v>4</v>
      </c>
      <c r="M76" s="27">
        <v>4</v>
      </c>
      <c r="N76" s="27">
        <v>4</v>
      </c>
      <c r="O76" s="27">
        <v>4</v>
      </c>
      <c r="P76" s="27">
        <v>4</v>
      </c>
      <c r="Q76" s="27">
        <v>4</v>
      </c>
      <c r="R76" s="27">
        <v>4</v>
      </c>
      <c r="S76" s="27">
        <v>3</v>
      </c>
      <c r="T76" s="27">
        <v>3</v>
      </c>
      <c r="U76" s="27">
        <v>3</v>
      </c>
      <c r="V76" s="27">
        <v>4</v>
      </c>
      <c r="W76" s="45">
        <v>2</v>
      </c>
      <c r="X76" s="38">
        <f t="shared" si="2"/>
        <v>47</v>
      </c>
      <c r="Y76" s="107">
        <f t="shared" si="3"/>
        <v>0.90384615384615385</v>
      </c>
      <c r="Z76" s="27"/>
    </row>
    <row r="77" spans="1:26">
      <c r="A77" s="80">
        <v>21711482</v>
      </c>
      <c r="B77" s="80">
        <v>9</v>
      </c>
      <c r="C77" s="80" t="s">
        <v>412</v>
      </c>
      <c r="D77" s="81" t="s">
        <v>413</v>
      </c>
      <c r="E77" s="81" t="s">
        <v>414</v>
      </c>
      <c r="F77" s="98" t="s">
        <v>415</v>
      </c>
      <c r="G77" s="99" t="s">
        <v>153</v>
      </c>
      <c r="H77" s="100" t="s">
        <v>159</v>
      </c>
      <c r="I77" s="104">
        <v>45764</v>
      </c>
      <c r="J77" s="27"/>
      <c r="K77" s="27">
        <v>3</v>
      </c>
      <c r="L77" s="27">
        <v>2</v>
      </c>
      <c r="M77" s="27">
        <v>2</v>
      </c>
      <c r="N77" s="27">
        <v>2</v>
      </c>
      <c r="O77" s="27">
        <v>1</v>
      </c>
      <c r="P77" s="27">
        <v>2</v>
      </c>
      <c r="Q77" s="27">
        <v>1</v>
      </c>
      <c r="R77" s="27">
        <v>1</v>
      </c>
      <c r="S77" s="27">
        <v>2</v>
      </c>
      <c r="T77" s="27">
        <v>2</v>
      </c>
      <c r="U77" s="27">
        <v>2</v>
      </c>
      <c r="V77" s="27">
        <v>3</v>
      </c>
      <c r="W77" s="45">
        <v>0</v>
      </c>
      <c r="X77" s="38">
        <f t="shared" si="2"/>
        <v>23</v>
      </c>
      <c r="Y77" s="107">
        <f t="shared" si="3"/>
        <v>0.44230769230769229</v>
      </c>
      <c r="Z77" s="27"/>
    </row>
    <row r="78" spans="1:26">
      <c r="A78" s="80">
        <v>21733183</v>
      </c>
      <c r="B78" s="80">
        <v>8</v>
      </c>
      <c r="C78" s="80" t="s">
        <v>416</v>
      </c>
      <c r="D78" s="81" t="s">
        <v>417</v>
      </c>
      <c r="E78" s="81" t="s">
        <v>418</v>
      </c>
      <c r="F78" s="98" t="s">
        <v>419</v>
      </c>
      <c r="G78" s="101" t="s">
        <v>153</v>
      </c>
      <c r="H78" s="102" t="s">
        <v>159</v>
      </c>
      <c r="I78" s="104">
        <v>45764</v>
      </c>
      <c r="J78" s="34"/>
      <c r="K78" s="34">
        <v>3</v>
      </c>
      <c r="L78" s="34">
        <v>3</v>
      </c>
      <c r="M78" s="34">
        <v>4</v>
      </c>
      <c r="N78" s="34">
        <v>4</v>
      </c>
      <c r="O78" s="34">
        <v>4</v>
      </c>
      <c r="P78" s="34">
        <v>3</v>
      </c>
      <c r="Q78" s="34">
        <v>3</v>
      </c>
      <c r="R78" s="34">
        <v>3</v>
      </c>
      <c r="S78" s="34">
        <v>3</v>
      </c>
      <c r="T78" s="34">
        <v>3</v>
      </c>
      <c r="U78" s="34">
        <v>3</v>
      </c>
      <c r="V78" s="34">
        <v>4</v>
      </c>
      <c r="W78" s="66">
        <v>1</v>
      </c>
      <c r="X78" s="38">
        <f t="shared" si="2"/>
        <v>41</v>
      </c>
      <c r="Y78" s="107">
        <f t="shared" si="3"/>
        <v>0.78846153846153844</v>
      </c>
      <c r="Z78" s="34"/>
    </row>
    <row r="79" spans="1:26" ht="29.25">
      <c r="A79" s="80">
        <v>21733599</v>
      </c>
      <c r="B79" s="81" t="s">
        <v>258</v>
      </c>
      <c r="C79" s="80" t="s">
        <v>420</v>
      </c>
      <c r="D79" s="81" t="s">
        <v>285</v>
      </c>
      <c r="E79" s="81" t="s">
        <v>421</v>
      </c>
      <c r="F79" s="98" t="s">
        <v>422</v>
      </c>
      <c r="G79" s="101" t="s">
        <v>153</v>
      </c>
      <c r="H79" s="102" t="s">
        <v>154</v>
      </c>
      <c r="I79" s="37"/>
      <c r="J79" s="34"/>
      <c r="K79" s="34"/>
      <c r="L79" s="34"/>
      <c r="M79" s="34"/>
      <c r="N79" s="34"/>
      <c r="O79" s="34"/>
      <c r="P79" s="34"/>
      <c r="Q79" s="34"/>
      <c r="R79" s="34"/>
      <c r="S79" s="34"/>
      <c r="T79" s="34"/>
      <c r="U79" s="34"/>
      <c r="V79" s="34"/>
      <c r="W79" s="66"/>
      <c r="X79" s="38"/>
      <c r="Y79" s="107"/>
      <c r="Z79" s="34"/>
    </row>
    <row r="80" spans="1:26">
      <c r="A80" s="80">
        <v>21758983</v>
      </c>
      <c r="B80" s="80">
        <v>5</v>
      </c>
      <c r="C80" s="80" t="s">
        <v>423</v>
      </c>
      <c r="D80" s="81" t="s">
        <v>424</v>
      </c>
      <c r="E80" s="81" t="s">
        <v>425</v>
      </c>
      <c r="F80" s="98" t="s">
        <v>426</v>
      </c>
      <c r="G80" s="101" t="s">
        <v>153</v>
      </c>
      <c r="H80" s="102" t="s">
        <v>159</v>
      </c>
      <c r="I80" s="104">
        <v>45764</v>
      </c>
      <c r="J80" s="34"/>
      <c r="K80" s="34">
        <v>2</v>
      </c>
      <c r="L80" s="34">
        <v>2</v>
      </c>
      <c r="M80" s="34">
        <v>2</v>
      </c>
      <c r="N80" s="34">
        <v>3</v>
      </c>
      <c r="O80" s="34">
        <v>3</v>
      </c>
      <c r="P80" s="34">
        <v>2</v>
      </c>
      <c r="Q80" s="34">
        <v>1</v>
      </c>
      <c r="R80" s="34">
        <v>2</v>
      </c>
      <c r="S80" s="34">
        <v>2</v>
      </c>
      <c r="T80" s="34">
        <v>2</v>
      </c>
      <c r="U80" s="34">
        <v>2</v>
      </c>
      <c r="V80" s="34">
        <v>3</v>
      </c>
      <c r="W80" s="66">
        <v>0</v>
      </c>
      <c r="X80" s="38">
        <f t="shared" si="2"/>
        <v>26</v>
      </c>
      <c r="Y80" s="107">
        <f t="shared" si="3"/>
        <v>0.5</v>
      </c>
      <c r="Z80" s="34"/>
    </row>
    <row r="81" spans="1:26">
      <c r="A81" s="80">
        <v>21763137</v>
      </c>
      <c r="B81" s="80">
        <v>8</v>
      </c>
      <c r="C81" s="80" t="s">
        <v>427</v>
      </c>
      <c r="D81" s="81" t="s">
        <v>428</v>
      </c>
      <c r="E81" s="81" t="s">
        <v>157</v>
      </c>
      <c r="F81" s="98" t="s">
        <v>429</v>
      </c>
      <c r="G81" s="101" t="s">
        <v>153</v>
      </c>
      <c r="H81" s="102" t="s">
        <v>159</v>
      </c>
      <c r="I81" s="104">
        <v>45764</v>
      </c>
      <c r="J81" s="34"/>
      <c r="K81" s="34">
        <v>3</v>
      </c>
      <c r="L81" s="34">
        <v>3</v>
      </c>
      <c r="M81" s="34">
        <v>4</v>
      </c>
      <c r="N81" s="34">
        <v>3</v>
      </c>
      <c r="O81" s="34">
        <v>2</v>
      </c>
      <c r="P81" s="34">
        <v>3</v>
      </c>
      <c r="Q81" s="34">
        <v>1</v>
      </c>
      <c r="R81" s="34">
        <v>2</v>
      </c>
      <c r="S81" s="34">
        <v>2</v>
      </c>
      <c r="T81" s="34">
        <v>2</v>
      </c>
      <c r="U81" s="34">
        <v>2</v>
      </c>
      <c r="V81" s="34">
        <v>2</v>
      </c>
      <c r="W81" s="66">
        <v>0</v>
      </c>
      <c r="X81" s="38">
        <f t="shared" si="2"/>
        <v>29</v>
      </c>
      <c r="Y81" s="107">
        <f t="shared" si="3"/>
        <v>0.55769230769230771</v>
      </c>
      <c r="Z81" s="34"/>
    </row>
    <row r="82" spans="1:26">
      <c r="A82" s="80">
        <v>21775896</v>
      </c>
      <c r="B82" s="80">
        <v>3</v>
      </c>
      <c r="C82" s="80" t="s">
        <v>430</v>
      </c>
      <c r="D82" s="81" t="s">
        <v>230</v>
      </c>
      <c r="E82" s="81" t="s">
        <v>431</v>
      </c>
      <c r="F82" s="98" t="s">
        <v>432</v>
      </c>
      <c r="G82" s="101" t="s">
        <v>153</v>
      </c>
      <c r="H82" s="102" t="s">
        <v>159</v>
      </c>
      <c r="I82" s="106">
        <v>45762</v>
      </c>
      <c r="J82" s="34"/>
      <c r="K82" s="34">
        <v>3</v>
      </c>
      <c r="L82" s="34">
        <v>3</v>
      </c>
      <c r="M82" s="34">
        <v>2</v>
      </c>
      <c r="N82" s="34">
        <v>2</v>
      </c>
      <c r="O82" s="34">
        <v>2</v>
      </c>
      <c r="P82" s="34">
        <v>2</v>
      </c>
      <c r="Q82" s="34">
        <v>2</v>
      </c>
      <c r="R82" s="34">
        <v>2</v>
      </c>
      <c r="S82" s="34">
        <v>0</v>
      </c>
      <c r="T82" s="34">
        <v>0</v>
      </c>
      <c r="U82" s="34">
        <v>0</v>
      </c>
      <c r="V82" s="34">
        <v>2</v>
      </c>
      <c r="W82" s="66">
        <v>2</v>
      </c>
      <c r="X82" s="38">
        <f t="shared" si="2"/>
        <v>22</v>
      </c>
      <c r="Y82" s="107">
        <f t="shared" si="3"/>
        <v>0.42307692307692307</v>
      </c>
      <c r="Z82" s="34"/>
    </row>
    <row r="83" spans="1:26">
      <c r="A83" s="80">
        <v>21805789</v>
      </c>
      <c r="B83" s="80">
        <v>6</v>
      </c>
      <c r="C83" s="80" t="s">
        <v>433</v>
      </c>
      <c r="D83" s="81" t="s">
        <v>434</v>
      </c>
      <c r="E83" s="81" t="s">
        <v>361</v>
      </c>
      <c r="F83" s="98" t="s">
        <v>435</v>
      </c>
      <c r="G83" s="101" t="s">
        <v>153</v>
      </c>
      <c r="H83" s="102" t="s">
        <v>159</v>
      </c>
      <c r="I83" s="104">
        <v>45764</v>
      </c>
      <c r="J83" s="34"/>
      <c r="K83" s="34">
        <v>4</v>
      </c>
      <c r="L83" s="34">
        <v>3</v>
      </c>
      <c r="M83" s="34">
        <v>4</v>
      </c>
      <c r="N83" s="34">
        <v>3</v>
      </c>
      <c r="O83" s="34">
        <v>2</v>
      </c>
      <c r="P83" s="34">
        <v>3</v>
      </c>
      <c r="Q83" s="34">
        <v>2</v>
      </c>
      <c r="R83" s="34">
        <v>3</v>
      </c>
      <c r="S83" s="34">
        <v>2</v>
      </c>
      <c r="T83" s="34">
        <v>2</v>
      </c>
      <c r="U83" s="34">
        <v>2</v>
      </c>
      <c r="V83" s="34">
        <v>3</v>
      </c>
      <c r="W83" s="66">
        <v>0</v>
      </c>
      <c r="X83" s="38">
        <f t="shared" si="2"/>
        <v>33</v>
      </c>
      <c r="Y83" s="107">
        <f t="shared" si="3"/>
        <v>0.63461538461538458</v>
      </c>
      <c r="Z83" s="34"/>
    </row>
    <row r="84" spans="1:26">
      <c r="A84" s="80">
        <v>21809167</v>
      </c>
      <c r="B84" s="80">
        <v>9</v>
      </c>
      <c r="C84" s="80" t="s">
        <v>436</v>
      </c>
      <c r="D84" s="81" t="s">
        <v>437</v>
      </c>
      <c r="E84" s="81" t="s">
        <v>438</v>
      </c>
      <c r="F84" s="98" t="s">
        <v>439</v>
      </c>
      <c r="G84" s="101" t="s">
        <v>143</v>
      </c>
      <c r="H84" s="102" t="s">
        <v>144</v>
      </c>
      <c r="I84" s="37"/>
      <c r="J84" s="34"/>
      <c r="K84" s="34"/>
      <c r="L84" s="34"/>
      <c r="M84" s="34"/>
      <c r="N84" s="34"/>
      <c r="O84" s="34"/>
      <c r="P84" s="34"/>
      <c r="Q84" s="34"/>
      <c r="R84" s="34"/>
      <c r="S84" s="34"/>
      <c r="T84" s="34"/>
      <c r="U84" s="34"/>
      <c r="V84" s="34"/>
      <c r="W84" s="66"/>
      <c r="X84" s="38"/>
      <c r="Y84" s="107"/>
      <c r="Z84" s="34"/>
    </row>
    <row r="85" spans="1:26">
      <c r="A85" s="80">
        <v>21846167</v>
      </c>
      <c r="B85" s="80">
        <v>0</v>
      </c>
      <c r="C85" s="80" t="s">
        <v>440</v>
      </c>
      <c r="D85" s="81" t="s">
        <v>441</v>
      </c>
      <c r="E85" s="81" t="s">
        <v>442</v>
      </c>
      <c r="F85" s="98" t="s">
        <v>443</v>
      </c>
      <c r="G85" s="99" t="s">
        <v>153</v>
      </c>
      <c r="H85" s="100" t="s">
        <v>159</v>
      </c>
      <c r="I85" s="104">
        <v>45764</v>
      </c>
      <c r="J85" s="34"/>
      <c r="K85" s="34">
        <v>3</v>
      </c>
      <c r="L85" s="34">
        <v>1</v>
      </c>
      <c r="M85" s="34">
        <v>4</v>
      </c>
      <c r="N85" s="34">
        <v>4</v>
      </c>
      <c r="O85" s="34">
        <v>2</v>
      </c>
      <c r="P85" s="34">
        <v>2</v>
      </c>
      <c r="Q85" s="34">
        <v>2</v>
      </c>
      <c r="R85" s="34">
        <v>3</v>
      </c>
      <c r="S85" s="34">
        <v>2</v>
      </c>
      <c r="T85" s="34">
        <v>1</v>
      </c>
      <c r="U85" s="34">
        <v>2</v>
      </c>
      <c r="V85" s="34">
        <v>3</v>
      </c>
      <c r="W85" s="66">
        <v>0</v>
      </c>
      <c r="X85" s="38">
        <f t="shared" si="2"/>
        <v>29</v>
      </c>
      <c r="Y85" s="107">
        <f t="shared" si="3"/>
        <v>0.55769230769230771</v>
      </c>
      <c r="Z85" s="34"/>
    </row>
    <row r="86" spans="1:26" ht="29.25">
      <c r="A86" s="111">
        <v>21848303</v>
      </c>
      <c r="B86" s="111">
        <v>8</v>
      </c>
      <c r="C86" s="111" t="s">
        <v>444</v>
      </c>
      <c r="D86" s="112" t="s">
        <v>445</v>
      </c>
      <c r="E86" s="112" t="s">
        <v>410</v>
      </c>
      <c r="F86" s="113" t="s">
        <v>446</v>
      </c>
      <c r="G86" s="114" t="s">
        <v>153</v>
      </c>
      <c r="H86" s="115" t="s">
        <v>159</v>
      </c>
      <c r="I86" s="104">
        <v>45764</v>
      </c>
      <c r="J86" s="121"/>
      <c r="K86" s="121">
        <v>2</v>
      </c>
      <c r="L86" s="121">
        <v>1</v>
      </c>
      <c r="M86" s="121">
        <v>3</v>
      </c>
      <c r="N86" s="121">
        <v>2</v>
      </c>
      <c r="O86" s="121">
        <v>3</v>
      </c>
      <c r="P86" s="121">
        <v>3</v>
      </c>
      <c r="Q86" s="121">
        <v>3</v>
      </c>
      <c r="R86" s="121">
        <v>3</v>
      </c>
      <c r="S86" s="121">
        <v>2</v>
      </c>
      <c r="T86" s="121">
        <v>2</v>
      </c>
      <c r="U86" s="121">
        <v>2</v>
      </c>
      <c r="V86" s="121">
        <v>3</v>
      </c>
      <c r="W86" s="122">
        <v>0</v>
      </c>
      <c r="X86" s="123">
        <f t="shared" si="2"/>
        <v>29</v>
      </c>
      <c r="Y86" s="124">
        <f t="shared" si="3"/>
        <v>0.55769230769230771</v>
      </c>
      <c r="Z86" s="121"/>
    </row>
    <row r="87" spans="1:26">
      <c r="A87" s="116"/>
      <c r="B87" s="116"/>
      <c r="C87" s="116"/>
      <c r="D87" s="117"/>
      <c r="E87" s="117"/>
      <c r="F87" s="118"/>
      <c r="G87" s="119"/>
      <c r="H87" s="119"/>
      <c r="Y87" s="125"/>
    </row>
    <row r="88" spans="1:26">
      <c r="A88" s="109"/>
      <c r="B88" s="109"/>
      <c r="C88" s="109"/>
      <c r="D88" s="110"/>
      <c r="E88" s="110"/>
      <c r="F88" s="110"/>
      <c r="G88" s="39"/>
      <c r="X88" s="39"/>
      <c r="Y88" s="39"/>
      <c r="Z88" s="39"/>
    </row>
    <row r="89" spans="1:26">
      <c r="A89" s="109"/>
      <c r="B89" s="109"/>
      <c r="C89" s="109"/>
      <c r="D89" s="110"/>
      <c r="E89" s="110"/>
      <c r="F89" s="110"/>
      <c r="G89" s="39"/>
      <c r="H89" s="39"/>
      <c r="X89" s="39"/>
      <c r="Y89" s="39"/>
      <c r="Z89" s="39"/>
    </row>
    <row r="90" spans="1:26">
      <c r="A90" s="109"/>
      <c r="B90" s="109"/>
      <c r="C90" s="109"/>
      <c r="D90" s="110"/>
      <c r="E90" s="110"/>
      <c r="F90" s="110"/>
    </row>
    <row r="91" spans="1:26">
      <c r="A91" s="109"/>
      <c r="B91" s="109"/>
      <c r="C91" s="109"/>
      <c r="D91" s="110"/>
      <c r="E91" s="110"/>
      <c r="F91" s="110"/>
      <c r="G91" s="39"/>
      <c r="H91" s="39"/>
      <c r="X91" s="39"/>
      <c r="Y91" s="39"/>
      <c r="Z91" s="39"/>
    </row>
    <row r="92" spans="1:26">
      <c r="A92" s="109"/>
      <c r="B92" s="109"/>
      <c r="C92" s="109"/>
      <c r="D92" s="110"/>
      <c r="E92" s="110"/>
      <c r="F92" s="110"/>
      <c r="G92" s="39"/>
      <c r="H92" s="39"/>
      <c r="I92" s="39"/>
      <c r="J92" s="39"/>
      <c r="L92" s="39"/>
      <c r="M92" s="39"/>
      <c r="N92" s="39"/>
      <c r="O92" s="39"/>
      <c r="P92" s="39"/>
      <c r="Q92" s="39"/>
      <c r="R92" s="39"/>
      <c r="S92" s="39"/>
      <c r="T92" s="39"/>
      <c r="U92" s="39"/>
      <c r="V92" s="39"/>
      <c r="W92" s="39"/>
      <c r="X92" s="39"/>
      <c r="Y92" s="39"/>
      <c r="Z92" s="39"/>
    </row>
    <row r="93" spans="1:26">
      <c r="A93" s="109"/>
      <c r="B93" s="109"/>
      <c r="C93" s="109"/>
      <c r="D93" s="110"/>
      <c r="E93" s="110"/>
      <c r="F93" s="110"/>
      <c r="G93" s="39"/>
      <c r="H93" s="39"/>
      <c r="I93" s="39"/>
      <c r="J93" s="39"/>
      <c r="K93" s="39"/>
      <c r="L93" s="39"/>
      <c r="M93" s="39"/>
      <c r="N93" s="39"/>
      <c r="O93" s="39"/>
      <c r="P93" s="39"/>
      <c r="Q93" s="39"/>
      <c r="R93" s="39"/>
      <c r="S93" s="39"/>
      <c r="T93" s="39"/>
      <c r="U93" s="39"/>
      <c r="V93" s="39"/>
      <c r="W93" s="39"/>
      <c r="X93" s="39"/>
      <c r="Y93" s="39"/>
      <c r="Z93" s="39"/>
    </row>
    <row r="94" spans="1:26">
      <c r="A94" s="109"/>
      <c r="B94" s="109"/>
      <c r="C94" s="109"/>
      <c r="D94" s="110"/>
      <c r="E94" s="110"/>
      <c r="F94" s="110"/>
      <c r="G94" s="39"/>
      <c r="H94" s="39"/>
      <c r="I94" s="39"/>
      <c r="J94" s="39"/>
      <c r="K94" s="39"/>
      <c r="L94" s="39"/>
      <c r="M94" s="39"/>
      <c r="N94" s="39"/>
      <c r="O94" s="39"/>
      <c r="P94" s="39"/>
      <c r="Q94" s="39"/>
      <c r="R94" s="39"/>
      <c r="S94" s="39"/>
      <c r="T94" s="39"/>
      <c r="U94" s="39"/>
      <c r="V94" s="39"/>
      <c r="W94" s="39"/>
      <c r="X94" s="39"/>
      <c r="Y94" s="39"/>
      <c r="Z94" s="39"/>
    </row>
    <row r="95" spans="1:26">
      <c r="A95" s="109"/>
      <c r="B95" s="109"/>
      <c r="C95" s="109"/>
      <c r="D95" s="110"/>
      <c r="E95" s="110"/>
      <c r="F95" s="110"/>
      <c r="G95" s="39"/>
      <c r="H95" s="39"/>
      <c r="I95" s="39"/>
      <c r="J95" s="39"/>
      <c r="K95" s="39"/>
      <c r="L95" s="39"/>
      <c r="M95" s="39"/>
      <c r="N95" s="39"/>
      <c r="O95" s="39"/>
      <c r="P95" s="39"/>
      <c r="Q95" s="39"/>
      <c r="R95" s="39"/>
      <c r="S95" s="39"/>
      <c r="T95" s="39"/>
      <c r="U95" s="39"/>
      <c r="V95" s="39"/>
      <c r="W95" s="39"/>
      <c r="X95" s="39"/>
      <c r="Y95" s="39"/>
      <c r="Z95" s="39"/>
    </row>
    <row r="96" spans="1:26">
      <c r="A96" s="109"/>
      <c r="B96" s="109"/>
      <c r="C96" s="109"/>
      <c r="D96" s="110"/>
      <c r="E96" s="110"/>
      <c r="F96" s="110"/>
      <c r="G96" s="39"/>
      <c r="H96" s="39"/>
      <c r="I96" s="39"/>
      <c r="J96" s="39"/>
      <c r="K96" s="39"/>
      <c r="L96" s="39"/>
      <c r="M96" s="39"/>
      <c r="N96" s="39"/>
      <c r="O96" s="39"/>
      <c r="P96" s="39"/>
      <c r="Q96" s="39"/>
      <c r="R96" s="39"/>
      <c r="S96" s="39"/>
      <c r="T96" s="39"/>
      <c r="U96" s="39"/>
      <c r="V96" s="39"/>
      <c r="W96" s="39"/>
      <c r="X96" s="39"/>
      <c r="Y96" s="39"/>
      <c r="Z96" s="39"/>
    </row>
    <row r="97" spans="1:26">
      <c r="A97" s="109"/>
      <c r="B97" s="109"/>
      <c r="C97" s="109"/>
      <c r="D97" s="110"/>
      <c r="E97" s="110"/>
      <c r="F97" s="110"/>
      <c r="G97" s="39"/>
      <c r="H97" s="39"/>
      <c r="I97" s="39"/>
      <c r="J97" s="39"/>
      <c r="K97" s="39"/>
      <c r="L97" s="39"/>
      <c r="M97" s="39"/>
      <c r="N97" s="39"/>
      <c r="O97" s="39"/>
      <c r="P97" s="39"/>
      <c r="Q97" s="39"/>
      <c r="R97" s="39"/>
      <c r="S97" s="39"/>
      <c r="T97" s="39"/>
      <c r="U97" s="39"/>
      <c r="V97" s="39"/>
      <c r="W97" s="39"/>
      <c r="X97" s="39"/>
      <c r="Y97" s="39"/>
      <c r="Z97" s="39"/>
    </row>
    <row r="98" spans="1:26">
      <c r="A98" s="109"/>
      <c r="B98" s="109"/>
      <c r="C98" s="109"/>
      <c r="D98" s="110"/>
      <c r="E98" s="110"/>
      <c r="F98" s="110"/>
      <c r="G98" s="39"/>
      <c r="H98" s="39"/>
      <c r="I98" s="39"/>
      <c r="J98" s="39"/>
      <c r="K98" s="39"/>
      <c r="L98" s="39"/>
      <c r="M98" s="39"/>
      <c r="N98" s="39"/>
      <c r="O98" s="39"/>
      <c r="P98" s="39"/>
      <c r="Q98" s="39"/>
      <c r="R98" s="39"/>
      <c r="S98" s="39"/>
      <c r="T98" s="39"/>
      <c r="U98" s="39"/>
      <c r="V98" s="39"/>
      <c r="W98" s="39"/>
      <c r="X98" s="39"/>
      <c r="Y98" s="39"/>
      <c r="Z98" s="39"/>
    </row>
    <row r="99" spans="1:26">
      <c r="A99" s="109"/>
      <c r="B99" s="109"/>
      <c r="C99" s="109"/>
      <c r="D99" s="110"/>
      <c r="E99" s="110"/>
      <c r="F99" s="110"/>
      <c r="G99" s="39"/>
      <c r="H99" s="39"/>
      <c r="I99" s="39"/>
      <c r="J99" s="39"/>
      <c r="K99" s="39"/>
      <c r="L99" s="39"/>
      <c r="M99" s="39"/>
      <c r="N99" s="39"/>
      <c r="O99" s="39"/>
      <c r="P99" s="39"/>
      <c r="Q99" s="39"/>
      <c r="R99" s="39"/>
      <c r="S99" s="39"/>
      <c r="T99" s="39"/>
      <c r="U99" s="39"/>
      <c r="V99" s="39"/>
      <c r="W99" s="39"/>
      <c r="X99" s="39"/>
      <c r="Y99" s="39"/>
      <c r="Z99" s="39"/>
    </row>
    <row r="100" spans="1:26">
      <c r="A100" s="109"/>
      <c r="B100" s="109"/>
      <c r="C100" s="109"/>
      <c r="D100" s="110"/>
      <c r="E100" s="110"/>
      <c r="F100" s="110"/>
      <c r="G100" s="39"/>
      <c r="H100" s="39"/>
      <c r="I100" s="39"/>
      <c r="J100" s="39"/>
      <c r="K100" s="39"/>
      <c r="L100" s="39"/>
      <c r="M100" s="39"/>
      <c r="N100" s="39"/>
      <c r="O100" s="39"/>
      <c r="P100" s="39"/>
      <c r="Q100" s="39"/>
      <c r="R100" s="39"/>
      <c r="S100" s="39"/>
      <c r="T100" s="39"/>
      <c r="U100" s="39"/>
      <c r="V100" s="39"/>
      <c r="W100" s="39"/>
      <c r="X100" s="39"/>
      <c r="Y100" s="39"/>
      <c r="Z100" s="39"/>
    </row>
    <row r="101" spans="1:26">
      <c r="A101" s="109"/>
      <c r="B101" s="109"/>
      <c r="C101" s="109"/>
      <c r="D101" s="110"/>
      <c r="E101" s="110"/>
      <c r="F101" s="110"/>
      <c r="G101" s="39"/>
      <c r="H101" s="39"/>
      <c r="I101" s="39"/>
      <c r="J101" s="39"/>
      <c r="K101" s="39"/>
      <c r="L101" s="39"/>
      <c r="M101" s="39"/>
      <c r="N101" s="39"/>
      <c r="O101" s="39"/>
      <c r="P101" s="39"/>
      <c r="Q101" s="39"/>
      <c r="R101" s="39"/>
      <c r="S101" s="39"/>
      <c r="T101" s="39"/>
      <c r="U101" s="39"/>
      <c r="V101" s="39"/>
      <c r="W101" s="39"/>
      <c r="X101" s="39"/>
      <c r="Y101" s="39"/>
      <c r="Z101" s="39"/>
    </row>
    <row r="102" spans="1:26">
      <c r="A102" s="109"/>
      <c r="B102" s="109"/>
      <c r="C102" s="109"/>
      <c r="D102" s="110"/>
      <c r="E102" s="110"/>
      <c r="F102" s="110"/>
    </row>
    <row r="103" spans="1:26">
      <c r="A103" s="109"/>
      <c r="B103" s="109"/>
      <c r="C103" s="109"/>
      <c r="D103" s="110"/>
      <c r="E103" s="110"/>
      <c r="F103" s="110"/>
      <c r="G103" s="39"/>
      <c r="H103" s="39"/>
      <c r="I103" s="39"/>
      <c r="J103" s="39"/>
      <c r="K103" s="39"/>
      <c r="L103" s="39"/>
      <c r="M103" s="39"/>
      <c r="N103" s="39"/>
      <c r="O103" s="39"/>
      <c r="P103" s="39"/>
      <c r="Q103" s="39"/>
      <c r="R103" s="39"/>
      <c r="S103" s="39"/>
      <c r="T103" s="39"/>
      <c r="U103" s="39"/>
      <c r="V103" s="39"/>
      <c r="W103" s="39"/>
      <c r="X103" s="39"/>
      <c r="Y103" s="39"/>
      <c r="Z103" s="39"/>
    </row>
    <row r="104" spans="1:26">
      <c r="A104" s="109"/>
      <c r="B104" s="109"/>
      <c r="C104" s="109"/>
      <c r="D104" s="110"/>
      <c r="E104" s="110"/>
      <c r="F104" s="110"/>
      <c r="G104" s="39"/>
      <c r="H104" s="39"/>
      <c r="I104" s="39"/>
      <c r="J104" s="39"/>
      <c r="K104" s="39"/>
      <c r="L104" s="39"/>
      <c r="M104" s="39"/>
      <c r="N104" s="39"/>
      <c r="O104" s="39"/>
      <c r="P104" s="39"/>
      <c r="Q104" s="39"/>
      <c r="R104" s="39"/>
      <c r="S104" s="39"/>
      <c r="T104" s="39"/>
      <c r="U104" s="39"/>
      <c r="V104" s="39"/>
      <c r="W104" s="39"/>
      <c r="X104" s="39"/>
      <c r="Y104" s="39"/>
      <c r="Z104" s="39"/>
    </row>
    <row r="105" spans="1:26">
      <c r="A105" s="109"/>
      <c r="B105" s="109"/>
      <c r="C105" s="109"/>
      <c r="D105" s="110"/>
      <c r="E105" s="110"/>
      <c r="F105" s="110"/>
      <c r="G105" s="39"/>
      <c r="H105" s="39"/>
      <c r="I105" s="39"/>
      <c r="J105" s="39"/>
      <c r="K105" s="39"/>
      <c r="L105" s="39"/>
      <c r="M105" s="39"/>
      <c r="N105" s="39"/>
      <c r="O105" s="39"/>
      <c r="P105" s="39"/>
      <c r="Q105" s="39"/>
      <c r="R105" s="39"/>
      <c r="S105" s="39"/>
      <c r="T105" s="39"/>
      <c r="U105" s="39"/>
      <c r="V105" s="39"/>
      <c r="W105" s="39"/>
      <c r="X105" s="39"/>
      <c r="Y105" s="39"/>
      <c r="Z105" s="39"/>
    </row>
    <row r="106" spans="1:26">
      <c r="A106" s="109"/>
      <c r="B106" s="109"/>
      <c r="C106" s="109"/>
      <c r="D106" s="110"/>
      <c r="E106" s="110"/>
      <c r="F106" s="110"/>
      <c r="G106" s="39"/>
      <c r="H106" s="39"/>
      <c r="I106" s="39"/>
      <c r="J106" s="39"/>
      <c r="K106" s="39"/>
      <c r="L106" s="39"/>
      <c r="M106" s="39"/>
      <c r="N106" s="39"/>
      <c r="O106" s="39"/>
      <c r="P106" s="39"/>
      <c r="Q106" s="39"/>
      <c r="R106" s="39"/>
      <c r="S106" s="39"/>
      <c r="T106" s="39"/>
      <c r="U106" s="39"/>
      <c r="V106" s="39"/>
      <c r="W106" s="39"/>
      <c r="X106" s="39"/>
      <c r="Y106" s="39"/>
      <c r="Z106" s="39"/>
    </row>
    <row r="107" spans="1:26">
      <c r="A107" s="109"/>
      <c r="B107" s="109"/>
      <c r="C107" s="109"/>
      <c r="D107" s="110"/>
      <c r="E107" s="110"/>
      <c r="F107" s="110"/>
      <c r="G107" s="39"/>
      <c r="H107" s="39"/>
      <c r="I107" s="39"/>
      <c r="J107" s="39"/>
      <c r="K107" s="39"/>
      <c r="L107" s="39"/>
      <c r="M107" s="39"/>
      <c r="N107" s="39"/>
      <c r="O107" s="39"/>
      <c r="P107" s="39"/>
      <c r="Q107" s="39"/>
      <c r="R107" s="39"/>
      <c r="S107" s="39"/>
      <c r="T107" s="39"/>
      <c r="U107" s="39"/>
      <c r="V107" s="39"/>
      <c r="W107" s="39"/>
      <c r="X107" s="39"/>
      <c r="Y107" s="39"/>
      <c r="Z107" s="39"/>
    </row>
    <row r="108" spans="1:26">
      <c r="A108" s="109"/>
      <c r="B108" s="109"/>
      <c r="C108" s="109"/>
      <c r="D108" s="110"/>
      <c r="E108" s="110"/>
      <c r="F108" s="110"/>
      <c r="G108" s="39"/>
      <c r="H108" s="39"/>
      <c r="I108" s="39"/>
      <c r="J108" s="39"/>
      <c r="K108" s="39"/>
      <c r="L108" s="39"/>
      <c r="M108" s="39"/>
      <c r="N108" s="39"/>
      <c r="O108" s="39"/>
      <c r="P108" s="39"/>
      <c r="Q108" s="39"/>
      <c r="R108" s="39"/>
      <c r="S108" s="39"/>
      <c r="T108" s="39"/>
      <c r="U108" s="39"/>
      <c r="V108" s="39"/>
      <c r="W108" s="39"/>
      <c r="X108" s="39"/>
      <c r="Y108" s="39"/>
      <c r="Z108" s="39"/>
    </row>
    <row r="109" spans="1:26">
      <c r="A109" s="109"/>
      <c r="B109" s="109"/>
      <c r="C109" s="109"/>
      <c r="D109" s="110"/>
      <c r="E109" s="110"/>
      <c r="F109" s="110"/>
    </row>
    <row r="110" spans="1:26">
      <c r="A110" s="109"/>
      <c r="B110" s="109"/>
      <c r="C110" s="109"/>
      <c r="D110" s="110"/>
      <c r="E110" s="110"/>
      <c r="F110" s="110"/>
      <c r="G110" s="39"/>
      <c r="H110" s="39"/>
      <c r="I110" s="39"/>
      <c r="J110" s="39"/>
      <c r="K110" s="39"/>
      <c r="L110" s="39"/>
      <c r="M110" s="39"/>
      <c r="N110" s="39"/>
      <c r="O110" s="39"/>
      <c r="P110" s="39"/>
      <c r="Q110" s="39"/>
      <c r="R110" s="39"/>
      <c r="S110" s="39"/>
      <c r="T110" s="39"/>
      <c r="U110" s="39"/>
      <c r="V110" s="39"/>
      <c r="W110" s="39"/>
      <c r="X110" s="39"/>
      <c r="Y110" s="39"/>
      <c r="Z110" s="39"/>
    </row>
    <row r="111" spans="1:26">
      <c r="A111" s="109"/>
      <c r="B111" s="109"/>
      <c r="C111" s="109"/>
      <c r="D111" s="110"/>
      <c r="E111" s="110"/>
      <c r="F111" s="110"/>
      <c r="G111" s="39"/>
      <c r="H111" s="39"/>
      <c r="I111" s="39"/>
      <c r="J111" s="39"/>
      <c r="K111" s="39"/>
      <c r="L111" s="39"/>
      <c r="M111" s="39"/>
      <c r="N111" s="39"/>
      <c r="O111" s="39"/>
      <c r="P111" s="39"/>
      <c r="Q111" s="39"/>
      <c r="R111" s="39"/>
      <c r="S111" s="39"/>
      <c r="T111" s="39"/>
      <c r="U111" s="39"/>
      <c r="V111" s="39"/>
      <c r="W111" s="39"/>
      <c r="X111" s="39"/>
      <c r="Y111" s="39"/>
      <c r="Z111" s="39"/>
    </row>
    <row r="112" spans="1:26">
      <c r="A112" s="109"/>
      <c r="B112" s="109"/>
      <c r="C112" s="109"/>
      <c r="D112" s="110"/>
      <c r="E112" s="110"/>
      <c r="F112" s="110"/>
      <c r="G112" s="39"/>
      <c r="H112" s="39"/>
      <c r="I112" s="39"/>
      <c r="J112" s="39"/>
      <c r="K112" s="39"/>
      <c r="L112" s="39"/>
      <c r="M112" s="39"/>
      <c r="N112" s="39"/>
      <c r="O112" s="39"/>
      <c r="P112" s="39"/>
      <c r="Q112" s="39"/>
      <c r="R112" s="39"/>
      <c r="S112" s="39"/>
      <c r="T112" s="39"/>
      <c r="U112" s="39"/>
      <c r="V112" s="39"/>
      <c r="W112" s="39"/>
      <c r="X112" s="39"/>
      <c r="Y112" s="39"/>
      <c r="Z112" s="39"/>
    </row>
    <row r="113" spans="1:26">
      <c r="A113" s="109"/>
      <c r="B113" s="109"/>
      <c r="C113" s="109"/>
      <c r="D113" s="110"/>
      <c r="E113" s="110"/>
      <c r="F113" s="110"/>
    </row>
    <row r="114" spans="1:26">
      <c r="A114" s="109"/>
      <c r="B114" s="109"/>
      <c r="C114" s="109"/>
      <c r="D114" s="110"/>
      <c r="E114" s="110"/>
      <c r="F114" s="110"/>
      <c r="G114" s="39"/>
      <c r="H114" s="39"/>
      <c r="I114" s="39"/>
      <c r="J114" s="39"/>
      <c r="K114" s="39"/>
      <c r="L114" s="39"/>
      <c r="M114" s="39"/>
      <c r="N114" s="39"/>
      <c r="O114" s="39"/>
      <c r="P114" s="39"/>
      <c r="Q114" s="39"/>
      <c r="R114" s="39"/>
      <c r="S114" s="39"/>
      <c r="T114" s="39"/>
      <c r="U114" s="39"/>
      <c r="V114" s="39"/>
      <c r="W114" s="39"/>
      <c r="X114" s="39"/>
      <c r="Y114" s="39"/>
      <c r="Z114" s="39"/>
    </row>
    <row r="115" spans="1:26">
      <c r="A115" s="109"/>
      <c r="B115" s="109"/>
      <c r="C115" s="109"/>
      <c r="D115" s="110"/>
      <c r="E115" s="110"/>
      <c r="F115" s="110"/>
    </row>
    <row r="116" spans="1:26">
      <c r="A116" s="109"/>
      <c r="B116" s="109"/>
      <c r="C116" s="109"/>
      <c r="D116" s="110"/>
      <c r="E116" s="110"/>
      <c r="F116" s="110"/>
      <c r="G116" s="39"/>
      <c r="H116" s="39"/>
      <c r="I116" s="39"/>
      <c r="J116" s="39"/>
      <c r="K116" s="39"/>
      <c r="L116" s="39"/>
      <c r="M116" s="39"/>
      <c r="N116" s="39"/>
      <c r="O116" s="39"/>
      <c r="P116" s="39"/>
      <c r="Q116" s="39"/>
      <c r="R116" s="39"/>
      <c r="S116" s="39"/>
      <c r="T116" s="39"/>
      <c r="U116" s="39"/>
      <c r="V116" s="39"/>
      <c r="W116" s="39"/>
      <c r="X116" s="39"/>
      <c r="Y116" s="39"/>
      <c r="Z116" s="39"/>
    </row>
    <row r="117" spans="1:26">
      <c r="A117" s="109"/>
      <c r="B117" s="109"/>
      <c r="C117" s="109"/>
      <c r="D117" s="110"/>
      <c r="E117" s="110"/>
      <c r="F117" s="110"/>
    </row>
    <row r="118" spans="1:26">
      <c r="A118" s="109"/>
      <c r="B118" s="109"/>
      <c r="C118" s="109"/>
      <c r="D118" s="110"/>
      <c r="E118" s="110"/>
      <c r="F118" s="110"/>
      <c r="G118" s="39"/>
      <c r="H118" s="39"/>
      <c r="I118" s="39"/>
      <c r="J118" s="39"/>
      <c r="K118" s="39"/>
      <c r="L118" s="39"/>
      <c r="M118" s="39"/>
      <c r="N118" s="39"/>
      <c r="O118" s="39"/>
      <c r="P118" s="39"/>
      <c r="Q118" s="39"/>
      <c r="R118" s="39"/>
      <c r="S118" s="39"/>
      <c r="T118" s="39"/>
      <c r="U118" s="39"/>
      <c r="V118" s="39"/>
      <c r="W118" s="39"/>
      <c r="X118" s="39"/>
      <c r="Y118" s="39"/>
      <c r="Z118" s="39"/>
    </row>
    <row r="119" spans="1:26">
      <c r="A119" s="109"/>
      <c r="B119" s="109"/>
      <c r="C119" s="109"/>
      <c r="D119" s="110"/>
      <c r="E119" s="110"/>
      <c r="F119" s="110"/>
    </row>
    <row r="120" spans="1:26">
      <c r="A120" s="109"/>
      <c r="B120" s="109"/>
      <c r="C120" s="109"/>
      <c r="D120" s="110"/>
      <c r="E120" s="110"/>
      <c r="F120" s="110"/>
      <c r="G120" s="39"/>
      <c r="H120" s="39"/>
      <c r="I120" s="39"/>
      <c r="J120" s="39"/>
      <c r="K120" s="39"/>
      <c r="L120" s="39"/>
      <c r="M120" s="39"/>
      <c r="N120" s="39"/>
      <c r="O120" s="39"/>
      <c r="P120" s="39"/>
      <c r="Q120" s="39"/>
      <c r="R120" s="39"/>
      <c r="S120" s="39"/>
      <c r="T120" s="39"/>
      <c r="U120" s="39"/>
      <c r="V120" s="39"/>
      <c r="W120" s="39"/>
      <c r="X120" s="39"/>
      <c r="Y120" s="39"/>
      <c r="Z120" s="39"/>
    </row>
    <row r="121" spans="1:26"/>
    <row r="122" spans="1:26"/>
    <row r="123" spans="1:26"/>
    <row r="124" spans="1:26"/>
    <row r="125" spans="1:26"/>
    <row r="126" spans="1:26"/>
    <row r="127" spans="1:26"/>
    <row r="128" spans="1:26"/>
    <row r="129"/>
    <row r="130"/>
    <row r="131"/>
    <row r="132"/>
    <row r="133"/>
    <row r="134"/>
    <row r="135"/>
    <row r="136"/>
    <row r="137"/>
    <row r="138"/>
    <row r="139"/>
    <row r="140"/>
    <row r="141"/>
    <row r="142"/>
    <row r="143"/>
    <row r="144"/>
    <row r="145"/>
    <row r="146"/>
    <row r="147"/>
    <row r="148"/>
    <row r="149"/>
    <row r="150"/>
    <row r="151"/>
    <row r="152"/>
    <row r="153"/>
    <row r="154"/>
  </sheetData>
  <autoFilter ref="A3:Z91" xr:uid="{DE9F2B4C-EC85-4CB8-B705-3F4642D8D0B0}"/>
  <mergeCells count="6">
    <mergeCell ref="X1:Z2"/>
    <mergeCell ref="A1:J2"/>
    <mergeCell ref="K1:L2"/>
    <mergeCell ref="M1:R2"/>
    <mergeCell ref="V1:W2"/>
    <mergeCell ref="S1:U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G4:G154</xm:sqref>
        </x14:dataValidation>
        <x14:dataValidation type="list" allowBlank="1" showInputMessage="1" showErrorMessage="1" xr:uid="{C107D747-E004-4E96-BED9-50AA03EEDAB0}">
          <x14:formula1>
            <xm:f>'Validación datos NO BORRAR'!$F$4:$F$6</xm:f>
          </x14:formula1>
          <xm:sqref>I4</xm:sqref>
        </x14:dataValidation>
        <x14:dataValidation type="list" allowBlank="1" showInputMessage="1" showErrorMessage="1" xr:uid="{814046D8-0D01-4803-92BA-E5A904CCFC14}">
          <x14:formula1>
            <xm:f>'Validación datos NO BORRAR'!$F$4:$F$7</xm:f>
          </x14:formula1>
          <xm:sqref>H4:H154</xm:sqref>
        </x14:dataValidation>
        <x14:dataValidation type="list" allowBlank="1" showInputMessage="1" showErrorMessage="1" xr:uid="{5981835F-D36D-4992-9119-6192405E2844}">
          <x14:formula1>
            <xm:f>'Validación datos NO BORRAR'!$F$21:$F$25</xm:f>
          </x14:formula1>
          <xm:sqref>K93:K150 K4:W86 L92:W150</xm:sqref>
        </x14:dataValidation>
        <x14:dataValidation type="list" allowBlank="1" showInputMessage="1" showErrorMessage="1" xr:uid="{EEE5D106-6DEF-4A5D-9A4C-E1CD814D0053}">
          <x14:formula1>
            <xm:f>'Validación datos NO BORRAR'!$G$4:$G$6</xm:f>
          </x14:formula1>
          <xm:sqref>J4:J86 J92:J154 I87:I91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S154"/>
  <sheetViews>
    <sheetView topLeftCell="G2" workbookViewId="0">
      <selection activeCell="I7" sqref="I7:K8"/>
    </sheetView>
  </sheetViews>
  <sheetFormatPr defaultColWidth="11.42578125" defaultRowHeight="14.45"/>
  <cols>
    <col min="1" max="1" width="18.85546875" customWidth="1"/>
    <col min="2" max="3" width="28.140625" customWidth="1"/>
    <col min="4" max="4" width="32.28515625" customWidth="1"/>
    <col min="5" max="5" width="61.85546875" customWidth="1"/>
    <col min="6" max="6" width="21.85546875" customWidth="1"/>
    <col min="7" max="7" width="23" customWidth="1"/>
    <col min="8" max="9" width="35.28515625" customWidth="1"/>
    <col min="10" max="10" width="33.42578125" customWidth="1"/>
    <col min="11" max="12" width="43.5703125" customWidth="1"/>
    <col min="13" max="13" width="41.7109375" customWidth="1"/>
    <col min="14" max="14" width="41.85546875" customWidth="1"/>
    <col min="15" max="16" width="44.5703125" customWidth="1"/>
    <col min="17" max="18" width="14.28515625" customWidth="1"/>
    <col min="19" max="19" width="18" customWidth="1"/>
  </cols>
  <sheetData>
    <row r="1" spans="1:19" ht="15" customHeight="1">
      <c r="A1" s="221"/>
      <c r="B1" s="222"/>
      <c r="C1" s="223"/>
      <c r="D1" s="227" t="s">
        <v>447</v>
      </c>
      <c r="E1" s="203"/>
      <c r="F1" s="206" t="s">
        <v>110</v>
      </c>
      <c r="G1" s="207"/>
      <c r="H1" s="207"/>
      <c r="I1" s="207"/>
      <c r="J1" s="207"/>
      <c r="K1" s="208"/>
      <c r="L1" s="217" t="s">
        <v>111</v>
      </c>
      <c r="M1" s="218"/>
      <c r="N1" s="218"/>
      <c r="O1" s="213" t="s">
        <v>112</v>
      </c>
      <c r="P1" s="214"/>
      <c r="Q1" s="192"/>
      <c r="R1" s="192"/>
      <c r="S1" s="193"/>
    </row>
    <row r="2" spans="1:19" ht="162" customHeight="1" thickBot="1">
      <c r="A2" s="224"/>
      <c r="B2" s="225"/>
      <c r="C2" s="226"/>
      <c r="D2" s="204"/>
      <c r="E2" s="205"/>
      <c r="F2" s="209"/>
      <c r="G2" s="210"/>
      <c r="H2" s="211"/>
      <c r="I2" s="211"/>
      <c r="J2" s="211"/>
      <c r="K2" s="212"/>
      <c r="L2" s="219"/>
      <c r="M2" s="220"/>
      <c r="N2" s="220"/>
      <c r="O2" s="215"/>
      <c r="P2" s="216"/>
      <c r="Q2" s="194"/>
      <c r="R2" s="194"/>
      <c r="S2" s="195"/>
    </row>
    <row r="3" spans="1:19" ht="96.6">
      <c r="A3" s="90" t="s">
        <v>448</v>
      </c>
      <c r="B3" s="91" t="s">
        <v>449</v>
      </c>
      <c r="C3" s="92" t="s">
        <v>450</v>
      </c>
      <c r="D3" s="31" t="s">
        <v>123</v>
      </c>
      <c r="E3" s="67" t="s">
        <v>124</v>
      </c>
      <c r="F3" s="93" t="s">
        <v>125</v>
      </c>
      <c r="G3" s="94" t="s">
        <v>126</v>
      </c>
      <c r="H3" s="95" t="s">
        <v>127</v>
      </c>
      <c r="I3" s="96" t="s">
        <v>128</v>
      </c>
      <c r="J3" s="97" t="s">
        <v>129</v>
      </c>
      <c r="K3" s="96" t="s">
        <v>130</v>
      </c>
      <c r="L3" s="77" t="s">
        <v>131</v>
      </c>
      <c r="M3" s="79" t="s">
        <v>132</v>
      </c>
      <c r="N3" s="78" t="s">
        <v>133</v>
      </c>
      <c r="O3" s="62" t="s">
        <v>134</v>
      </c>
      <c r="P3" s="64" t="s">
        <v>135</v>
      </c>
      <c r="Q3" s="74" t="s">
        <v>451</v>
      </c>
      <c r="R3" s="75" t="s">
        <v>137</v>
      </c>
      <c r="S3" s="75" t="s">
        <v>452</v>
      </c>
    </row>
    <row r="4" spans="1:19" ht="15">
      <c r="A4" s="27">
        <v>57</v>
      </c>
      <c r="B4" s="27">
        <v>54</v>
      </c>
      <c r="C4" s="120">
        <f>54/57</f>
        <v>0.94736842105263153</v>
      </c>
      <c r="D4" s="38"/>
      <c r="E4" s="38"/>
      <c r="F4" s="38"/>
      <c r="G4" s="38"/>
      <c r="H4" s="38"/>
      <c r="I4" s="38"/>
      <c r="J4" s="38"/>
      <c r="K4" s="38"/>
      <c r="L4" s="38"/>
      <c r="M4" s="38"/>
      <c r="N4" s="38"/>
      <c r="O4" s="38"/>
      <c r="P4" s="38"/>
      <c r="Q4" s="38">
        <f>SUM(D4:P4)</f>
        <v>0</v>
      </c>
      <c r="R4" s="76"/>
      <c r="S4" s="38"/>
    </row>
    <row r="5" spans="1:19" ht="15">
      <c r="C5" t="s">
        <v>453</v>
      </c>
      <c r="D5">
        <v>0</v>
      </c>
      <c r="E5" s="39">
        <v>0</v>
      </c>
      <c r="F5" s="39">
        <v>3</v>
      </c>
      <c r="G5" s="39">
        <v>3</v>
      </c>
      <c r="H5" s="39">
        <v>3</v>
      </c>
      <c r="I5" s="39">
        <v>3</v>
      </c>
      <c r="J5" s="39">
        <v>3</v>
      </c>
      <c r="K5" s="39">
        <v>3</v>
      </c>
      <c r="L5" s="39">
        <v>6</v>
      </c>
      <c r="M5" s="39">
        <v>6</v>
      </c>
      <c r="N5" s="39">
        <v>6</v>
      </c>
      <c r="O5" s="39">
        <v>1</v>
      </c>
      <c r="P5" s="39">
        <v>14</v>
      </c>
      <c r="R5" s="39"/>
      <c r="S5" s="39"/>
    </row>
    <row r="6" spans="1:19" ht="15">
      <c r="C6" t="s">
        <v>454</v>
      </c>
      <c r="D6">
        <v>3</v>
      </c>
      <c r="E6" s="39">
        <v>4</v>
      </c>
      <c r="F6" s="39">
        <v>0</v>
      </c>
      <c r="G6" s="39">
        <v>2</v>
      </c>
      <c r="H6" s="39">
        <v>5</v>
      </c>
      <c r="I6" s="39">
        <v>0</v>
      </c>
      <c r="J6" s="39">
        <v>8</v>
      </c>
      <c r="K6" s="39">
        <v>1</v>
      </c>
      <c r="L6" s="39">
        <v>5</v>
      </c>
      <c r="M6" s="39">
        <v>4</v>
      </c>
      <c r="N6" s="39">
        <v>4</v>
      </c>
      <c r="O6" s="39">
        <v>3</v>
      </c>
      <c r="P6" s="39">
        <v>14</v>
      </c>
      <c r="R6" s="39"/>
      <c r="S6" s="39"/>
    </row>
    <row r="7" spans="1:19" ht="15">
      <c r="C7" t="s">
        <v>455</v>
      </c>
      <c r="D7">
        <v>9</v>
      </c>
      <c r="E7" s="39">
        <v>16</v>
      </c>
      <c r="F7" s="39">
        <v>15</v>
      </c>
      <c r="G7" s="39">
        <v>8</v>
      </c>
      <c r="H7" s="39">
        <v>11</v>
      </c>
      <c r="I7" s="39">
        <v>16</v>
      </c>
      <c r="J7" s="39">
        <v>14</v>
      </c>
      <c r="K7" s="39">
        <v>9</v>
      </c>
      <c r="L7" s="39">
        <v>29</v>
      </c>
      <c r="M7" s="39">
        <v>27</v>
      </c>
      <c r="N7" s="39">
        <v>31</v>
      </c>
      <c r="O7" s="39">
        <v>8</v>
      </c>
      <c r="P7" s="39">
        <v>14</v>
      </c>
      <c r="R7" s="39"/>
      <c r="S7" s="39"/>
    </row>
    <row r="8" spans="1:19" ht="15">
      <c r="C8" t="s">
        <v>456</v>
      </c>
      <c r="D8">
        <v>20</v>
      </c>
      <c r="E8" s="39">
        <v>11</v>
      </c>
      <c r="F8" s="39">
        <v>8</v>
      </c>
      <c r="G8" s="39">
        <v>17</v>
      </c>
      <c r="H8" s="39">
        <v>12</v>
      </c>
      <c r="I8" s="39">
        <v>14</v>
      </c>
      <c r="J8" s="39">
        <v>12</v>
      </c>
      <c r="K8" s="39">
        <v>22</v>
      </c>
      <c r="L8" s="39">
        <v>7</v>
      </c>
      <c r="M8" s="39">
        <v>8</v>
      </c>
      <c r="N8" s="39">
        <v>8</v>
      </c>
      <c r="O8" s="39">
        <v>28</v>
      </c>
      <c r="P8" s="39">
        <v>5</v>
      </c>
      <c r="R8" s="39"/>
      <c r="S8" s="39"/>
    </row>
    <row r="9" spans="1:19" ht="15">
      <c r="C9" t="s">
        <v>457</v>
      </c>
      <c r="D9">
        <v>22</v>
      </c>
      <c r="E9" s="39">
        <v>23</v>
      </c>
      <c r="F9" s="39">
        <v>28</v>
      </c>
      <c r="G9" s="39">
        <v>23</v>
      </c>
      <c r="H9" s="39">
        <v>22</v>
      </c>
      <c r="I9" s="39">
        <v>20</v>
      </c>
      <c r="J9" s="39">
        <v>16</v>
      </c>
      <c r="K9" s="39">
        <v>17</v>
      </c>
      <c r="L9" s="39">
        <v>6</v>
      </c>
      <c r="M9" s="39">
        <v>8</v>
      </c>
      <c r="N9" s="39">
        <v>4</v>
      </c>
      <c r="O9" s="39">
        <v>13</v>
      </c>
      <c r="P9" s="39">
        <v>6</v>
      </c>
      <c r="R9" s="39"/>
      <c r="S9" s="39"/>
    </row>
    <row r="10" spans="1:19" ht="15">
      <c r="D10" s="89"/>
      <c r="E10" s="39"/>
      <c r="F10" s="39"/>
      <c r="G10" s="39"/>
      <c r="H10" s="39"/>
      <c r="I10" s="39"/>
      <c r="J10" s="39"/>
      <c r="K10" s="39"/>
      <c r="L10" s="39"/>
      <c r="M10" s="39"/>
      <c r="N10" s="39"/>
      <c r="O10" s="39"/>
      <c r="P10" s="39"/>
      <c r="Q10" s="39"/>
      <c r="R10" s="39"/>
      <c r="S10" s="39"/>
    </row>
    <row r="11" spans="1:19" ht="15">
      <c r="D11" s="89"/>
      <c r="E11" s="39"/>
      <c r="F11" s="39"/>
      <c r="G11" s="39"/>
      <c r="H11" s="39"/>
      <c r="I11" s="39"/>
      <c r="J11" s="39"/>
      <c r="K11" s="39"/>
      <c r="L11" s="39"/>
      <c r="M11" s="39"/>
      <c r="N11" s="39"/>
      <c r="O11" s="39"/>
      <c r="P11" s="39"/>
      <c r="Q11" s="39"/>
      <c r="R11" s="39"/>
      <c r="S11" s="39"/>
    </row>
    <row r="12" spans="1:19" ht="15">
      <c r="D12" s="89"/>
      <c r="E12" s="39"/>
      <c r="F12" s="39"/>
      <c r="G12" s="39"/>
      <c r="H12" s="39"/>
      <c r="I12" s="39"/>
      <c r="J12" s="39"/>
      <c r="K12" s="39"/>
      <c r="L12" s="39"/>
      <c r="M12" s="39"/>
      <c r="N12" s="39"/>
      <c r="O12" s="39"/>
      <c r="P12" s="39"/>
      <c r="Q12" s="39"/>
      <c r="R12" s="39"/>
      <c r="S12" s="39"/>
    </row>
    <row r="13" spans="1:19" ht="15">
      <c r="D13" s="89"/>
      <c r="E13" s="39"/>
      <c r="F13" s="39"/>
      <c r="G13" s="39"/>
      <c r="H13" s="39"/>
      <c r="I13" s="39"/>
      <c r="J13" s="39"/>
      <c r="K13" s="39"/>
      <c r="L13" s="39"/>
      <c r="M13" s="39"/>
      <c r="N13" s="39"/>
      <c r="O13" s="39"/>
      <c r="P13" s="39"/>
      <c r="Q13" s="39"/>
      <c r="R13" s="39"/>
      <c r="S13" s="39"/>
    </row>
    <row r="14" spans="1:19" ht="15">
      <c r="D14" s="89"/>
      <c r="E14" s="39"/>
      <c r="F14" s="39"/>
      <c r="G14" s="39"/>
      <c r="H14" s="39"/>
      <c r="I14" s="39"/>
      <c r="J14" s="39"/>
      <c r="K14" s="39"/>
      <c r="L14" s="39"/>
      <c r="M14" s="39"/>
      <c r="N14" s="39"/>
      <c r="O14" s="39"/>
      <c r="P14" s="39"/>
      <c r="Q14" s="39"/>
      <c r="R14" s="39"/>
      <c r="S14" s="39"/>
    </row>
    <row r="15" spans="1:19" ht="15">
      <c r="D15" s="89"/>
      <c r="E15" s="39"/>
      <c r="F15" s="39"/>
      <c r="G15" s="39"/>
      <c r="H15" s="39"/>
      <c r="I15" s="39"/>
      <c r="J15" s="39"/>
      <c r="K15" s="39"/>
      <c r="L15" s="39"/>
      <c r="M15" s="39"/>
      <c r="N15" s="39"/>
      <c r="O15" s="39"/>
      <c r="P15" s="39"/>
      <c r="Q15" s="39"/>
      <c r="R15" s="39"/>
      <c r="S15" s="39"/>
    </row>
    <row r="16" spans="1:19" ht="15">
      <c r="D16" s="89"/>
      <c r="E16" s="39"/>
      <c r="F16" s="39"/>
      <c r="G16" s="39"/>
      <c r="H16" s="39"/>
      <c r="I16" s="39"/>
      <c r="J16" s="39"/>
      <c r="K16" s="39"/>
      <c r="L16" s="39"/>
      <c r="M16" s="39"/>
      <c r="N16" s="39"/>
      <c r="O16" s="39"/>
      <c r="P16" s="39"/>
      <c r="Q16" s="39"/>
      <c r="R16" s="39"/>
      <c r="S16" s="39"/>
    </row>
    <row r="18" spans="4:19" ht="15">
      <c r="D18" s="89"/>
      <c r="E18" s="39"/>
      <c r="F18" s="39"/>
      <c r="G18" s="39"/>
      <c r="H18" s="39"/>
      <c r="I18" s="39"/>
      <c r="J18" s="39"/>
      <c r="K18" s="39"/>
      <c r="L18" s="39"/>
      <c r="M18" s="39"/>
      <c r="N18" s="39"/>
      <c r="O18" s="39"/>
      <c r="P18" s="39"/>
      <c r="Q18" s="39"/>
      <c r="R18" s="39"/>
      <c r="S18" s="39"/>
    </row>
    <row r="19" spans="4:19" ht="15">
      <c r="D19" s="89"/>
      <c r="E19" s="39"/>
      <c r="F19" s="39"/>
      <c r="G19" s="39"/>
      <c r="H19" s="39"/>
      <c r="I19" s="39"/>
      <c r="J19" s="39"/>
      <c r="K19" s="39"/>
      <c r="L19" s="39"/>
      <c r="M19" s="39"/>
      <c r="N19" s="39"/>
      <c r="O19" s="39"/>
      <c r="P19" s="39"/>
      <c r="Q19" s="39"/>
      <c r="R19" s="39"/>
      <c r="S19" s="39"/>
    </row>
    <row r="20" spans="4:19" ht="15">
      <c r="D20" s="89"/>
      <c r="E20" s="39"/>
      <c r="F20" s="39"/>
      <c r="G20" s="39"/>
      <c r="H20" s="39"/>
      <c r="I20" s="39"/>
      <c r="J20" s="39"/>
      <c r="K20" s="39"/>
      <c r="L20" s="39"/>
      <c r="M20" s="39"/>
      <c r="N20" s="39"/>
      <c r="O20" s="39"/>
      <c r="P20" s="39"/>
      <c r="Q20" s="39"/>
      <c r="R20" s="39"/>
      <c r="S20" s="39"/>
    </row>
    <row r="21" spans="4:19" ht="15">
      <c r="D21" s="89"/>
      <c r="E21" s="39"/>
      <c r="F21" s="39"/>
      <c r="G21" s="39"/>
      <c r="H21" s="39"/>
      <c r="I21" s="39"/>
      <c r="J21" s="39"/>
      <c r="K21" s="39"/>
      <c r="L21" s="39"/>
      <c r="M21" s="39"/>
      <c r="N21" s="39"/>
      <c r="O21" s="39"/>
      <c r="P21" s="39"/>
      <c r="Q21" s="39"/>
      <c r="R21" s="39"/>
      <c r="S21" s="39"/>
    </row>
    <row r="22" spans="4:19" ht="15">
      <c r="D22" s="89"/>
      <c r="E22" s="39"/>
      <c r="F22" s="39"/>
      <c r="G22" s="39"/>
      <c r="H22" s="39"/>
      <c r="I22" s="39"/>
      <c r="J22" s="39"/>
      <c r="K22" s="39"/>
      <c r="L22" s="39"/>
      <c r="M22" s="39"/>
      <c r="N22" s="39"/>
      <c r="O22" s="39"/>
      <c r="P22" s="39"/>
      <c r="Q22" s="39"/>
      <c r="R22" s="39"/>
      <c r="S22" s="39"/>
    </row>
    <row r="23" spans="4:19" ht="15">
      <c r="D23" s="89"/>
      <c r="E23" s="39"/>
      <c r="F23" s="39"/>
      <c r="G23" s="39"/>
      <c r="H23" s="39"/>
      <c r="I23" s="39"/>
      <c r="J23" s="39"/>
      <c r="K23" s="39"/>
      <c r="L23" s="39"/>
      <c r="M23" s="39"/>
      <c r="N23" s="39"/>
      <c r="O23" s="39"/>
      <c r="P23" s="39"/>
      <c r="Q23" s="39"/>
      <c r="R23" s="39"/>
      <c r="S23" s="39"/>
    </row>
    <row r="24" spans="4:19" ht="15">
      <c r="D24" s="89"/>
      <c r="E24" s="39"/>
      <c r="F24" s="39"/>
      <c r="G24" s="39"/>
      <c r="H24" s="39"/>
      <c r="I24" s="39"/>
      <c r="J24" s="39"/>
      <c r="K24" s="39"/>
      <c r="L24" s="39"/>
      <c r="M24" s="39"/>
      <c r="N24" s="39"/>
      <c r="O24" s="39"/>
      <c r="P24" s="39"/>
      <c r="Q24" s="39"/>
      <c r="R24" s="39"/>
      <c r="S24" s="39"/>
    </row>
    <row r="27" spans="4:19">
      <c r="D27" s="89"/>
      <c r="E27" s="39"/>
      <c r="F27" s="39"/>
      <c r="G27" s="39"/>
      <c r="H27" s="39"/>
      <c r="I27" s="39"/>
      <c r="J27" s="39"/>
      <c r="K27" s="39"/>
      <c r="L27" s="39"/>
      <c r="M27" s="39"/>
      <c r="N27" s="39"/>
      <c r="O27" s="39"/>
      <c r="P27" s="39"/>
      <c r="Q27" s="39"/>
      <c r="R27" s="39"/>
      <c r="S27" s="39"/>
    </row>
    <row r="28" spans="4:19">
      <c r="D28" s="89"/>
      <c r="E28" s="39"/>
      <c r="F28" s="39"/>
      <c r="G28" s="39"/>
      <c r="H28" s="39"/>
      <c r="I28" s="39"/>
      <c r="J28" s="39"/>
      <c r="K28" s="39"/>
      <c r="L28" s="39"/>
      <c r="M28" s="39"/>
      <c r="N28" s="39"/>
      <c r="O28" s="39"/>
      <c r="P28" s="39"/>
      <c r="Q28" s="39"/>
      <c r="R28" s="39"/>
      <c r="S28" s="39"/>
    </row>
    <row r="29" spans="4:19">
      <c r="D29" s="89"/>
      <c r="E29" s="39"/>
      <c r="F29" s="39"/>
      <c r="G29" s="39"/>
      <c r="H29" s="39"/>
      <c r="I29" s="39"/>
      <c r="J29" s="39"/>
      <c r="K29" s="39"/>
      <c r="L29" s="39"/>
      <c r="M29" s="39"/>
      <c r="N29" s="39"/>
      <c r="O29" s="39"/>
      <c r="P29" s="39"/>
      <c r="Q29" s="39"/>
      <c r="R29" s="39"/>
      <c r="S29" s="39"/>
    </row>
    <row r="30" spans="4:19">
      <c r="D30" s="89"/>
      <c r="E30" s="39"/>
      <c r="F30" s="39"/>
      <c r="G30" s="39"/>
      <c r="H30" s="39"/>
      <c r="I30" s="39"/>
      <c r="J30" s="39"/>
      <c r="K30" s="39"/>
      <c r="L30" s="39"/>
      <c r="M30" s="39"/>
      <c r="N30" s="39"/>
      <c r="O30" s="39"/>
      <c r="P30" s="39"/>
      <c r="Q30" s="39"/>
      <c r="R30" s="39"/>
      <c r="S30" s="39"/>
    </row>
    <row r="31" spans="4:19">
      <c r="D31" s="89"/>
      <c r="E31" s="39"/>
      <c r="F31" s="39"/>
      <c r="G31" s="39"/>
      <c r="H31" s="39"/>
      <c r="I31" s="39"/>
      <c r="J31" s="39"/>
      <c r="K31" s="39"/>
      <c r="L31" s="39"/>
      <c r="M31" s="39"/>
      <c r="N31" s="39"/>
      <c r="O31" s="39"/>
      <c r="P31" s="39"/>
      <c r="Q31" s="39"/>
      <c r="R31" s="39"/>
      <c r="S31" s="39"/>
    </row>
    <row r="32" spans="4:19">
      <c r="D32" s="89"/>
      <c r="E32" s="39"/>
      <c r="F32" s="39"/>
      <c r="G32" s="39"/>
      <c r="H32" s="39"/>
      <c r="I32" s="39"/>
      <c r="J32" s="39"/>
      <c r="K32" s="39"/>
      <c r="L32" s="39"/>
      <c r="M32" s="39"/>
      <c r="N32" s="39"/>
      <c r="O32" s="39"/>
      <c r="P32" s="39"/>
      <c r="Q32" s="39"/>
      <c r="R32" s="39"/>
      <c r="S32" s="39"/>
    </row>
    <row r="33" spans="4:19">
      <c r="D33" s="89"/>
      <c r="E33" s="39"/>
      <c r="F33" s="39"/>
      <c r="G33" s="39"/>
      <c r="H33" s="39"/>
      <c r="I33" s="39"/>
      <c r="J33" s="39"/>
      <c r="K33" s="39"/>
      <c r="L33" s="39"/>
      <c r="M33" s="39"/>
      <c r="N33" s="39"/>
      <c r="O33" s="39"/>
      <c r="P33" s="39"/>
      <c r="Q33" s="39"/>
      <c r="R33" s="39"/>
      <c r="S33" s="39"/>
    </row>
    <row r="34" spans="4:19">
      <c r="D34" s="89"/>
      <c r="E34" s="39"/>
      <c r="F34" s="39"/>
      <c r="G34" s="39"/>
      <c r="H34" s="39"/>
      <c r="I34" s="39"/>
      <c r="J34" s="39"/>
      <c r="K34" s="39"/>
      <c r="L34" s="39"/>
      <c r="M34" s="39"/>
      <c r="N34" s="39"/>
      <c r="O34" s="39"/>
      <c r="P34" s="39"/>
      <c r="Q34" s="39"/>
      <c r="R34" s="39"/>
      <c r="S34" s="39"/>
    </row>
    <row r="35" spans="4:19">
      <c r="D35" s="89"/>
      <c r="E35" s="39"/>
      <c r="F35" s="39"/>
      <c r="G35" s="39"/>
      <c r="H35" s="39"/>
      <c r="I35" s="39"/>
      <c r="J35" s="39"/>
      <c r="K35" s="39"/>
      <c r="L35" s="39"/>
      <c r="M35" s="39"/>
      <c r="N35" s="39"/>
      <c r="O35" s="39"/>
      <c r="P35" s="39"/>
      <c r="Q35" s="39"/>
      <c r="R35" s="39"/>
      <c r="S35" s="39"/>
    </row>
    <row r="36" spans="4:19">
      <c r="D36" s="89"/>
      <c r="E36" s="39"/>
      <c r="F36" s="39"/>
      <c r="G36" s="39"/>
      <c r="H36" s="39"/>
      <c r="I36" s="39"/>
      <c r="J36" s="39"/>
      <c r="K36" s="39"/>
      <c r="L36" s="39"/>
      <c r="M36" s="39"/>
      <c r="N36" s="39"/>
      <c r="O36" s="39"/>
      <c r="P36" s="39"/>
      <c r="Q36" s="39"/>
      <c r="R36" s="39"/>
      <c r="S36" s="39"/>
    </row>
    <row r="37" spans="4:19">
      <c r="D37" s="89"/>
      <c r="E37" s="39"/>
      <c r="F37" s="39"/>
      <c r="G37" s="39"/>
      <c r="H37" s="39"/>
      <c r="I37" s="39"/>
      <c r="J37" s="39"/>
      <c r="K37" s="39"/>
      <c r="L37" s="39"/>
      <c r="M37" s="39"/>
      <c r="N37" s="39"/>
      <c r="O37" s="39"/>
      <c r="P37" s="39"/>
      <c r="Q37" s="39"/>
      <c r="R37" s="39"/>
      <c r="S37" s="39"/>
    </row>
    <row r="38" spans="4:19">
      <c r="D38" s="89"/>
      <c r="E38" s="39"/>
      <c r="F38" s="39"/>
      <c r="G38" s="39"/>
      <c r="H38" s="39"/>
      <c r="I38" s="39"/>
      <c r="J38" s="39"/>
      <c r="K38" s="39"/>
      <c r="L38" s="39"/>
      <c r="M38" s="39"/>
      <c r="N38" s="39"/>
      <c r="O38" s="39"/>
      <c r="P38" s="39"/>
      <c r="Q38" s="39"/>
      <c r="R38" s="39"/>
      <c r="S38" s="39"/>
    </row>
    <row r="39" spans="4:19">
      <c r="D39" s="89"/>
      <c r="E39" s="39"/>
      <c r="F39" s="39"/>
      <c r="G39" s="39"/>
      <c r="H39" s="39"/>
      <c r="I39" s="39"/>
      <c r="J39" s="39"/>
      <c r="K39" s="39"/>
      <c r="L39" s="39"/>
      <c r="M39" s="39"/>
      <c r="N39" s="39"/>
      <c r="O39" s="39"/>
      <c r="P39" s="39"/>
      <c r="Q39" s="39"/>
      <c r="R39" s="39"/>
      <c r="S39" s="39"/>
    </row>
    <row r="41" spans="4:19">
      <c r="D41" s="89"/>
      <c r="E41" s="39"/>
      <c r="F41" s="39"/>
      <c r="G41" s="39"/>
      <c r="H41" s="39"/>
      <c r="I41" s="39"/>
      <c r="J41" s="39"/>
      <c r="K41" s="39"/>
      <c r="L41" s="39"/>
      <c r="M41" s="39"/>
      <c r="N41" s="39"/>
      <c r="O41" s="39"/>
      <c r="P41" s="39"/>
      <c r="Q41" s="39"/>
      <c r="R41" s="39"/>
      <c r="S41" s="39"/>
    </row>
    <row r="42" spans="4:19">
      <c r="D42" s="89"/>
      <c r="E42" s="39"/>
      <c r="F42" s="39"/>
      <c r="G42" s="39"/>
      <c r="H42" s="39"/>
      <c r="I42" s="39"/>
      <c r="J42" s="39"/>
      <c r="K42" s="39"/>
      <c r="L42" s="39"/>
      <c r="M42" s="39"/>
      <c r="N42" s="39"/>
      <c r="O42" s="39"/>
      <c r="P42" s="39"/>
      <c r="Q42" s="39"/>
      <c r="R42" s="39"/>
      <c r="S42" s="39"/>
    </row>
    <row r="43" spans="4:19">
      <c r="D43" s="89"/>
      <c r="E43" s="39"/>
      <c r="F43" s="39"/>
      <c r="G43" s="39"/>
      <c r="H43" s="39"/>
      <c r="I43" s="39"/>
      <c r="J43" s="39"/>
      <c r="K43" s="39"/>
      <c r="L43" s="39"/>
      <c r="M43" s="39"/>
      <c r="N43" s="39"/>
      <c r="O43" s="39"/>
      <c r="P43" s="39"/>
      <c r="Q43" s="39"/>
      <c r="R43" s="39"/>
      <c r="S43" s="39"/>
    </row>
    <row r="44" spans="4:19">
      <c r="D44" s="89"/>
      <c r="E44" s="39"/>
      <c r="F44" s="39"/>
      <c r="G44" s="39"/>
      <c r="H44" s="39"/>
      <c r="I44" s="39"/>
      <c r="J44" s="39"/>
      <c r="K44" s="39"/>
      <c r="L44" s="39"/>
      <c r="M44" s="39"/>
      <c r="N44" s="39"/>
      <c r="O44" s="39"/>
      <c r="P44" s="39"/>
      <c r="Q44" s="39"/>
      <c r="R44" s="39"/>
      <c r="S44" s="39"/>
    </row>
    <row r="45" spans="4:19">
      <c r="D45" s="89"/>
      <c r="E45" s="39"/>
      <c r="F45" s="39"/>
      <c r="G45" s="39"/>
      <c r="H45" s="39"/>
      <c r="I45" s="39"/>
      <c r="J45" s="39"/>
      <c r="K45" s="39"/>
      <c r="L45" s="39"/>
      <c r="M45" s="39"/>
      <c r="N45" s="39"/>
      <c r="O45" s="39"/>
      <c r="P45" s="39"/>
      <c r="Q45" s="39"/>
      <c r="R45" s="39"/>
      <c r="S45" s="39"/>
    </row>
    <row r="46" spans="4:19">
      <c r="D46" s="89"/>
      <c r="E46" s="39"/>
      <c r="F46" s="39"/>
      <c r="G46" s="39"/>
      <c r="H46" s="39"/>
      <c r="I46" s="39"/>
      <c r="J46" s="39"/>
      <c r="K46" s="39"/>
      <c r="L46" s="39"/>
      <c r="M46" s="39"/>
      <c r="N46" s="39"/>
      <c r="O46" s="39"/>
      <c r="P46" s="39"/>
      <c r="Q46" s="39"/>
      <c r="R46" s="39"/>
      <c r="S46" s="39"/>
    </row>
    <row r="47" spans="4:19">
      <c r="D47" s="89"/>
      <c r="E47" s="39"/>
      <c r="F47" s="39"/>
      <c r="G47" s="39"/>
      <c r="H47" s="39"/>
      <c r="I47" s="39"/>
      <c r="J47" s="39"/>
      <c r="K47" s="39"/>
      <c r="L47" s="39"/>
      <c r="M47" s="39"/>
      <c r="N47" s="39"/>
      <c r="O47" s="39"/>
      <c r="P47" s="39"/>
      <c r="Q47" s="39"/>
      <c r="R47" s="39"/>
      <c r="S47" s="39"/>
    </row>
    <row r="49" spans="4:19">
      <c r="D49" s="89"/>
      <c r="E49" s="39"/>
      <c r="F49" s="39"/>
      <c r="G49" s="39"/>
      <c r="H49" s="39"/>
      <c r="I49" s="39"/>
      <c r="J49" s="39"/>
      <c r="K49" s="39"/>
      <c r="L49" s="39"/>
      <c r="M49" s="39"/>
      <c r="N49" s="39"/>
      <c r="O49" s="39"/>
      <c r="P49" s="39"/>
      <c r="Q49" s="39"/>
      <c r="R49" s="39"/>
      <c r="S49" s="39"/>
    </row>
    <row r="50" spans="4:19">
      <c r="D50" s="89"/>
      <c r="E50" s="39"/>
      <c r="F50" s="39"/>
      <c r="G50" s="39"/>
      <c r="H50" s="39"/>
      <c r="I50" s="39"/>
      <c r="J50" s="39"/>
      <c r="K50" s="39"/>
      <c r="L50" s="39"/>
      <c r="M50" s="39"/>
      <c r="N50" s="39"/>
      <c r="O50" s="39"/>
      <c r="P50" s="39"/>
      <c r="Q50" s="39"/>
      <c r="R50" s="39"/>
      <c r="S50" s="39"/>
    </row>
    <row r="51" spans="4:19">
      <c r="D51" s="89"/>
      <c r="E51" s="39"/>
      <c r="F51" s="39"/>
      <c r="G51" s="39"/>
      <c r="H51" s="39"/>
      <c r="I51" s="39"/>
      <c r="J51" s="39"/>
      <c r="K51" s="39"/>
      <c r="L51" s="39"/>
      <c r="M51" s="39"/>
      <c r="N51" s="39"/>
      <c r="O51" s="39"/>
      <c r="P51" s="39"/>
      <c r="Q51" s="39"/>
      <c r="R51" s="39"/>
      <c r="S51" s="39"/>
    </row>
    <row r="52" spans="4:19">
      <c r="D52" s="89"/>
      <c r="E52" s="39"/>
      <c r="F52" s="39"/>
      <c r="G52" s="39"/>
      <c r="H52" s="39"/>
      <c r="I52" s="39"/>
      <c r="J52" s="39"/>
      <c r="K52" s="39"/>
      <c r="L52" s="39"/>
      <c r="M52" s="39"/>
      <c r="N52" s="39"/>
      <c r="O52" s="39"/>
      <c r="P52" s="39"/>
      <c r="Q52" s="39"/>
      <c r="R52" s="39"/>
      <c r="S52" s="39"/>
    </row>
    <row r="53" spans="4:19">
      <c r="D53" s="89"/>
      <c r="E53" s="39"/>
      <c r="F53" s="39"/>
      <c r="G53" s="39"/>
      <c r="H53" s="39"/>
      <c r="I53" s="39"/>
      <c r="J53" s="39"/>
      <c r="K53" s="39"/>
      <c r="L53" s="39"/>
      <c r="M53" s="39"/>
      <c r="N53" s="39"/>
      <c r="O53" s="39"/>
      <c r="P53" s="39"/>
      <c r="Q53" s="39"/>
      <c r="R53" s="39"/>
      <c r="S53" s="39"/>
    </row>
    <row r="54" spans="4:19">
      <c r="D54" s="89"/>
      <c r="E54" s="39"/>
      <c r="F54" s="39"/>
      <c r="G54" s="39"/>
      <c r="H54" s="39"/>
      <c r="I54" s="39"/>
      <c r="J54" s="39"/>
      <c r="K54" s="39"/>
      <c r="L54" s="39"/>
      <c r="M54" s="39"/>
      <c r="N54" s="39"/>
      <c r="O54" s="39"/>
      <c r="P54" s="39"/>
      <c r="Q54" s="39"/>
      <c r="R54" s="39"/>
      <c r="S54" s="39"/>
    </row>
    <row r="57" spans="4:19">
      <c r="D57" s="89"/>
      <c r="E57" s="39"/>
      <c r="F57" s="39"/>
      <c r="G57" s="39"/>
      <c r="H57" s="39"/>
      <c r="I57" s="39"/>
      <c r="J57" s="39"/>
      <c r="K57" s="39"/>
      <c r="L57" s="39"/>
      <c r="M57" s="39"/>
      <c r="N57" s="39"/>
      <c r="O57" s="39"/>
      <c r="P57" s="39"/>
      <c r="Q57" s="39"/>
      <c r="R57" s="39"/>
      <c r="S57" s="39"/>
    </row>
    <row r="58" spans="4:19">
      <c r="D58" s="89"/>
      <c r="E58" s="39"/>
      <c r="F58" s="39"/>
      <c r="G58" s="39"/>
      <c r="H58" s="39"/>
      <c r="I58" s="39"/>
      <c r="J58" s="39"/>
      <c r="K58" s="39"/>
      <c r="L58" s="39"/>
      <c r="M58" s="39"/>
      <c r="N58" s="39"/>
      <c r="O58" s="39"/>
      <c r="P58" s="39"/>
      <c r="Q58" s="39"/>
      <c r="R58" s="39"/>
      <c r="S58" s="39"/>
    </row>
    <row r="59" spans="4:19">
      <c r="D59" s="89"/>
      <c r="E59" s="39"/>
      <c r="F59" s="39"/>
      <c r="G59" s="39"/>
      <c r="H59" s="39"/>
      <c r="I59" s="39"/>
      <c r="J59" s="39"/>
      <c r="K59" s="39"/>
      <c r="L59" s="39"/>
      <c r="M59" s="39"/>
      <c r="N59" s="39"/>
      <c r="O59" s="39"/>
      <c r="P59" s="39"/>
      <c r="Q59" s="39"/>
      <c r="R59" s="39"/>
      <c r="S59" s="39"/>
    </row>
    <row r="60" spans="4:19">
      <c r="D60" s="89"/>
      <c r="E60" s="39"/>
      <c r="F60" s="39"/>
      <c r="G60" s="39"/>
      <c r="H60" s="39"/>
      <c r="I60" s="39"/>
      <c r="J60" s="39"/>
      <c r="K60" s="39"/>
      <c r="L60" s="39"/>
      <c r="M60" s="39"/>
      <c r="N60" s="39"/>
      <c r="O60" s="39"/>
      <c r="P60" s="39"/>
      <c r="Q60" s="39"/>
      <c r="R60" s="39"/>
      <c r="S60" s="39"/>
    </row>
    <row r="61" spans="4:19">
      <c r="D61" s="89"/>
      <c r="E61" s="39"/>
      <c r="F61" s="39"/>
      <c r="G61" s="39"/>
      <c r="H61" s="39"/>
      <c r="I61" s="39"/>
      <c r="J61" s="39"/>
      <c r="K61" s="39"/>
      <c r="L61" s="39"/>
      <c r="M61" s="39"/>
      <c r="N61" s="39"/>
      <c r="O61" s="39"/>
      <c r="P61" s="39"/>
      <c r="Q61" s="39"/>
      <c r="R61" s="39"/>
      <c r="S61" s="39"/>
    </row>
    <row r="62" spans="4:19">
      <c r="D62" s="89"/>
      <c r="E62" s="39"/>
      <c r="F62" s="39"/>
      <c r="G62" s="39"/>
      <c r="H62" s="39"/>
      <c r="I62" s="39"/>
      <c r="J62" s="39"/>
      <c r="K62" s="39"/>
      <c r="L62" s="39"/>
      <c r="M62" s="39"/>
      <c r="N62" s="39"/>
      <c r="O62" s="39"/>
      <c r="P62" s="39"/>
      <c r="Q62" s="39"/>
      <c r="R62" s="39"/>
      <c r="S62" s="39"/>
    </row>
    <row r="63" spans="4:19">
      <c r="D63" s="89"/>
      <c r="E63" s="39"/>
      <c r="F63" s="39"/>
      <c r="G63" s="39"/>
      <c r="H63" s="39"/>
      <c r="I63" s="39"/>
      <c r="J63" s="39"/>
      <c r="K63" s="39"/>
      <c r="L63" s="39"/>
      <c r="M63" s="39"/>
      <c r="N63" s="39"/>
      <c r="O63" s="39"/>
      <c r="P63" s="39"/>
      <c r="Q63" s="39"/>
      <c r="R63" s="39"/>
      <c r="S63" s="39"/>
    </row>
    <row r="64" spans="4:19">
      <c r="D64" s="89"/>
      <c r="E64" s="39"/>
      <c r="F64" s="39"/>
      <c r="G64" s="39"/>
      <c r="H64" s="39"/>
      <c r="I64" s="39"/>
      <c r="J64" s="39"/>
      <c r="K64" s="39"/>
      <c r="L64" s="39"/>
      <c r="M64" s="39"/>
      <c r="N64" s="39"/>
      <c r="O64" s="39"/>
      <c r="P64" s="39"/>
      <c r="Q64" s="39"/>
      <c r="R64" s="39"/>
      <c r="S64" s="39"/>
    </row>
    <row r="65" spans="4:19">
      <c r="D65" s="89"/>
      <c r="E65" s="39"/>
      <c r="F65" s="39"/>
      <c r="G65" s="39"/>
      <c r="H65" s="39"/>
      <c r="I65" s="39"/>
      <c r="J65" s="39"/>
      <c r="K65" s="39"/>
      <c r="L65" s="39"/>
      <c r="M65" s="39"/>
      <c r="N65" s="39"/>
      <c r="O65" s="39"/>
      <c r="P65" s="39"/>
      <c r="Q65" s="39"/>
      <c r="R65" s="39"/>
      <c r="S65" s="39"/>
    </row>
    <row r="66" spans="4:19">
      <c r="D66" s="89"/>
      <c r="E66" s="39"/>
      <c r="F66" s="39"/>
      <c r="G66" s="39"/>
      <c r="H66" s="39"/>
      <c r="I66" s="39"/>
      <c r="J66" s="39"/>
      <c r="K66" s="39"/>
      <c r="L66" s="39"/>
      <c r="M66" s="39"/>
      <c r="N66" s="39"/>
      <c r="O66" s="39"/>
      <c r="P66" s="39"/>
      <c r="Q66" s="39"/>
      <c r="R66" s="39"/>
      <c r="S66" s="39"/>
    </row>
    <row r="67" spans="4:19">
      <c r="D67" s="89"/>
      <c r="E67" s="39"/>
      <c r="F67" s="39"/>
      <c r="G67" s="39"/>
      <c r="H67" s="39"/>
      <c r="I67" s="39"/>
      <c r="J67" s="39"/>
      <c r="K67" s="39"/>
      <c r="L67" s="39"/>
      <c r="M67" s="39"/>
      <c r="N67" s="39"/>
      <c r="O67" s="39"/>
      <c r="P67" s="39"/>
      <c r="Q67" s="39"/>
      <c r="R67" s="39"/>
      <c r="S67" s="39"/>
    </row>
    <row r="68" spans="4:19">
      <c r="D68" s="89"/>
      <c r="E68" s="39"/>
      <c r="F68" s="39"/>
      <c r="G68" s="39"/>
      <c r="H68" s="39"/>
      <c r="I68" s="39"/>
      <c r="J68" s="39"/>
      <c r="K68" s="39"/>
      <c r="L68" s="39"/>
      <c r="M68" s="39"/>
      <c r="N68" s="39"/>
      <c r="O68" s="39"/>
      <c r="P68" s="39"/>
      <c r="Q68" s="39"/>
      <c r="R68" s="39"/>
      <c r="S68" s="39"/>
    </row>
    <row r="70" spans="4:19">
      <c r="D70" s="89"/>
      <c r="E70" s="39"/>
      <c r="F70" s="39"/>
      <c r="G70" s="39"/>
      <c r="H70" s="39"/>
      <c r="I70" s="39"/>
      <c r="J70" s="39"/>
      <c r="K70" s="39"/>
      <c r="L70" s="39"/>
      <c r="M70" s="39"/>
      <c r="N70" s="39"/>
      <c r="O70" s="39"/>
      <c r="P70" s="39"/>
      <c r="Q70" s="39"/>
      <c r="R70" s="39"/>
      <c r="S70" s="39"/>
    </row>
    <row r="71" spans="4:19">
      <c r="D71" s="89"/>
      <c r="E71" s="39"/>
      <c r="F71" s="39"/>
      <c r="G71" s="39"/>
      <c r="H71" s="39"/>
      <c r="I71" s="39"/>
      <c r="J71" s="39"/>
      <c r="K71" s="39"/>
      <c r="L71" s="39"/>
      <c r="M71" s="39"/>
      <c r="N71" s="39"/>
      <c r="O71" s="39"/>
      <c r="P71" s="39"/>
      <c r="Q71" s="39"/>
      <c r="R71" s="39"/>
      <c r="S71" s="39"/>
    </row>
    <row r="72" spans="4:19">
      <c r="D72" s="39"/>
      <c r="E72" s="39"/>
      <c r="F72" s="39"/>
      <c r="G72" s="39"/>
      <c r="H72" s="39"/>
      <c r="I72" s="39"/>
      <c r="J72" s="39"/>
      <c r="K72" s="39"/>
      <c r="L72" s="39"/>
      <c r="M72" s="39"/>
      <c r="N72" s="39"/>
      <c r="O72" s="39"/>
      <c r="P72" s="39"/>
      <c r="Q72" s="39"/>
      <c r="R72" s="39"/>
      <c r="S72" s="39"/>
    </row>
    <row r="73" spans="4:19">
      <c r="D73" s="39"/>
      <c r="E73" s="39"/>
      <c r="F73" s="39"/>
      <c r="G73" s="39"/>
      <c r="H73" s="39"/>
      <c r="I73" s="39"/>
      <c r="J73" s="39"/>
      <c r="K73" s="39"/>
      <c r="L73" s="39"/>
      <c r="M73" s="39"/>
      <c r="N73" s="39"/>
      <c r="O73" s="39"/>
      <c r="P73" s="39"/>
      <c r="Q73" s="39"/>
      <c r="R73" s="39"/>
      <c r="S73" s="39"/>
    </row>
    <row r="74" spans="4:19">
      <c r="D74" s="39"/>
      <c r="E74" s="39"/>
      <c r="F74" s="39"/>
      <c r="G74" s="39"/>
      <c r="H74" s="39"/>
      <c r="I74" s="39"/>
      <c r="J74" s="39"/>
      <c r="K74" s="39"/>
      <c r="L74" s="39"/>
      <c r="M74" s="39"/>
      <c r="N74" s="39"/>
      <c r="O74" s="39"/>
      <c r="P74" s="39"/>
      <c r="Q74" s="39"/>
      <c r="R74" s="39"/>
      <c r="S74" s="39"/>
    </row>
    <row r="75" spans="4:19">
      <c r="D75" s="39"/>
      <c r="E75" s="39"/>
      <c r="F75" s="39"/>
      <c r="G75" s="39"/>
      <c r="H75" s="39"/>
      <c r="I75" s="39"/>
      <c r="J75" s="39"/>
      <c r="K75" s="39"/>
      <c r="L75" s="39"/>
      <c r="M75" s="39"/>
      <c r="N75" s="39"/>
      <c r="O75" s="39"/>
      <c r="P75" s="39"/>
      <c r="Q75" s="39"/>
      <c r="R75" s="39"/>
      <c r="S75" s="39"/>
    </row>
    <row r="78" spans="4:19">
      <c r="D78" s="39"/>
      <c r="E78" s="39"/>
      <c r="F78" s="39"/>
      <c r="G78" s="39"/>
      <c r="H78" s="39"/>
      <c r="I78" s="39"/>
      <c r="J78" s="39"/>
      <c r="K78" s="39"/>
      <c r="L78" s="39"/>
      <c r="M78" s="39"/>
      <c r="N78" s="39"/>
      <c r="O78" s="39"/>
      <c r="P78" s="39"/>
      <c r="Q78" s="39"/>
      <c r="R78" s="39"/>
      <c r="S78" s="39"/>
    </row>
    <row r="79" spans="4:19">
      <c r="D79" s="39"/>
      <c r="E79" s="39"/>
      <c r="F79" s="39"/>
      <c r="G79" s="39"/>
      <c r="H79" s="39"/>
      <c r="I79" s="39"/>
      <c r="J79" s="39"/>
      <c r="K79" s="39"/>
      <c r="L79" s="39"/>
      <c r="M79" s="39"/>
      <c r="N79" s="39"/>
      <c r="O79" s="39"/>
      <c r="P79" s="39"/>
      <c r="Q79" s="39"/>
      <c r="R79" s="39"/>
      <c r="S79" s="39"/>
    </row>
    <row r="80" spans="4:19">
      <c r="D80" s="39"/>
      <c r="E80" s="39"/>
      <c r="F80" s="39"/>
      <c r="G80" s="39"/>
      <c r="H80" s="39"/>
      <c r="I80" s="39"/>
      <c r="J80" s="39"/>
      <c r="K80" s="39"/>
      <c r="L80" s="39"/>
      <c r="M80" s="39"/>
      <c r="N80" s="39"/>
      <c r="O80" s="39"/>
      <c r="P80" s="39"/>
      <c r="Q80" s="39"/>
      <c r="R80" s="39"/>
      <c r="S80" s="39"/>
    </row>
    <row r="81" spans="4:19">
      <c r="D81" s="39"/>
      <c r="E81" s="39"/>
      <c r="F81" s="39"/>
      <c r="G81" s="39"/>
      <c r="H81" s="39"/>
      <c r="I81" s="39"/>
      <c r="J81" s="39"/>
      <c r="K81" s="39"/>
      <c r="L81" s="39"/>
      <c r="M81" s="39"/>
      <c r="N81" s="39"/>
      <c r="O81" s="39"/>
      <c r="P81" s="39"/>
      <c r="Q81" s="39"/>
      <c r="R81" s="39"/>
      <c r="S81" s="39"/>
    </row>
    <row r="82" spans="4:19">
      <c r="D82" s="39"/>
      <c r="E82" s="39"/>
      <c r="F82" s="39"/>
      <c r="G82" s="39"/>
      <c r="H82" s="39"/>
      <c r="I82" s="39"/>
      <c r="J82" s="39"/>
      <c r="K82" s="39"/>
      <c r="L82" s="39"/>
      <c r="M82" s="39"/>
      <c r="N82" s="39"/>
      <c r="O82" s="39"/>
      <c r="P82" s="39"/>
      <c r="Q82" s="39"/>
      <c r="R82" s="39"/>
      <c r="S82" s="39"/>
    </row>
    <row r="83" spans="4:19">
      <c r="D83" s="39"/>
      <c r="E83" s="39"/>
      <c r="F83" s="39"/>
      <c r="G83" s="39"/>
      <c r="H83" s="39"/>
      <c r="I83" s="39"/>
      <c r="J83" s="39"/>
      <c r="K83" s="39"/>
      <c r="L83" s="39"/>
      <c r="M83" s="39"/>
      <c r="N83" s="39"/>
      <c r="O83" s="39"/>
      <c r="P83" s="39"/>
      <c r="Q83" s="39"/>
      <c r="R83" s="39"/>
      <c r="S83" s="39"/>
    </row>
    <row r="84" spans="4:19">
      <c r="D84" s="39"/>
      <c r="E84" s="39"/>
      <c r="F84" s="39"/>
      <c r="G84" s="39"/>
      <c r="H84" s="39"/>
      <c r="I84" s="39"/>
      <c r="J84" s="39"/>
      <c r="K84" s="39"/>
      <c r="L84" s="39"/>
      <c r="M84" s="39"/>
      <c r="N84" s="39"/>
      <c r="O84" s="39"/>
      <c r="P84" s="39"/>
      <c r="Q84" s="39"/>
      <c r="R84" s="39"/>
      <c r="S84" s="39"/>
    </row>
    <row r="85" spans="4:19">
      <c r="D85" s="39"/>
      <c r="E85" s="39"/>
      <c r="F85" s="39"/>
      <c r="G85" s="39"/>
      <c r="H85" s="39"/>
      <c r="I85" s="39"/>
      <c r="J85" s="39"/>
      <c r="K85" s="39"/>
      <c r="L85" s="39"/>
      <c r="M85" s="39"/>
      <c r="N85" s="39"/>
      <c r="O85" s="39"/>
      <c r="P85" s="39"/>
      <c r="Q85" s="39"/>
      <c r="R85" s="39"/>
      <c r="S85" s="39"/>
    </row>
    <row r="86" spans="4:19">
      <c r="D86" s="39"/>
      <c r="E86" s="39"/>
      <c r="F86" s="39"/>
      <c r="G86" s="39"/>
      <c r="H86" s="39"/>
      <c r="I86" s="39"/>
      <c r="J86" s="39"/>
      <c r="K86" s="39"/>
      <c r="L86" s="39"/>
      <c r="M86" s="39"/>
      <c r="N86" s="39"/>
      <c r="O86" s="39"/>
      <c r="P86" s="39"/>
      <c r="Q86" s="39"/>
      <c r="R86" s="39"/>
      <c r="S86" s="39"/>
    </row>
    <row r="88" spans="4:19">
      <c r="D88" s="39"/>
      <c r="E88" s="39"/>
      <c r="F88" s="39"/>
      <c r="G88" s="39"/>
      <c r="H88" s="39"/>
      <c r="I88" s="39"/>
      <c r="J88" s="39"/>
      <c r="K88" s="39"/>
      <c r="L88" s="39"/>
      <c r="M88" s="39"/>
      <c r="N88" s="39"/>
      <c r="O88" s="39"/>
      <c r="P88" s="39"/>
      <c r="Q88" s="39"/>
      <c r="R88" s="39"/>
      <c r="S88" s="39"/>
    </row>
    <row r="89" spans="4:19">
      <c r="D89" s="39"/>
      <c r="E89" s="39"/>
      <c r="F89" s="39"/>
      <c r="G89" s="39"/>
      <c r="H89" s="39"/>
      <c r="I89" s="39"/>
      <c r="J89" s="39"/>
      <c r="K89" s="39"/>
      <c r="L89" s="39"/>
      <c r="M89" s="39"/>
      <c r="N89" s="39"/>
      <c r="O89" s="39"/>
      <c r="P89" s="39"/>
      <c r="Q89" s="39"/>
      <c r="R89" s="39"/>
      <c r="S89" s="39"/>
    </row>
    <row r="91" spans="4:19">
      <c r="D91" s="39"/>
      <c r="E91" s="39"/>
      <c r="F91" s="39"/>
      <c r="G91" s="39"/>
      <c r="H91" s="39"/>
      <c r="I91" s="39"/>
      <c r="J91" s="39"/>
      <c r="K91" s="39"/>
      <c r="L91" s="39"/>
      <c r="M91" s="39"/>
      <c r="N91" s="39"/>
      <c r="O91" s="39"/>
      <c r="P91" s="39"/>
      <c r="Q91" s="39"/>
      <c r="R91" s="39"/>
      <c r="S91" s="39"/>
    </row>
    <row r="92" spans="4:19">
      <c r="D92" s="39"/>
      <c r="E92" s="39"/>
      <c r="F92" s="39"/>
      <c r="G92" s="39"/>
      <c r="H92" s="39"/>
      <c r="I92" s="39"/>
      <c r="J92" s="39"/>
      <c r="K92" s="39"/>
      <c r="L92" s="39"/>
      <c r="M92" s="39"/>
      <c r="N92" s="39"/>
      <c r="O92" s="39"/>
      <c r="P92" s="39"/>
      <c r="Q92" s="39"/>
      <c r="R92" s="39"/>
      <c r="S92" s="39"/>
    </row>
    <row r="93" spans="4:19">
      <c r="D93" s="39"/>
      <c r="E93" s="39"/>
      <c r="F93" s="39"/>
      <c r="G93" s="39"/>
      <c r="H93" s="39"/>
      <c r="I93" s="39"/>
      <c r="J93" s="39"/>
      <c r="K93" s="39"/>
      <c r="L93" s="39"/>
      <c r="M93" s="39"/>
      <c r="N93" s="39"/>
      <c r="O93" s="39"/>
      <c r="P93" s="39"/>
      <c r="Q93" s="39"/>
      <c r="R93" s="39"/>
      <c r="S93" s="39"/>
    </row>
    <row r="94" spans="4:19">
      <c r="D94" s="39"/>
      <c r="E94" s="39"/>
      <c r="F94" s="39"/>
      <c r="G94" s="39"/>
      <c r="H94" s="39"/>
      <c r="I94" s="39"/>
      <c r="J94" s="39"/>
      <c r="K94" s="39"/>
      <c r="L94" s="39"/>
      <c r="M94" s="39"/>
      <c r="N94" s="39"/>
      <c r="O94" s="39"/>
      <c r="P94" s="39"/>
      <c r="Q94" s="39"/>
      <c r="R94" s="39"/>
      <c r="S94" s="39"/>
    </row>
    <row r="95" spans="4:19">
      <c r="D95" s="39"/>
      <c r="E95" s="39"/>
      <c r="F95" s="39"/>
      <c r="G95" s="39"/>
      <c r="H95" s="39"/>
      <c r="I95" s="39"/>
      <c r="J95" s="39"/>
      <c r="K95" s="39"/>
      <c r="L95" s="39"/>
      <c r="M95" s="39"/>
      <c r="N95" s="39"/>
      <c r="O95" s="39"/>
      <c r="P95" s="39"/>
      <c r="Q95" s="39"/>
      <c r="R95" s="39"/>
      <c r="S95" s="39"/>
    </row>
    <row r="96" spans="4:19">
      <c r="D96" s="39"/>
      <c r="E96" s="39"/>
      <c r="F96" s="39"/>
      <c r="G96" s="39"/>
      <c r="H96" s="39"/>
      <c r="I96" s="39"/>
      <c r="J96" s="39"/>
      <c r="K96" s="39"/>
      <c r="L96" s="39"/>
      <c r="M96" s="39"/>
      <c r="N96" s="39"/>
      <c r="O96" s="39"/>
      <c r="P96" s="39"/>
      <c r="Q96" s="39"/>
      <c r="R96" s="39"/>
      <c r="S96" s="39"/>
    </row>
    <row r="97" spans="4:19">
      <c r="D97" s="39"/>
      <c r="E97" s="39"/>
      <c r="F97" s="39"/>
      <c r="G97" s="39"/>
      <c r="H97" s="39"/>
      <c r="I97" s="39"/>
      <c r="J97" s="39"/>
      <c r="K97" s="39"/>
      <c r="L97" s="39"/>
      <c r="M97" s="39"/>
      <c r="N97" s="39"/>
      <c r="O97" s="39"/>
      <c r="P97" s="39"/>
      <c r="Q97" s="39"/>
      <c r="R97" s="39"/>
      <c r="S97" s="39"/>
    </row>
    <row r="98" spans="4:19">
      <c r="D98" s="39"/>
      <c r="E98" s="39"/>
      <c r="F98" s="39"/>
      <c r="G98" s="39"/>
      <c r="H98" s="39"/>
      <c r="I98" s="39"/>
      <c r="J98" s="39"/>
      <c r="K98" s="39"/>
      <c r="L98" s="39"/>
      <c r="M98" s="39"/>
      <c r="N98" s="39"/>
      <c r="O98" s="39"/>
      <c r="P98" s="39"/>
      <c r="Q98" s="39"/>
      <c r="R98" s="39"/>
      <c r="S98" s="39"/>
    </row>
    <row r="99" spans="4:19">
      <c r="D99" s="39"/>
      <c r="E99" s="39"/>
      <c r="F99" s="39"/>
      <c r="G99" s="39"/>
      <c r="H99" s="39"/>
      <c r="I99" s="39"/>
      <c r="J99" s="39"/>
      <c r="K99" s="39"/>
      <c r="L99" s="39"/>
      <c r="M99" s="39"/>
      <c r="N99" s="39"/>
      <c r="O99" s="39"/>
      <c r="P99" s="39"/>
      <c r="Q99" s="39"/>
      <c r="R99" s="39"/>
      <c r="S99" s="39"/>
    </row>
    <row r="100" spans="4:19">
      <c r="D100" s="39"/>
      <c r="E100" s="39"/>
      <c r="F100" s="39"/>
      <c r="G100" s="39"/>
      <c r="H100" s="39"/>
      <c r="I100" s="39"/>
      <c r="J100" s="39"/>
      <c r="K100" s="39"/>
      <c r="L100" s="39"/>
      <c r="M100" s="39"/>
      <c r="N100" s="39"/>
      <c r="O100" s="39"/>
      <c r="P100" s="39"/>
      <c r="Q100" s="39"/>
      <c r="R100" s="39"/>
      <c r="S100" s="39"/>
    </row>
    <row r="101" spans="4:19">
      <c r="D101" s="39"/>
      <c r="E101" s="39"/>
      <c r="F101" s="39"/>
      <c r="G101" s="39"/>
      <c r="H101" s="39"/>
      <c r="I101" s="39"/>
      <c r="J101" s="39"/>
      <c r="K101" s="39"/>
      <c r="L101" s="39"/>
      <c r="M101" s="39"/>
      <c r="N101" s="39"/>
      <c r="O101" s="39"/>
      <c r="P101" s="39"/>
      <c r="Q101" s="39"/>
      <c r="R101" s="39"/>
      <c r="S101" s="39"/>
    </row>
    <row r="103" spans="4:19">
      <c r="D103" s="39"/>
      <c r="E103" s="39"/>
      <c r="F103" s="39"/>
      <c r="G103" s="39"/>
      <c r="H103" s="39"/>
      <c r="I103" s="39"/>
      <c r="J103" s="39"/>
      <c r="K103" s="39"/>
      <c r="L103" s="39"/>
      <c r="M103" s="39"/>
      <c r="N103" s="39"/>
      <c r="O103" s="39"/>
      <c r="P103" s="39"/>
      <c r="Q103" s="39"/>
      <c r="R103" s="39"/>
      <c r="S103" s="39"/>
    </row>
    <row r="104" spans="4:19">
      <c r="D104" s="39"/>
      <c r="E104" s="39"/>
      <c r="F104" s="39"/>
      <c r="G104" s="39"/>
      <c r="H104" s="39"/>
      <c r="I104" s="39"/>
      <c r="J104" s="39"/>
      <c r="K104" s="39"/>
      <c r="L104" s="39"/>
      <c r="M104" s="39"/>
      <c r="N104" s="39"/>
      <c r="O104" s="39"/>
      <c r="P104" s="39"/>
      <c r="Q104" s="39"/>
      <c r="R104" s="39"/>
      <c r="S104" s="39"/>
    </row>
    <row r="105" spans="4:19">
      <c r="D105" s="39"/>
      <c r="E105" s="39"/>
      <c r="F105" s="39"/>
      <c r="G105" s="39"/>
      <c r="H105" s="39"/>
      <c r="I105" s="39"/>
      <c r="J105" s="39"/>
      <c r="K105" s="39"/>
      <c r="L105" s="39"/>
      <c r="M105" s="39"/>
      <c r="N105" s="39"/>
      <c r="O105" s="39"/>
      <c r="P105" s="39"/>
      <c r="Q105" s="39"/>
      <c r="R105" s="39"/>
      <c r="S105" s="39"/>
    </row>
    <row r="106" spans="4:19">
      <c r="D106" s="39"/>
      <c r="E106" s="39"/>
      <c r="F106" s="39"/>
      <c r="G106" s="39"/>
      <c r="H106" s="39"/>
      <c r="I106" s="39"/>
      <c r="J106" s="39"/>
      <c r="K106" s="39"/>
      <c r="L106" s="39"/>
      <c r="M106" s="39"/>
      <c r="N106" s="39"/>
      <c r="O106" s="39"/>
      <c r="P106" s="39"/>
      <c r="Q106" s="39"/>
      <c r="R106" s="39"/>
      <c r="S106" s="39"/>
    </row>
    <row r="107" spans="4:19">
      <c r="D107" s="39"/>
      <c r="E107" s="39"/>
      <c r="F107" s="39"/>
      <c r="G107" s="39"/>
      <c r="H107" s="39"/>
      <c r="I107" s="39"/>
      <c r="J107" s="39"/>
      <c r="K107" s="39"/>
      <c r="L107" s="39"/>
      <c r="M107" s="39"/>
      <c r="N107" s="39"/>
      <c r="O107" s="39"/>
      <c r="P107" s="39"/>
      <c r="Q107" s="39"/>
      <c r="R107" s="39"/>
      <c r="S107" s="39"/>
    </row>
    <row r="108" spans="4:19">
      <c r="D108" s="39"/>
      <c r="E108" s="39"/>
      <c r="F108" s="39"/>
      <c r="G108" s="39"/>
      <c r="H108" s="39"/>
      <c r="I108" s="39"/>
      <c r="J108" s="39"/>
      <c r="K108" s="39"/>
      <c r="L108" s="39"/>
      <c r="M108" s="39"/>
      <c r="N108" s="39"/>
      <c r="O108" s="39"/>
      <c r="P108" s="39"/>
      <c r="Q108" s="39"/>
      <c r="R108" s="39"/>
      <c r="S108" s="39"/>
    </row>
    <row r="110" spans="4:19">
      <c r="D110" s="39"/>
      <c r="E110" s="39"/>
      <c r="F110" s="39"/>
      <c r="G110" s="39"/>
      <c r="H110" s="39"/>
      <c r="I110" s="39"/>
      <c r="J110" s="39"/>
      <c r="K110" s="39"/>
      <c r="L110" s="39"/>
      <c r="M110" s="39"/>
      <c r="N110" s="39"/>
      <c r="O110" s="39"/>
      <c r="P110" s="39"/>
      <c r="Q110" s="39"/>
      <c r="R110" s="39"/>
      <c r="S110" s="39"/>
    </row>
    <row r="111" spans="4:19">
      <c r="D111" s="39"/>
      <c r="E111" s="39"/>
      <c r="F111" s="39"/>
      <c r="G111" s="39"/>
      <c r="H111" s="39"/>
      <c r="I111" s="39"/>
      <c r="J111" s="39"/>
      <c r="K111" s="39"/>
      <c r="L111" s="39"/>
      <c r="M111" s="39"/>
      <c r="N111" s="39"/>
      <c r="O111" s="39"/>
      <c r="P111" s="39"/>
      <c r="Q111" s="39"/>
      <c r="R111" s="39"/>
      <c r="S111" s="39"/>
    </row>
    <row r="112" spans="4:19">
      <c r="D112" s="39"/>
      <c r="E112" s="39"/>
      <c r="F112" s="39"/>
      <c r="G112" s="39"/>
      <c r="H112" s="39"/>
      <c r="I112" s="39"/>
      <c r="J112" s="39"/>
      <c r="K112" s="39"/>
      <c r="L112" s="39"/>
      <c r="M112" s="39"/>
      <c r="N112" s="39"/>
      <c r="O112" s="39"/>
      <c r="P112" s="39"/>
      <c r="Q112" s="39"/>
      <c r="R112" s="39"/>
      <c r="S112" s="39"/>
    </row>
    <row r="114" spans="4:19">
      <c r="D114" s="39"/>
      <c r="E114" s="39"/>
      <c r="F114" s="39"/>
      <c r="G114" s="39"/>
      <c r="H114" s="39"/>
      <c r="I114" s="39"/>
      <c r="J114" s="39"/>
      <c r="K114" s="39"/>
      <c r="L114" s="39"/>
      <c r="M114" s="39"/>
      <c r="N114" s="39"/>
      <c r="O114" s="39"/>
      <c r="P114" s="39"/>
      <c r="Q114" s="39"/>
      <c r="R114" s="39"/>
      <c r="S114" s="39"/>
    </row>
    <row r="116" spans="4:19">
      <c r="D116" s="39"/>
      <c r="E116" s="39"/>
      <c r="F116" s="39"/>
      <c r="G116" s="39"/>
      <c r="H116" s="39"/>
      <c r="I116" s="39"/>
      <c r="J116" s="39"/>
      <c r="K116" s="39"/>
      <c r="L116" s="39"/>
      <c r="M116" s="39"/>
      <c r="N116" s="39"/>
      <c r="O116" s="39"/>
      <c r="P116" s="39"/>
      <c r="Q116" s="39"/>
      <c r="R116" s="39"/>
      <c r="S116" s="39"/>
    </row>
    <row r="118" spans="4:19">
      <c r="D118" s="39"/>
      <c r="E118" s="39"/>
      <c r="F118" s="39"/>
      <c r="G118" s="39"/>
      <c r="H118" s="39"/>
      <c r="I118" s="39"/>
      <c r="J118" s="39"/>
      <c r="K118" s="39"/>
      <c r="L118" s="39"/>
      <c r="M118" s="39"/>
      <c r="N118" s="39"/>
      <c r="O118" s="39"/>
      <c r="P118" s="39"/>
      <c r="Q118" s="39"/>
      <c r="R118" s="39"/>
      <c r="S118" s="39"/>
    </row>
    <row r="120" spans="4:19">
      <c r="D120" s="39"/>
      <c r="E120" s="39"/>
      <c r="F120" s="39"/>
      <c r="G120" s="39"/>
      <c r="H120" s="39"/>
      <c r="I120" s="39"/>
      <c r="J120" s="39"/>
      <c r="K120" s="39"/>
      <c r="L120" s="39"/>
      <c r="M120" s="39"/>
      <c r="N120" s="39"/>
      <c r="O120" s="39"/>
      <c r="P120" s="39"/>
      <c r="Q120" s="39"/>
      <c r="R120" s="39"/>
      <c r="S120" s="39"/>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sheetData>
  <mergeCells count="6">
    <mergeCell ref="Q1:S2"/>
    <mergeCell ref="A1:C2"/>
    <mergeCell ref="D1:E2"/>
    <mergeCell ref="F1:K2"/>
    <mergeCell ref="L1:N2"/>
    <mergeCell ref="O1:P2"/>
  </mergeCells>
  <dataValidations count="1">
    <dataValidation allowBlank="1" showInputMessage="1" showErrorMessage="1" sqref="D4:R4 D10:R14 E5:P9 R5:R9" xr:uid="{61BFC345-EA1B-4F13-AB42-BA990375CF15}"/>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E84FECA-D6DF-40F5-960B-1B10ABD3CAE4}">
          <x14:formula1>
            <xm:f>'Validación datos NO BORRAR'!$F$21:$F$25</xm:f>
          </x14:formula1>
          <xm:sqref>D15:D150 E15:P150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G27"/>
  <sheetViews>
    <sheetView topLeftCell="E1" workbookViewId="0">
      <selection activeCell="E8" sqref="E8"/>
    </sheetView>
  </sheetViews>
  <sheetFormatPr defaultColWidth="11.42578125" defaultRowHeight="14.45"/>
  <cols>
    <col min="5" max="5" width="71" customWidth="1"/>
    <col min="6" max="6" width="20.140625" customWidth="1"/>
    <col min="7" max="7" width="31.7109375" customWidth="1"/>
  </cols>
  <sheetData>
    <row r="2" spans="5:7" ht="64.5" customHeight="1"/>
    <row r="3" spans="5:7" ht="27.6">
      <c r="E3" s="28" t="s">
        <v>458</v>
      </c>
      <c r="F3" s="29" t="s">
        <v>120</v>
      </c>
      <c r="G3" s="29" t="s">
        <v>459</v>
      </c>
    </row>
    <row r="4" spans="5:7">
      <c r="E4" s="27" t="s">
        <v>153</v>
      </c>
      <c r="F4" s="30" t="s">
        <v>159</v>
      </c>
      <c r="G4" s="27" t="s">
        <v>460</v>
      </c>
    </row>
    <row r="5" spans="5:7">
      <c r="E5" s="27" t="s">
        <v>461</v>
      </c>
      <c r="F5" s="30" t="s">
        <v>154</v>
      </c>
      <c r="G5" s="27" t="s">
        <v>462</v>
      </c>
    </row>
    <row r="6" spans="5:7">
      <c r="E6" s="27" t="s">
        <v>463</v>
      </c>
      <c r="F6" s="30" t="s">
        <v>464</v>
      </c>
      <c r="G6" s="27" t="s">
        <v>144</v>
      </c>
    </row>
    <row r="7" spans="5:7">
      <c r="E7" s="27" t="s">
        <v>143</v>
      </c>
      <c r="F7" s="27" t="s">
        <v>144</v>
      </c>
      <c r="G7" s="27"/>
    </row>
    <row r="8" spans="5:7">
      <c r="E8" s="27" t="s">
        <v>283</v>
      </c>
      <c r="F8" s="27"/>
      <c r="G8" s="27"/>
    </row>
    <row r="9" spans="5:7">
      <c r="E9" s="27" t="s">
        <v>465</v>
      </c>
      <c r="F9" s="27"/>
      <c r="G9" s="27"/>
    </row>
    <row r="10" spans="5:7">
      <c r="E10" s="27"/>
      <c r="F10" s="27"/>
      <c r="G10" s="27"/>
    </row>
    <row r="11" spans="5:7">
      <c r="E11" s="27"/>
      <c r="F11" s="27"/>
      <c r="G11" s="27"/>
    </row>
    <row r="12" spans="5:7">
      <c r="E12" s="27"/>
      <c r="F12" s="27"/>
      <c r="G12" s="27"/>
    </row>
    <row r="13" spans="5:7">
      <c r="E13" s="27"/>
      <c r="F13" s="27"/>
      <c r="G13" s="27"/>
    </row>
    <row r="14" spans="5:7">
      <c r="E14" s="27"/>
      <c r="F14" s="27"/>
      <c r="G14" s="27"/>
    </row>
    <row r="15" spans="5:7">
      <c r="E15" s="27"/>
      <c r="F15" s="27"/>
      <c r="G15" s="27"/>
    </row>
    <row r="16" spans="5:7">
      <c r="E16" s="27"/>
      <c r="F16" s="27"/>
      <c r="G16" s="27"/>
    </row>
    <row r="17" spans="5:7">
      <c r="E17" s="27"/>
      <c r="F17" s="27"/>
      <c r="G17" s="27"/>
    </row>
    <row r="20" spans="5:7">
      <c r="E20" s="28" t="s">
        <v>466</v>
      </c>
      <c r="F20" s="28" t="s">
        <v>467</v>
      </c>
    </row>
    <row r="21" spans="5:7">
      <c r="E21" s="28"/>
      <c r="F21" s="28">
        <v>0</v>
      </c>
    </row>
    <row r="22" spans="5:7">
      <c r="E22" s="28"/>
      <c r="F22" s="28">
        <v>1</v>
      </c>
    </row>
    <row r="23" spans="5:7">
      <c r="E23" s="28"/>
      <c r="F23" s="28">
        <v>2</v>
      </c>
    </row>
    <row r="24" spans="5:7">
      <c r="E24" s="28"/>
      <c r="F24" s="28">
        <v>3</v>
      </c>
    </row>
    <row r="25" spans="5:7">
      <c r="E25" s="28"/>
      <c r="F25" s="28">
        <v>4</v>
      </c>
    </row>
    <row r="26" spans="5:7">
      <c r="E26" s="28"/>
      <c r="F26" s="28"/>
    </row>
    <row r="27" spans="5:7">
      <c r="E27" s="28"/>
      <c r="F2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7026-BA02-4017-BD23-B55FA8C017D5}">
  <dimension ref="B1:L13"/>
  <sheetViews>
    <sheetView tabSelected="1" topLeftCell="B12" workbookViewId="0">
      <selection activeCell="L14" sqref="L14"/>
    </sheetView>
  </sheetViews>
  <sheetFormatPr defaultColWidth="11.42578125" defaultRowHeight="14.45"/>
  <cols>
    <col min="1" max="1" width="4.28515625" style="85" customWidth="1"/>
    <col min="2" max="2" width="5.28515625" style="85" customWidth="1"/>
    <col min="3" max="3" width="17.7109375" style="85" customWidth="1"/>
    <col min="4" max="10" width="11.42578125" style="85"/>
    <col min="11" max="11" width="23.140625" style="85" customWidth="1"/>
    <col min="12" max="12" width="62.140625" style="85" customWidth="1"/>
    <col min="13" max="16384" width="11.42578125" style="85"/>
  </cols>
  <sheetData>
    <row r="1" spans="2:12" ht="124.9" customHeight="1">
      <c r="B1" s="234"/>
      <c r="C1" s="234"/>
      <c r="D1" s="234"/>
      <c r="E1" s="234"/>
      <c r="F1" s="234"/>
      <c r="G1" s="234"/>
      <c r="H1" s="234"/>
      <c r="I1" s="234"/>
      <c r="J1" s="234"/>
      <c r="K1" s="234"/>
      <c r="L1" s="234"/>
    </row>
    <row r="2" spans="2:12" ht="13.5" customHeight="1">
      <c r="B2" s="235" t="s">
        <v>468</v>
      </c>
      <c r="C2" s="235"/>
      <c r="D2" s="235"/>
      <c r="E2" s="235"/>
      <c r="F2" s="235"/>
      <c r="G2" s="235"/>
      <c r="H2" s="235"/>
      <c r="I2" s="235"/>
      <c r="J2" s="235"/>
      <c r="K2" s="235"/>
      <c r="L2" s="235"/>
    </row>
    <row r="3" spans="2:12" ht="55.9" customHeight="1">
      <c r="B3" s="235" t="s">
        <v>469</v>
      </c>
      <c r="C3" s="235"/>
      <c r="D3" s="235"/>
      <c r="E3" s="235"/>
      <c r="F3" s="235"/>
      <c r="G3" s="235"/>
      <c r="H3" s="235"/>
      <c r="I3" s="235"/>
      <c r="J3" s="235"/>
      <c r="K3" s="235"/>
      <c r="L3" s="235"/>
    </row>
    <row r="4" spans="2:12" ht="15" customHeight="1">
      <c r="B4" s="236" t="s">
        <v>470</v>
      </c>
      <c r="C4" s="237"/>
      <c r="D4" s="237"/>
      <c r="E4" s="237"/>
      <c r="F4" s="237"/>
      <c r="G4" s="237"/>
      <c r="H4" s="237"/>
      <c r="I4" s="237"/>
      <c r="J4" s="237"/>
      <c r="K4" s="237"/>
      <c r="L4" s="237"/>
    </row>
    <row r="5" spans="2:12" ht="13.5" customHeight="1">
      <c r="B5" s="156"/>
      <c r="C5" s="156"/>
      <c r="D5" s="156"/>
      <c r="E5" s="156"/>
      <c r="F5" s="156"/>
      <c r="G5" s="156"/>
      <c r="H5" s="156"/>
      <c r="I5" s="156"/>
      <c r="J5" s="156"/>
      <c r="K5" s="156"/>
      <c r="L5" s="156"/>
    </row>
    <row r="6" spans="2:12" ht="13.5" customHeight="1">
      <c r="B6" s="233" t="s">
        <v>471</v>
      </c>
      <c r="C6" s="233"/>
      <c r="D6" s="233"/>
      <c r="E6" s="233"/>
      <c r="F6" s="233"/>
      <c r="G6" s="233"/>
      <c r="H6" s="233"/>
      <c r="I6" s="233"/>
      <c r="J6" s="233"/>
      <c r="K6" s="233"/>
      <c r="L6" s="233"/>
    </row>
    <row r="7" spans="2:12">
      <c r="B7" s="229"/>
      <c r="C7" s="229"/>
      <c r="D7" s="229"/>
      <c r="E7" s="229"/>
      <c r="F7" s="229"/>
      <c r="G7" s="229"/>
      <c r="H7" s="229"/>
      <c r="I7" s="229"/>
      <c r="J7" s="229"/>
      <c r="K7" s="229"/>
      <c r="L7" s="229"/>
    </row>
    <row r="8" spans="2:12">
      <c r="B8" s="230" t="s">
        <v>472</v>
      </c>
      <c r="C8" s="230"/>
      <c r="D8" s="230"/>
      <c r="E8" s="230"/>
      <c r="F8" s="230"/>
      <c r="G8" s="230"/>
      <c r="H8" s="230"/>
      <c r="I8" s="230"/>
      <c r="J8" s="230"/>
      <c r="K8" s="230"/>
      <c r="L8" s="230"/>
    </row>
    <row r="9" spans="2:12" ht="55.5" customHeight="1">
      <c r="B9" s="231" t="s">
        <v>473</v>
      </c>
      <c r="C9" s="231"/>
      <c r="D9" s="231"/>
      <c r="E9" s="231"/>
      <c r="F9" s="231"/>
      <c r="G9" s="231"/>
      <c r="H9" s="231"/>
      <c r="I9" s="231"/>
      <c r="J9" s="231"/>
      <c r="K9" s="231"/>
      <c r="L9" s="231"/>
    </row>
    <row r="10" spans="2:12">
      <c r="B10" s="86" t="s">
        <v>474</v>
      </c>
      <c r="C10" s="86" t="s">
        <v>475</v>
      </c>
      <c r="D10" s="230" t="s">
        <v>476</v>
      </c>
      <c r="E10" s="230"/>
      <c r="F10" s="230"/>
      <c r="G10" s="230"/>
      <c r="H10" s="230"/>
      <c r="I10" s="230"/>
      <c r="J10" s="230"/>
      <c r="K10" s="230"/>
      <c r="L10" s="86" t="s">
        <v>477</v>
      </c>
    </row>
    <row r="11" spans="2:12" ht="84.75" customHeight="1">
      <c r="B11" s="86" t="s">
        <v>478</v>
      </c>
      <c r="C11" s="87" t="s">
        <v>479</v>
      </c>
      <c r="D11" s="228" t="s">
        <v>480</v>
      </c>
      <c r="E11" s="228"/>
      <c r="F11" s="228"/>
      <c r="G11" s="228"/>
      <c r="H11" s="228"/>
      <c r="I11" s="228"/>
      <c r="J11" s="228"/>
      <c r="K11" s="228"/>
      <c r="L11" s="88" t="s">
        <v>481</v>
      </c>
    </row>
    <row r="12" spans="2:12" ht="87.75" customHeight="1">
      <c r="B12" s="86" t="s">
        <v>482</v>
      </c>
      <c r="C12" s="87" t="s">
        <v>483</v>
      </c>
      <c r="D12" s="228" t="s">
        <v>484</v>
      </c>
      <c r="E12" s="232"/>
      <c r="F12" s="232"/>
      <c r="G12" s="232"/>
      <c r="H12" s="232"/>
      <c r="I12" s="232"/>
      <c r="J12" s="232"/>
      <c r="K12" s="232"/>
      <c r="L12" s="88" t="s">
        <v>485</v>
      </c>
    </row>
    <row r="13" spans="2:12" ht="117.75" customHeight="1">
      <c r="B13" s="86" t="s">
        <v>486</v>
      </c>
      <c r="C13" s="87" t="s">
        <v>487</v>
      </c>
      <c r="D13" s="228" t="s">
        <v>488</v>
      </c>
      <c r="E13" s="228"/>
      <c r="F13" s="228"/>
      <c r="G13" s="228"/>
      <c r="H13" s="228"/>
      <c r="I13" s="228"/>
      <c r="J13" s="228"/>
      <c r="K13" s="228"/>
      <c r="L13" s="88" t="s">
        <v>489</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45"/>
  <cols>
    <col min="1" max="1" width="17.5703125" bestFit="1" customWidth="1"/>
  </cols>
  <sheetData>
    <row r="1" spans="1:3" ht="15.6">
      <c r="A1" s="2" t="s">
        <v>490</v>
      </c>
      <c r="C1" t="s">
        <v>491</v>
      </c>
    </row>
    <row r="2" spans="1:3" ht="15.6">
      <c r="A2" s="2" t="s">
        <v>492</v>
      </c>
      <c r="C2" t="s">
        <v>493</v>
      </c>
    </row>
    <row r="3" spans="1:3" ht="15.6">
      <c r="A3" s="2" t="s">
        <v>494</v>
      </c>
    </row>
    <row r="4" spans="1:3" ht="15.6">
      <c r="A4" s="2"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
  <cp:revision/>
  <dcterms:created xsi:type="dcterms:W3CDTF">2024-06-12T20:22:02Z</dcterms:created>
  <dcterms:modified xsi:type="dcterms:W3CDTF">2025-11-24T16:10:51Z</dcterms:modified>
  <cp:category/>
  <cp:contentStatus/>
</cp:coreProperties>
</file>