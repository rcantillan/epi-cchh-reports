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01"/>
  <workbookPr/>
  <mc:AlternateContent xmlns:mc="http://schemas.openxmlformats.org/markup-compatibility/2006">
    <mc:Choice Requires="x15">
      <x15ac:absPath xmlns:x15ac="http://schemas.microsoft.com/office/spreadsheetml/2010/11/ac" url="C:\Users\gfernand\Desktop\"/>
    </mc:Choice>
  </mc:AlternateContent>
  <xr:revisionPtr revIDLastSave="53" documentId="8_{D470BFC4-9B75-4006-B859-AC0892824FF3}" xr6:coauthVersionLast="47" xr6:coauthVersionMax="47" xr10:uidLastSave="{C88411BD-337F-471B-936B-6E3410EA68E5}"/>
  <bookViews>
    <workbookView xWindow="-120" yWindow="-120" windowWidth="24240" windowHeight="13140" tabRatio="749" firstSheet="5" activeTab="5"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Individuales'!$A$3:$U$45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 l="1"/>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 i="2"/>
  <c r="M5" i="4"/>
  <c r="L46" i="2"/>
  <c r="M46" i="2"/>
  <c r="N46" i="2"/>
  <c r="O46" i="2"/>
  <c r="P46" i="2"/>
  <c r="Q46" i="2"/>
  <c r="R46" i="2"/>
  <c r="K46" i="2"/>
  <c r="C5" i="4"/>
  <c r="S35" i="2"/>
  <c r="T35" i="2" s="1"/>
  <c r="S31" i="2"/>
  <c r="T31" i="2" s="1"/>
  <c r="S20" i="2"/>
  <c r="T20" i="2" s="1"/>
  <c r="S16" i="2"/>
  <c r="T16" i="2" s="1"/>
  <c r="S9" i="2"/>
  <c r="T9" i="2" s="1"/>
  <c r="S5" i="2"/>
  <c r="S8" i="2"/>
  <c r="T8" i="2" s="1"/>
  <c r="S10" i="2"/>
  <c r="T10" i="2" s="1"/>
  <c r="S11" i="2"/>
  <c r="T11" i="2" s="1"/>
  <c r="S13" i="2"/>
  <c r="T13" i="2" s="1"/>
  <c r="S15" i="2"/>
  <c r="T15" i="2" s="1"/>
  <c r="S18" i="2"/>
  <c r="T18" i="2" s="1"/>
  <c r="S19" i="2"/>
  <c r="T19" i="2" s="1"/>
  <c r="S21" i="2"/>
  <c r="T21" i="2" s="1"/>
  <c r="S24" i="2"/>
  <c r="T24" i="2" s="1"/>
  <c r="S25" i="2"/>
  <c r="T25" i="2" s="1"/>
  <c r="S28" i="2"/>
  <c r="T28" i="2" s="1"/>
  <c r="S29" i="2"/>
  <c r="T29" i="2" s="1"/>
  <c r="S32" i="2"/>
  <c r="T32" i="2" s="1"/>
  <c r="S36" i="2"/>
  <c r="T36" i="2" s="1"/>
  <c r="S39" i="2"/>
  <c r="T39" i="2" s="1"/>
  <c r="S42" i="2"/>
  <c r="T42" i="2" s="1"/>
  <c r="S45" i="2"/>
  <c r="T45" i="2" s="1"/>
  <c r="T5" i="2" l="1"/>
  <c r="T46" i="2" s="1"/>
  <c r="S4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tc={A0E4791C-E2C2-48CE-855A-CC5234411B86}</author>
  </authors>
  <commentList>
    <comment ref="G43" authorId="0" shapeId="0" xr:uid="{A0E4791C-E2C2-48CE-855A-CC5234411B86}">
      <text>
        <t>[Threaded comment]
Your version of Excel allows you to read this threaded comment; however, any edits to it will get removed if the file is opened in a newer version of Excel. Learn more: https://go.microsoft.com/fwlink/?linkid=870924
Comment:
    Abandono</t>
      </text>
    </comment>
  </commentList>
</comments>
</file>

<file path=xl/sharedStrings.xml><?xml version="1.0" encoding="utf-8"?>
<sst xmlns="http://schemas.openxmlformats.org/spreadsheetml/2006/main" count="372" uniqueCount="231">
  <si>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</si>
  <si>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</si>
  <si>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</si>
  <si>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</si>
  <si>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</si>
  <si>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</si>
  <si>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</si>
  <si>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</si>
  <si>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</si>
  <si>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</si>
  <si>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</si>
  <si>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</si>
  <si>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</si>
  <si>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</si>
  <si>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</si>
  <si>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</si>
  <si>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</si>
  <si>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</si>
  <si>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</si>
  <si>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</si>
  <si>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</si>
  <si>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</si>
  <si>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</si>
  <si>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</si>
  <si>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</si>
  <si>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</si>
  <si>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</si>
  <si>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</si>
  <si>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</si>
  <si>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</si>
  <si>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</si>
  <si>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</si>
  <si>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</si>
  <si>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</si>
  <si>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</si>
  <si>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</si>
  <si>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</si>
  <si>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</si>
  <si>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</si>
  <si>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</si>
  <si>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</si>
  <si>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</si>
  <si>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</si>
  <si>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t xml:space="preserve">
</t>
    </r>
    <r>
      <rPr>
        <b/>
        <sz val="12"/>
        <color theme="1"/>
        <rFont val="Aptos Narrow"/>
        <family val="2"/>
        <scheme val="minor"/>
      </rPr>
      <t>FICHAS</t>
    </r>
    <r>
      <rPr>
        <i/>
        <sz val="11"/>
        <color theme="1"/>
        <rFont val="Aptos Narrow"/>
        <family val="2"/>
        <scheme val="minor"/>
      </rPr>
      <t xml:space="preserve">
No observado:0 puntos
 Insatisfactorio: 1 puntos
Por mejorar: 1 puntos
Nivel parcial: 2 puntos
Nivel mediano: 3 puntos
Nivel satisfactorio:4 puntos
</t>
    </r>
  </si>
  <si>
    <r>
      <t xml:space="preserve">
</t>
    </r>
    <r>
      <rPr>
        <b/>
        <sz val="12"/>
        <color theme="1"/>
        <rFont val="Aptos Narrow"/>
        <family val="2"/>
        <scheme val="minor"/>
      </rPr>
      <t>CONTEXTUALIZACIÓN</t>
    </r>
    <r>
      <rPr>
        <b/>
        <sz val="11"/>
        <color theme="1"/>
        <rFont val="Aptos Narrow"/>
        <family val="2"/>
        <scheme val="minor"/>
      </rPr>
      <t xml:space="preserve">
</t>
    </r>
    <r>
      <rPr>
        <sz val="11"/>
        <color theme="1"/>
        <rFont val="Aptos Narrow"/>
        <family val="2"/>
        <scheme val="minor"/>
      </rPr>
      <t>No observado:0 puntos
 Insatisfactorio: 1 puntos
Por mejorar: 1 puntos
Nivel parcial: 2 puntos
Nivel mediano: 3 puntos
Nivel satisfactorio:4 puntos</t>
    </r>
  </si>
  <si>
    <r>
      <t xml:space="preserve">
</t>
    </r>
    <r>
      <rPr>
        <b/>
        <sz val="12"/>
        <color theme="1"/>
        <rFont val="Aptos Narrow"/>
        <family val="2"/>
        <scheme val="minor"/>
      </rPr>
      <t>FUENTES POTENCIALES</t>
    </r>
    <r>
      <rPr>
        <b/>
        <u/>
        <sz val="11"/>
        <color theme="1"/>
        <rFont val="Aptos Narrow"/>
        <family val="2"/>
        <scheme val="minor"/>
      </rPr>
      <t xml:space="preserve">
</t>
    </r>
    <r>
      <rPr>
        <sz val="11"/>
        <color theme="1"/>
        <rFont val="Aptos Narrow"/>
        <family val="2"/>
        <scheme val="minor"/>
      </rPr>
      <t>No observado:0 puntos
 Insatisfactorio: 1 puntos
Por mejorar: 1 puntos
Nivel parcial: 2 puntos
Nivel mediano: 3 puntos
Nivel satisfactorio:4 puntos</t>
    </r>
  </si>
  <si>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</si>
  <si>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</si>
  <si>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</si>
  <si>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</si>
  <si>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</si>
  <si>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</si>
  <si>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</si>
  <si>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</si>
  <si>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</si>
  <si>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Elementos referenciales</t>
  </si>
  <si>
    <t>Selección y síntesis de las tres noticias escogidas</t>
  </si>
  <si>
    <t>Problematización histórica</t>
  </si>
  <si>
    <t>Pertinencia bibliográfica</t>
  </si>
  <si>
    <t>Integración bibliográfica</t>
  </si>
  <si>
    <t>Aspectos formales</t>
  </si>
  <si>
    <t>Fuentes</t>
  </si>
  <si>
    <t>PUNTAJE TOTAL ESTUDIANTE</t>
  </si>
  <si>
    <t>PORCENTAJE DE LOGRO</t>
  </si>
  <si>
    <t>CATEGORÍA RESULTADO GLOBAL ESTUDIANTE</t>
  </si>
  <si>
    <t>ARRIAGADA</t>
  </si>
  <si>
    <t>GONZÁLEZ</t>
  </si>
  <si>
    <t>MATÍAS IGNACIO</t>
  </si>
  <si>
    <t>Interrupción voluntaria (no rinde EPI 2025)</t>
  </si>
  <si>
    <t>No aplica</t>
  </si>
  <si>
    <t>ARTEAGA</t>
  </si>
  <si>
    <t>MATELUNA</t>
  </si>
  <si>
    <t>NICOLÁS ALEJANDRO</t>
  </si>
  <si>
    <t>Avance curricular suficiente o adecuado para evaluar ciclo básico</t>
  </si>
  <si>
    <t xml:space="preserve">Rendida </t>
  </si>
  <si>
    <t>K</t>
  </si>
  <si>
    <t>AVELLAIRA</t>
  </si>
  <si>
    <t>PINTO</t>
  </si>
  <si>
    <t>JOAQUÍN AMARO</t>
  </si>
  <si>
    <t>BARRAZA</t>
  </si>
  <si>
    <t>MIRANDA</t>
  </si>
  <si>
    <t>VALENTINA ISIDORA</t>
  </si>
  <si>
    <t>BUSTOS</t>
  </si>
  <si>
    <t>ARAYA</t>
  </si>
  <si>
    <t>ALANIS XIMENA</t>
  </si>
  <si>
    <t>CABRERA</t>
  </si>
  <si>
    <t>VANIA AYLING</t>
  </si>
  <si>
    <t>CONTRERAS</t>
  </si>
  <si>
    <t>MARTÍN ALFREDO</t>
  </si>
  <si>
    <t>CADENAS</t>
  </si>
  <si>
    <t>GUERRERO</t>
  </si>
  <si>
    <t>JAVIER ANDRÉS</t>
  </si>
  <si>
    <t>CARVAJAL</t>
  </si>
  <si>
    <t>ALVARADO</t>
  </si>
  <si>
    <t>MARTIN NICOLAS</t>
  </si>
  <si>
    <t>CASANOVA</t>
  </si>
  <si>
    <t>ARRIETA</t>
  </si>
  <si>
    <t>SEBASTIÁN ALEJANDRO</t>
  </si>
  <si>
    <t>CASTILLO</t>
  </si>
  <si>
    <t>MORALES</t>
  </si>
  <si>
    <t>ALVARO IGNACIO</t>
  </si>
  <si>
    <t>Expulsión</t>
  </si>
  <si>
    <t>CORTÉS</t>
  </si>
  <si>
    <t>HERRERA</t>
  </si>
  <si>
    <t>BENJAMÍN ALONSO</t>
  </si>
  <si>
    <t>COÑALINCO</t>
  </si>
  <si>
    <t>GÁLVEZ</t>
  </si>
  <si>
    <t>CAMILO ANDRÉS</t>
  </si>
  <si>
    <t>GALLEGUILLOS</t>
  </si>
  <si>
    <t>LUCERO</t>
  </si>
  <si>
    <t>MAXIMILIANO ANDRES</t>
  </si>
  <si>
    <t>GARRIDO</t>
  </si>
  <si>
    <t>DUARTE</t>
  </si>
  <si>
    <t>CRISTOBAL</t>
  </si>
  <si>
    <t>HERMOZA</t>
  </si>
  <si>
    <t>MÉNDEZ</t>
  </si>
  <si>
    <t>SEBASTIÁN STEFANO</t>
  </si>
  <si>
    <t>JIMÉNEZ</t>
  </si>
  <si>
    <t>SILVA</t>
  </si>
  <si>
    <t>MATEO ALEXIS</t>
  </si>
  <si>
    <t>MUÑOZ</t>
  </si>
  <si>
    <t xml:space="preserve">	
JUAN SEBASTIÁN IGNACIO</t>
  </si>
  <si>
    <t>LUENGO</t>
  </si>
  <si>
    <t>PARADA</t>
  </si>
  <si>
    <t>FELIPE IGNACIO</t>
  </si>
  <si>
    <t>LUNA</t>
  </si>
  <si>
    <t>LEYTON</t>
  </si>
  <si>
    <t>HECTOR FERNANDO</t>
  </si>
  <si>
    <t>MARCHANT</t>
  </si>
  <si>
    <t>PIZARRO</t>
  </si>
  <si>
    <t>MARÍA PAULA</t>
  </si>
  <si>
    <t>MENA</t>
  </si>
  <si>
    <t>ISABEL FERNANDA</t>
  </si>
  <si>
    <t>MENDOZA</t>
  </si>
  <si>
    <t>ARIAS</t>
  </si>
  <si>
    <t>MARTÍN ANTONIO</t>
  </si>
  <si>
    <t>NAVARRO</t>
  </si>
  <si>
    <t>BENJAMIN</t>
  </si>
  <si>
    <t>MORA</t>
  </si>
  <si>
    <t>PARDO</t>
  </si>
  <si>
    <t>JOSEFA IGNACIA</t>
  </si>
  <si>
    <t>NÚÑEZ</t>
  </si>
  <si>
    <t>MEDINA</t>
  </si>
  <si>
    <t>RAU</t>
  </si>
  <si>
    <t>ORIAS</t>
  </si>
  <si>
    <t>FLORENCIA TRINIDAD</t>
  </si>
  <si>
    <t>ORTIZ</t>
  </si>
  <si>
    <t>SALGADO</t>
  </si>
  <si>
    <t>SERGIO PATRICIO</t>
  </si>
  <si>
    <t>PEDRAZA</t>
  </si>
  <si>
    <t>PATRICIO ALEJANDRO</t>
  </si>
  <si>
    <t>PEREYRA</t>
  </si>
  <si>
    <t>LIZAMA</t>
  </si>
  <si>
    <t>MIGUEL ALEJANDRO</t>
  </si>
  <si>
    <t>REYES</t>
  </si>
  <si>
    <t>CARLA RENATA</t>
  </si>
  <si>
    <t>RUIZ</t>
  </si>
  <si>
    <t>BIAVA</t>
  </si>
  <si>
    <t>TOMÁS IGNACIO</t>
  </si>
  <si>
    <t>CASTRO</t>
  </si>
  <si>
    <t>PAULA VALENTINA</t>
  </si>
  <si>
    <t>SÁNCHEZ</t>
  </si>
  <si>
    <t>ROJAS</t>
  </si>
  <si>
    <t>FRANCISCO MANUEL</t>
  </si>
  <si>
    <t>SANTANA</t>
  </si>
  <si>
    <t>MAURERA</t>
  </si>
  <si>
    <t>GENNY STEPHANIE</t>
  </si>
  <si>
    <t>SEPÚLVEDA</t>
  </si>
  <si>
    <t>CORNEJO</t>
  </si>
  <si>
    <t>CONSTANZA DEL ROSARIO</t>
  </si>
  <si>
    <t>SÁEZ</t>
  </si>
  <si>
    <t>JASMÍN ALEJANDRA</t>
  </si>
  <si>
    <t>No rendida</t>
  </si>
  <si>
    <t>No justifica</t>
  </si>
  <si>
    <t>SOTO</t>
  </si>
  <si>
    <t>LUIS</t>
  </si>
  <si>
    <t>VALDÉS</t>
  </si>
  <si>
    <t>PLAZA</t>
  </si>
  <si>
    <t>MILLARAY ISABEL</t>
  </si>
  <si>
    <t>VALDIVIA</t>
  </si>
  <si>
    <t>RIVERA</t>
  </si>
  <si>
    <t>VICENTE MATÍAS</t>
  </si>
  <si>
    <t>VALENCIA</t>
  </si>
  <si>
    <t>PAREDES</t>
  </si>
  <si>
    <t>RAFAELA ANTONIA</t>
  </si>
  <si>
    <t>WALL</t>
  </si>
  <si>
    <t>OLIVARES</t>
  </si>
  <si>
    <t>CAMILA JACQUELINE</t>
  </si>
  <si>
    <t xml:space="preserve"> N Estudiantes habilitados para rendir</t>
  </si>
  <si>
    <t xml:space="preserve"> N Estudiantes que rindieron</t>
  </si>
  <si>
    <t xml:space="preserve">Porcentaje de cobertura EPI </t>
  </si>
  <si>
    <t>Resultados generales cohorte</t>
  </si>
  <si>
    <t xml:space="preserve">PUNTAJE TOTAL </t>
  </si>
  <si>
    <t>PORCENTAJE DE LOGRO EPI 2025</t>
  </si>
  <si>
    <t>Estado de Habilitación para rendir</t>
  </si>
  <si>
    <t>JUSTIFICATIVO DE NO RENDICIÓN</t>
  </si>
  <si>
    <t>Justifica</t>
  </si>
  <si>
    <t>Avance curricular insuficiente para evaluar ciclo básico (no rinde EPI 2025)</t>
  </si>
  <si>
    <t>EPI pendiente periodo anterior</t>
  </si>
  <si>
    <t>Rendida no válida</t>
  </si>
  <si>
    <t>Retracto</t>
  </si>
  <si>
    <t>Dimensión</t>
  </si>
  <si>
    <t>Puntaje</t>
  </si>
  <si>
    <t>FACULTAD FILOSOFÍA HUMANIDADES</t>
  </si>
  <si>
    <t>LICENCIATURA EN HISTORIA</t>
  </si>
  <si>
    <t>PLAN DE ESTUDIO 2015</t>
  </si>
  <si>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</si>
  <si>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</si>
  <si>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</si>
  <si>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</si>
  <si>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</si>
  <si>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</si>
  <si>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</si>
  <si>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</si>
  <si>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</si>
  <si>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t xml:space="preserve">
- realizar tutorías personalizadas con estudiantes que obtuvieron bajos resultados.
- aplicar formulario con estudiantes para indagar en variables que incidieron en los resultados (percepción sobre claridad de instrucciones, nivel de dificultad de las preguntas y nivel de preparación).
- llevar a cabo una revisión inmediata de contenidos y metodologías programaciones de las actividades curriculares del ciclo básico
</t>
  </si>
  <si>
    <t xml:space="preserve">Ejs. 
- Resultados encuesta Forms 
</t>
  </si>
  <si>
    <t xml:space="preserve">II. </t>
  </si>
  <si>
    <t>MEDIANO PLAZO</t>
  </si>
  <si>
    <t xml:space="preserve">-integrar en programaciones de actividades curriculares de 3er año, ajustes que favorezcan el desarrollo de las compentencias que evidenciaron un menor logro en EPI,  a partir de que profesores del Comité Curricular dicten el curso de Seminario Chile I conducente a Seminario de Chile II/ Seminario de grado a partir del segundo semestre 2025
</t>
  </si>
  <si>
    <t xml:space="preserve"> acta sesión del comité curricular del programa académico: profesores del Comité Curricular dictarán el curso de Seminario Chile I conducente a Seminario de Chile II/ Seminario de grado</t>
  </si>
  <si>
    <t xml:space="preserve">III. </t>
  </si>
  <si>
    <t>LARGO PLAZO</t>
  </si>
  <si>
    <t xml:space="preserve">
- actualizar plan de estudio, ajustando programas de actividades curriculares, carga académica y ubicación de actividades curriculares en el ciclo básico.     - Trabajo con Dirección de Docencia para actualizar PI/EPI 
- generar instancias para la colaboración entre docentes para con el propósito de compartir mejores prácticas y desarrollar estrategias pedagógicas más coherentes y efectivas en el ciclo básico del plan de estudio
</t>
  </si>
  <si>
    <t xml:space="preserve">
- programas de actividades curriculares del ciclo básico, actualizadas</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</si>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</sst>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b/>
      <u/>
      <sz val="11"/>
      <color theme="1"/>
      <name val="Aptos Narrow"/>
      <family val="2"/>
      <scheme val="minor"/>
    </font>
    <font>
      <i/>
      <sz val="11"/>
      <color theme="1"/>
      <name val="Aptos Narrow"/>
      <family val="2"/>
      <scheme val="minor"/>
    </font>
    <font>
      <sz val="11"/>
      <color theme="1"/>
      <name val="Calibri"/>
      <family val="2"/>
    </font>
    <font>
      <sz val="10"/>
      <color theme="1"/>
      <name val="Calibri"/>
      <family val="2"/>
    </font>
    <font>
      <b/>
      <sz val="12"/>
      <color theme="1"/>
      <name val="Aptos Narrow"/>
      <family val="2"/>
      <scheme val="minor"/>
    </font>
    <font>
      <b/>
      <sz val="14"/>
      <color theme="1"/>
      <name val="Aptos Narrow"/>
      <family val="2"/>
      <scheme val="minor"/>
    </font>
    <font>
      <sz val="12"/>
      <color theme="1"/>
      <name val="Calibri"/>
      <family val="2"/>
    </font>
    <font>
      <i/>
      <sz val="11"/>
      <color rgb="FF0070C0"/>
      <name val="Aptos Narrow"/>
      <family val="2"/>
      <scheme val="minor"/>
    </font>
    <font>
      <sz val="11"/>
      <color theme="1"/>
      <name val="Aptos Display"/>
      <family val="2"/>
      <scheme val="major"/>
    </font>
    <font>
      <sz val="11"/>
      <name val="Arial"/>
      <family val="2"/>
    </font>
    <font>
      <sz val="11"/>
      <color theme="1"/>
      <name val="Aptos Narrow"/>
      <family val="2"/>
      <scheme val="minor"/>
    </font>
    <font>
      <b/>
      <sz val="11"/>
      <color rgb="FF000000"/>
      <name val="Aptos Narrow"/>
    </font>
    <font>
      <sz val="11"/>
      <color rgb="FF000000"/>
      <name val="Aptos Narrow"/>
    </font>
    <font>
      <sz val="11"/>
      <color rgb="FF000000"/>
      <name val="Aptos Narrow"/>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tint="-0.14999847407452621"/>
        <bgColor indexed="64"/>
      </patternFill>
    </fill>
  </fills>
  <borders count="4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right style="thin">
        <color indexed="64"/>
      </right>
      <top/>
      <bottom/>
      <diagonal/>
    </border>
    <border>
      <left style="thin">
        <color rgb="FF000000"/>
      </left>
      <right/>
      <top/>
      <bottom/>
      <diagonal/>
    </border>
    <border>
      <left/>
      <right style="thin">
        <color rgb="FF000000"/>
      </right>
      <top/>
      <bottom/>
      <diagonal/>
    </border>
    <border>
      <left style="medium">
        <color indexed="64"/>
      </left>
      <right style="medium">
        <color indexed="64"/>
      </right>
      <top/>
      <bottom/>
      <diagonal/>
    </border>
    <border>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9" fontId="18" fillId="0" borderId="0" applyFont="0" applyFill="0" applyBorder="0" applyAlignment="0" applyProtection="0"/>
  </cellStyleXfs>
  <cellXfs count="163">
    <xf numFmtId="0" fontId="0" fillId="0" borderId="0" xfId="0"/>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xf numFmtId="0" fontId="4" fillId="0" borderId="16" xfId="0" applyFont="1" applyBorder="1" applyAlignment="1">
      <alignment horizontal="center"/>
    </xf>
    <xf numFmtId="0" fontId="2" fillId="0" borderId="34" xfId="0" applyFont="1" applyBorder="1" applyAlignment="1">
      <alignment horizontal="center" vertical="center" wrapText="1"/>
    </xf>
    <xf numFmtId="0" fontId="0" fillId="0" borderId="1" xfId="0" applyBorder="1" applyAlignment="1">
      <alignment wrapText="1"/>
    </xf>
    <xf numFmtId="0" fontId="1" fillId="0" borderId="35" xfId="0" applyFont="1" applyBorder="1" applyAlignment="1">
      <alignment wrapText="1"/>
    </xf>
    <xf numFmtId="0" fontId="2" fillId="6" borderId="2" xfId="0" applyFont="1" applyFill="1" applyBorder="1" applyAlignment="1">
      <alignment horizontal="center" vertical="center" wrapText="1"/>
    </xf>
    <xf numFmtId="0" fontId="2" fillId="6" borderId="36" xfId="0" applyFont="1" applyFill="1" applyBorder="1" applyAlignment="1">
      <alignment horizontal="center" vertical="center" wrapText="1"/>
    </xf>
    <xf numFmtId="0" fontId="1" fillId="0" borderId="35" xfId="0" applyFont="1" applyBorder="1"/>
    <xf numFmtId="0" fontId="1" fillId="0" borderId="16" xfId="0" applyFont="1" applyBorder="1" applyAlignment="1">
      <alignment wrapText="1"/>
    </xf>
    <xf numFmtId="0" fontId="10" fillId="0" borderId="1" xfId="0" applyFont="1" applyBorder="1" applyAlignment="1">
      <alignment horizontal="center" vertical="top"/>
    </xf>
    <xf numFmtId="0" fontId="10" fillId="0" borderId="1" xfId="0" applyFont="1" applyBorder="1" applyAlignment="1">
      <alignment horizontal="left" vertical="top"/>
    </xf>
    <xf numFmtId="0" fontId="1" fillId="0" borderId="38" xfId="0" applyFont="1" applyBorder="1" applyAlignment="1">
      <alignment wrapText="1"/>
    </xf>
    <xf numFmtId="0" fontId="0" fillId="0" borderId="35" xfId="0" applyBorder="1"/>
    <xf numFmtId="0" fontId="1" fillId="0" borderId="0" xfId="0" applyFont="1" applyAlignment="1">
      <alignment wrapText="1"/>
    </xf>
    <xf numFmtId="0" fontId="0" fillId="0" borderId="38" xfId="0" applyBorder="1"/>
    <xf numFmtId="0" fontId="0" fillId="0" borderId="35" xfId="0" applyBorder="1" applyAlignment="1">
      <alignment wrapText="1"/>
    </xf>
    <xf numFmtId="0" fontId="0" fillId="0" borderId="16" xfId="0" applyBorder="1" applyAlignment="1">
      <alignment wrapText="1"/>
    </xf>
    <xf numFmtId="0" fontId="0" fillId="0" borderId="37" xfId="0" applyBorder="1" applyAlignment="1">
      <alignment wrapText="1"/>
    </xf>
    <xf numFmtId="0" fontId="0" fillId="0" borderId="38" xfId="0" applyBorder="1" applyAlignment="1">
      <alignment wrapText="1"/>
    </xf>
    <xf numFmtId="0" fontId="2" fillId="0" borderId="41" xfId="0" applyFont="1" applyBorder="1" applyAlignment="1">
      <alignment horizontal="center" vertical="center" wrapText="1"/>
    </xf>
    <xf numFmtId="0" fontId="2" fillId="0" borderId="36" xfId="0" applyFont="1" applyBorder="1" applyAlignment="1">
      <alignment horizontal="center" vertical="center" wrapText="1"/>
    </xf>
    <xf numFmtId="0" fontId="11" fillId="0" borderId="1" xfId="0" applyFont="1" applyBorder="1" applyAlignment="1">
      <alignment horizontal="center" vertical="top" wrapText="1"/>
    </xf>
    <xf numFmtId="1" fontId="11" fillId="0" borderId="1" xfId="0" applyNumberFormat="1" applyFont="1" applyBorder="1" applyAlignment="1">
      <alignment horizontal="center" vertical="top" wrapText="1"/>
    </xf>
    <xf numFmtId="0" fontId="2" fillId="6" borderId="4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2" fillId="10" borderId="39" xfId="0" applyFont="1" applyFill="1" applyBorder="1" applyAlignment="1">
      <alignment horizontal="center" vertical="center" wrapText="1"/>
    </xf>
    <xf numFmtId="0" fontId="2" fillId="10" borderId="0" xfId="0" applyFont="1" applyFill="1" applyAlignment="1">
      <alignment horizontal="center" vertical="center" wrapText="1"/>
    </xf>
    <xf numFmtId="0" fontId="10" fillId="0" borderId="1" xfId="0" applyFont="1" applyBorder="1" applyAlignment="1">
      <alignment horizontal="center" vertical="top" wrapText="1"/>
    </xf>
    <xf numFmtId="0" fontId="14" fillId="0" borderId="1" xfId="0" applyFont="1" applyBorder="1" applyAlignment="1">
      <alignment horizontal="center" vertical="top" wrapText="1"/>
    </xf>
    <xf numFmtId="0" fontId="2" fillId="2" borderId="7"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10" borderId="31" xfId="0" applyFont="1" applyFill="1" applyBorder="1" applyAlignment="1">
      <alignment horizontal="center" vertical="center" wrapText="1"/>
    </xf>
    <xf numFmtId="0" fontId="2" fillId="10" borderId="7" xfId="0" applyFont="1" applyFill="1" applyBorder="1" applyAlignment="1">
      <alignment horizontal="center" vertical="center" wrapText="1"/>
    </xf>
    <xf numFmtId="0" fontId="2" fillId="0" borderId="27" xfId="0" applyFont="1" applyBorder="1" applyAlignment="1">
      <alignment horizontal="center" vertical="center" wrapText="1"/>
    </xf>
    <xf numFmtId="0" fontId="0" fillId="0" borderId="0" xfId="0" applyAlignment="1">
      <alignment horizontal="left" vertical="center"/>
    </xf>
    <xf numFmtId="0" fontId="4" fillId="10" borderId="16" xfId="0" applyFont="1" applyFill="1" applyBorder="1" applyAlignment="1">
      <alignment horizontal="center" vertical="center"/>
    </xf>
    <xf numFmtId="0" fontId="4" fillId="10" borderId="16" xfId="0" applyFont="1" applyFill="1" applyBorder="1" applyAlignment="1">
      <alignment horizontal="left" vertical="center"/>
    </xf>
    <xf numFmtId="0" fontId="16" fillId="0" borderId="0" xfId="0" applyFont="1" applyAlignment="1">
      <alignment horizontal="center" wrapText="1"/>
    </xf>
    <xf numFmtId="0" fontId="16" fillId="0" borderId="0" xfId="0" applyFont="1" applyAlignment="1">
      <alignment horizontal="center"/>
    </xf>
    <xf numFmtId="0" fontId="16" fillId="0" borderId="0" xfId="0" applyFont="1" applyAlignment="1">
      <alignment horizontal="center" vertical="center" wrapText="1"/>
    </xf>
    <xf numFmtId="0" fontId="10"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0" fillId="0" borderId="16" xfId="0" applyBorder="1" applyAlignment="1">
      <alignment horizontal="center"/>
    </xf>
    <xf numFmtId="14" fontId="0" fillId="0" borderId="37" xfId="0" applyNumberFormat="1" applyBorder="1"/>
    <xf numFmtId="14" fontId="0" fillId="0" borderId="0" xfId="0" applyNumberFormat="1"/>
    <xf numFmtId="0" fontId="17" fillId="0" borderId="0" xfId="0" applyFont="1" applyAlignment="1">
      <alignment horizontal="center"/>
    </xf>
    <xf numFmtId="1" fontId="14" fillId="0" borderId="1" xfId="0" applyNumberFormat="1" applyFont="1" applyBorder="1" applyAlignment="1">
      <alignment horizontal="center" vertical="top" wrapText="1"/>
    </xf>
    <xf numFmtId="1" fontId="0" fillId="0" borderId="35" xfId="0" applyNumberFormat="1" applyBorder="1"/>
    <xf numFmtId="0" fontId="0" fillId="0" borderId="16" xfId="0" applyBorder="1" applyAlignment="1">
      <alignment horizontal="center" wrapText="1"/>
    </xf>
    <xf numFmtId="0" fontId="1" fillId="0" borderId="16" xfId="0" applyFont="1" applyBorder="1"/>
    <xf numFmtId="0" fontId="1" fillId="0" borderId="16" xfId="0" applyFont="1" applyBorder="1" applyAlignment="1">
      <alignment horizontal="center"/>
    </xf>
    <xf numFmtId="0" fontId="0" fillId="0" borderId="38" xfId="0" applyBorder="1" applyAlignment="1">
      <alignment horizontal="center" wrapText="1"/>
    </xf>
    <xf numFmtId="0" fontId="1" fillId="0" borderId="16" xfId="0" applyFont="1" applyBorder="1" applyAlignment="1">
      <alignment horizontal="center" wrapText="1"/>
    </xf>
    <xf numFmtId="0" fontId="0" fillId="0" borderId="0" xfId="0" applyAlignment="1">
      <alignment horizontal="center"/>
    </xf>
    <xf numFmtId="9" fontId="1" fillId="0" borderId="16" xfId="1" applyFont="1" applyBorder="1"/>
    <xf numFmtId="10" fontId="0" fillId="0" borderId="16" xfId="0" applyNumberFormat="1" applyBorder="1"/>
    <xf numFmtId="0" fontId="2" fillId="0" borderId="44" xfId="0" applyFont="1" applyBorder="1" applyAlignment="1">
      <alignment horizontal="center" vertical="center" wrapText="1"/>
    </xf>
    <xf numFmtId="0" fontId="0" fillId="0" borderId="45" xfId="0" applyBorder="1"/>
    <xf numFmtId="0" fontId="21" fillId="0" borderId="16" xfId="0" applyFont="1" applyBorder="1" applyAlignment="1">
      <alignment horizontal="left" vertical="top" wrapText="1"/>
    </xf>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4" fillId="0" borderId="30" xfId="0" applyFont="1" applyBorder="1" applyAlignment="1">
      <alignment horizontal="center" vertical="center"/>
    </xf>
    <xf numFmtId="0" fontId="4" fillId="0" borderId="9" xfId="0" applyFont="1" applyBorder="1" applyAlignment="1">
      <alignment horizontal="center" vertical="center"/>
    </xf>
    <xf numFmtId="0" fontId="4" fillId="0" borderId="33" xfId="0" applyFont="1" applyBorder="1" applyAlignment="1">
      <alignment horizontal="center" vertical="center"/>
    </xf>
    <xf numFmtId="0" fontId="4" fillId="0" borderId="12" xfId="0" applyFont="1" applyBorder="1" applyAlignment="1">
      <alignment horizontal="center" vertical="center"/>
    </xf>
    <xf numFmtId="1" fontId="4" fillId="6" borderId="8" xfId="0" applyNumberFormat="1" applyFont="1" applyFill="1" applyBorder="1" applyAlignment="1">
      <alignment horizontal="center" vertical="center" wrapText="1"/>
    </xf>
    <xf numFmtId="1" fontId="4" fillId="6" borderId="30" xfId="0" applyNumberFormat="1" applyFont="1" applyFill="1" applyBorder="1" applyAlignment="1">
      <alignment horizontal="center" vertical="center" wrapText="1"/>
    </xf>
    <xf numFmtId="1" fontId="4" fillId="6" borderId="11" xfId="0" applyNumberFormat="1" applyFont="1" applyFill="1" applyBorder="1" applyAlignment="1">
      <alignment horizontal="center" vertical="center" wrapText="1"/>
    </xf>
    <xf numFmtId="1" fontId="4" fillId="6" borderId="33" xfId="0" applyNumberFormat="1" applyFont="1" applyFill="1" applyBorder="1" applyAlignment="1">
      <alignment horizontal="center" vertical="center" wrapText="1"/>
    </xf>
    <xf numFmtId="0" fontId="8" fillId="9" borderId="8" xfId="0" applyFont="1" applyFill="1" applyBorder="1" applyAlignment="1">
      <alignment horizontal="center" vertical="top" wrapText="1"/>
    </xf>
    <xf numFmtId="0" fontId="4" fillId="9" borderId="30" xfId="0" applyFont="1" applyFill="1" applyBorder="1" applyAlignment="1">
      <alignment horizontal="center" vertical="top" wrapText="1"/>
    </xf>
    <xf numFmtId="0" fontId="4" fillId="9" borderId="11" xfId="0" applyFont="1" applyFill="1" applyBorder="1" applyAlignment="1">
      <alignment horizontal="center" vertical="top" wrapText="1"/>
    </xf>
    <xf numFmtId="0" fontId="4" fillId="9" borderId="33" xfId="0" applyFont="1" applyFill="1" applyBorder="1" applyAlignment="1">
      <alignment horizontal="center" vertical="top" wrapText="1"/>
    </xf>
    <xf numFmtId="0" fontId="9" fillId="5" borderId="8" xfId="0" applyFont="1" applyFill="1" applyBorder="1" applyAlignment="1">
      <alignment horizontal="center" vertical="top" wrapText="1"/>
    </xf>
    <xf numFmtId="0" fontId="9" fillId="5" borderId="30" xfId="0" applyFont="1" applyFill="1" applyBorder="1" applyAlignment="1">
      <alignment horizontal="center" vertical="top" wrapText="1"/>
    </xf>
    <xf numFmtId="0" fontId="9" fillId="5" borderId="9" xfId="0" applyFont="1" applyFill="1" applyBorder="1" applyAlignment="1">
      <alignment horizontal="center" vertical="top" wrapText="1"/>
    </xf>
    <xf numFmtId="0" fontId="9" fillId="5" borderId="11" xfId="0" applyFont="1" applyFill="1" applyBorder="1" applyAlignment="1">
      <alignment horizontal="center" vertical="top" wrapText="1"/>
    </xf>
    <xf numFmtId="0" fontId="9" fillId="5" borderId="33" xfId="0" applyFont="1" applyFill="1" applyBorder="1" applyAlignment="1">
      <alignment horizontal="center" vertical="top" wrapText="1"/>
    </xf>
    <xf numFmtId="0" fontId="9" fillId="5" borderId="12" xfId="0" applyFont="1" applyFill="1" applyBorder="1" applyAlignment="1">
      <alignment horizontal="center" vertical="top" wrapText="1"/>
    </xf>
    <xf numFmtId="0" fontId="4" fillId="7" borderId="8" xfId="0" applyFont="1" applyFill="1" applyBorder="1" applyAlignment="1">
      <alignment horizontal="center" vertical="top" wrapText="1"/>
    </xf>
    <xf numFmtId="0" fontId="4" fillId="7" borderId="30" xfId="0" applyFont="1" applyFill="1" applyBorder="1" applyAlignment="1">
      <alignment horizontal="center" vertical="top" wrapText="1"/>
    </xf>
    <xf numFmtId="0" fontId="4" fillId="7" borderId="9" xfId="0" applyFont="1" applyFill="1" applyBorder="1" applyAlignment="1">
      <alignment horizontal="center" vertical="top" wrapText="1"/>
    </xf>
    <xf numFmtId="0" fontId="4" fillId="7" borderId="11" xfId="0" applyFont="1" applyFill="1" applyBorder="1" applyAlignment="1">
      <alignment horizontal="center" vertical="top" wrapText="1"/>
    </xf>
    <xf numFmtId="0" fontId="4" fillId="7" borderId="33" xfId="0" applyFont="1" applyFill="1" applyBorder="1" applyAlignment="1">
      <alignment horizontal="center" vertical="top" wrapText="1"/>
    </xf>
    <xf numFmtId="0" fontId="4" fillId="7" borderId="12" xfId="0" applyFont="1" applyFill="1" applyBorder="1" applyAlignment="1">
      <alignment horizontal="center" vertical="top" wrapText="1"/>
    </xf>
    <xf numFmtId="0" fontId="4" fillId="0" borderId="8" xfId="0" applyFont="1" applyBorder="1" applyAlignment="1">
      <alignment horizontal="center" vertical="center" wrapText="1"/>
    </xf>
    <xf numFmtId="0" fontId="4" fillId="0" borderId="31" xfId="0" applyFont="1" applyBorder="1" applyAlignment="1">
      <alignment horizontal="center" vertical="center" wrapText="1"/>
    </xf>
    <xf numFmtId="0" fontId="13" fillId="0" borderId="8" xfId="0" applyFont="1" applyBorder="1" applyAlignment="1">
      <alignment horizontal="center" vertical="center"/>
    </xf>
    <xf numFmtId="0" fontId="13" fillId="0" borderId="30" xfId="0" applyFont="1" applyBorder="1" applyAlignment="1">
      <alignment horizontal="center" vertical="center"/>
    </xf>
    <xf numFmtId="0" fontId="13" fillId="0" borderId="9" xfId="0" applyFont="1" applyBorder="1" applyAlignment="1">
      <alignment horizontal="center" vertical="center"/>
    </xf>
    <xf numFmtId="0" fontId="13" fillId="0" borderId="11" xfId="0" applyFont="1" applyBorder="1" applyAlignment="1">
      <alignment horizontal="center" vertical="center"/>
    </xf>
    <xf numFmtId="0" fontId="13" fillId="0" borderId="33" xfId="0" applyFont="1" applyBorder="1" applyAlignment="1">
      <alignment horizontal="center" vertical="center"/>
    </xf>
    <xf numFmtId="0" fontId="13" fillId="0" borderId="12" xfId="0" applyFont="1" applyBorder="1" applyAlignment="1">
      <alignment horizontal="center" vertical="center"/>
    </xf>
    <xf numFmtId="0" fontId="4" fillId="9" borderId="9" xfId="0" applyFont="1" applyFill="1" applyBorder="1" applyAlignment="1">
      <alignment horizontal="center" vertical="top" wrapText="1"/>
    </xf>
    <xf numFmtId="0" fontId="4" fillId="9" borderId="12" xfId="0" applyFont="1" applyFill="1" applyBorder="1" applyAlignment="1">
      <alignment horizontal="center" vertical="top" wrapText="1"/>
    </xf>
    <xf numFmtId="0" fontId="4" fillId="0" borderId="32" xfId="0" applyFont="1" applyBorder="1" applyAlignment="1">
      <alignment horizontal="center" vertical="center"/>
    </xf>
    <xf numFmtId="0" fontId="4" fillId="0" borderId="7" xfId="0" applyFont="1" applyBorder="1" applyAlignment="1">
      <alignment horizontal="center" vertical="center"/>
    </xf>
    <xf numFmtId="0" fontId="4" fillId="0" borderId="42" xfId="0" applyFont="1" applyBorder="1" applyAlignment="1">
      <alignment horizontal="center" vertical="center"/>
    </xf>
    <xf numFmtId="0" fontId="21" fillId="0" borderId="16" xfId="0" applyFont="1" applyBorder="1" applyAlignment="1">
      <alignment horizontal="left" vertical="top" wrapText="1"/>
    </xf>
    <xf numFmtId="0" fontId="0" fillId="0" borderId="43" xfId="0" applyBorder="1" applyAlignment="1">
      <alignment horizontal="left" vertical="center"/>
    </xf>
    <xf numFmtId="0" fontId="4" fillId="10" borderId="16" xfId="0" applyFont="1" applyFill="1" applyBorder="1" applyAlignment="1">
      <alignment horizontal="center" vertical="center"/>
    </xf>
    <xf numFmtId="0" fontId="0" fillId="0" borderId="16" xfId="0" applyBorder="1" applyAlignment="1">
      <alignment horizontal="left" vertical="center" wrapText="1"/>
    </xf>
    <xf numFmtId="0" fontId="20" fillId="0" borderId="16" xfId="0" applyFont="1" applyBorder="1" applyAlignment="1">
      <alignment horizontal="left" vertical="top" wrapText="1"/>
    </xf>
    <xf numFmtId="0" fontId="21" fillId="0" borderId="16" xfId="0" applyFont="1" applyBorder="1" applyAlignment="1">
      <alignment horizontal="left" vertical="top"/>
    </xf>
    <xf numFmtId="0" fontId="15"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center" vertical="center"/>
    </xf>
    <xf numFmtId="0" fontId="19" fillId="0" borderId="0" xfId="0" applyFont="1" applyAlignment="1">
      <alignment horizontal="center" vertical="center"/>
    </xf>
    <xf numFmtId="0" fontId="0" fillId="0" borderId="0" xfId="0" applyAlignment="1">
      <alignment horizontal="center" vertical="center"/>
    </xf>
  </cellXfs>
  <cellStyles count="2">
    <cellStyle name="Normal" xfId="0" builtinId="0"/>
    <cellStyle name="Porcentaje"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dr:twoCellAnchor editAs="oneCell">
    <xdr:from>
      <xdr:col>3</xdr:col>
      <xdr:colOff>447675</xdr:colOff>
      <xdr:row>33</xdr:row>
      <xdr:rowOff>95250</xdr:rowOff>
    </xdr:from>
    <xdr:to>
      <xdr:col>3</xdr:col>
      <xdr:colOff>609623</xdr:colOff>
      <xdr:row>41</xdr:row>
      <xdr:rowOff>104989</xdr:rowOff>
    </xdr:to>
    <xdr:pic>
      <xdr:nvPicPr>
        <xdr:cNvPr id="19" name="Imagen 18">
          <a:extLst>
            <a:ext uri="{FF2B5EF4-FFF2-40B4-BE49-F238E27FC236}">
              <a16:creationId xmlns:a16="http://schemas.microsoft.com/office/drawing/2014/main" id="{00B8F573-EE53-A518-A9C8-1496A28FF60F}"/>
            </a:ext>
          </a:extLst>
        </xdr:cNvPr>
        <xdr:cNvPicPr>
          <a:picLocks noChangeAspect="1"/>
        </xdr:cNvPicPr>
      </xdr:nvPicPr>
      <xdr:blipFill>
        <a:blip xmlns:r="http://schemas.openxmlformats.org/officeDocument/2006/relationships" r:embed="rId1"/>
        <a:stretch>
          <a:fillRect/>
        </a:stretch>
      </xdr:blipFill>
      <xdr:spPr>
        <a:xfrm>
          <a:off x="2733675" y="10763250"/>
          <a:ext cx="161948" cy="1533739"/>
        </a:xfrm>
        <a:prstGeom prst="rect">
          <a:avLst/>
        </a:prstGeom>
      </xdr:spPr>
    </xdr:pic>
    <xdr:clientData/>
  </xdr:twoCellAnchor>
  <xdr:twoCellAnchor editAs="oneCell">
    <xdr:from>
      <xdr:col>3</xdr:col>
      <xdr:colOff>457199</xdr:colOff>
      <xdr:row>41</xdr:row>
      <xdr:rowOff>47625</xdr:rowOff>
    </xdr:from>
    <xdr:to>
      <xdr:col>3</xdr:col>
      <xdr:colOff>645770</xdr:colOff>
      <xdr:row>50</xdr:row>
      <xdr:rowOff>85725</xdr:rowOff>
    </xdr:to>
    <xdr:pic>
      <xdr:nvPicPr>
        <xdr:cNvPr id="21" name="Imagen 20">
          <a:extLst>
            <a:ext uri="{FF2B5EF4-FFF2-40B4-BE49-F238E27FC236}">
              <a16:creationId xmlns:a16="http://schemas.microsoft.com/office/drawing/2014/main" id="{C2FAF8D7-DFE4-5FBB-FC65-A73A47656797}"/>
            </a:ext>
          </a:extLst>
        </xdr:cNvPr>
        <xdr:cNvPicPr>
          <a:picLocks noChangeAspect="1"/>
        </xdr:cNvPicPr>
      </xdr:nvPicPr>
      <xdr:blipFill>
        <a:blip xmlns:r="http://schemas.openxmlformats.org/officeDocument/2006/relationships" r:embed="rId2"/>
        <a:stretch>
          <a:fillRect/>
        </a:stretch>
      </xdr:blipFill>
      <xdr:spPr>
        <a:xfrm>
          <a:off x="2743199" y="12239625"/>
          <a:ext cx="188571" cy="1752600"/>
        </a:xfrm>
        <a:prstGeom prst="rect">
          <a:avLst/>
        </a:prstGeom>
      </xdr:spPr>
    </xdr:pic>
    <xdr:clientData/>
  </xdr:twoCellAnchor>
  <xdr:twoCellAnchor editAs="oneCell">
    <xdr:from>
      <xdr:col>3</xdr:col>
      <xdr:colOff>0</xdr:colOff>
      <xdr:row>0</xdr:row>
      <xdr:rowOff>0</xdr:rowOff>
    </xdr:from>
    <xdr:to>
      <xdr:col>5</xdr:col>
      <xdr:colOff>3168120</xdr:colOff>
      <xdr:row>45</xdr:row>
      <xdr:rowOff>144091</xdr:rowOff>
    </xdr:to>
    <xdr:pic>
      <xdr:nvPicPr>
        <xdr:cNvPr id="2" name="Imagen 1">
          <a:extLst>
            <a:ext uri="{FF2B5EF4-FFF2-40B4-BE49-F238E27FC236}">
              <a16:creationId xmlns:a16="http://schemas.microsoft.com/office/drawing/2014/main" id="{E38F674D-0CEF-52B1-06EF-B2325DEA6C29}"/>
            </a:ext>
          </a:extLst>
        </xdr:cNvPr>
        <xdr:cNvPicPr>
          <a:picLocks noChangeAspect="1"/>
        </xdr:cNvPicPr>
      </xdr:nvPicPr>
      <xdr:blipFill>
        <a:blip xmlns:r="http://schemas.openxmlformats.org/officeDocument/2006/relationships" r:embed="rId3"/>
        <a:stretch>
          <a:fillRect/>
        </a:stretch>
      </xdr:blipFill>
      <xdr:spPr>
        <a:xfrm>
          <a:off x="3833813" y="0"/>
          <a:ext cx="7573432" cy="8716591"/>
        </a:xfrm>
        <a:prstGeom prst="rect">
          <a:avLst/>
        </a:prstGeom>
      </xdr:spPr>
    </xdr:pic>
    <xdr:clientData/>
  </xdr:twoCellAnchor>
  <xdr:twoCellAnchor editAs="oneCell">
    <xdr:from>
      <xdr:col>3</xdr:col>
      <xdr:colOff>-1</xdr:colOff>
      <xdr:row>44</xdr:row>
      <xdr:rowOff>154781</xdr:rowOff>
    </xdr:from>
    <xdr:to>
      <xdr:col>5</xdr:col>
      <xdr:colOff>3168119</xdr:colOff>
      <xdr:row>57</xdr:row>
      <xdr:rowOff>78916</xdr:rowOff>
    </xdr:to>
    <xdr:pic>
      <xdr:nvPicPr>
        <xdr:cNvPr id="3" name="Imagen 2">
          <a:extLst>
            <a:ext uri="{FF2B5EF4-FFF2-40B4-BE49-F238E27FC236}">
              <a16:creationId xmlns:a16="http://schemas.microsoft.com/office/drawing/2014/main" id="{F25E4E4C-DDCD-0DDD-9611-A30372C4C7D2}"/>
            </a:ext>
          </a:extLst>
        </xdr:cNvPr>
        <xdr:cNvPicPr>
          <a:picLocks noChangeAspect="1"/>
        </xdr:cNvPicPr>
      </xdr:nvPicPr>
      <xdr:blipFill>
        <a:blip xmlns:r="http://schemas.openxmlformats.org/officeDocument/2006/relationships" r:embed="rId4"/>
        <a:stretch>
          <a:fillRect/>
        </a:stretch>
      </xdr:blipFill>
      <xdr:spPr>
        <a:xfrm>
          <a:off x="3833812" y="8536781"/>
          <a:ext cx="7573432" cy="2400635"/>
        </a:xfrm>
        <a:prstGeom prst="rect">
          <a:avLst/>
        </a:prstGeom>
      </xdr:spPr>
    </xdr:pic>
    <xdr:clientData/>
  </xdr:twoCellAnchor>
  <xdr:twoCellAnchor editAs="oneCell">
    <xdr:from>
      <xdr:col>6</xdr:col>
      <xdr:colOff>59532</xdr:colOff>
      <xdr:row>0</xdr:row>
      <xdr:rowOff>47624</xdr:rowOff>
    </xdr:from>
    <xdr:to>
      <xdr:col>7</xdr:col>
      <xdr:colOff>3425292</xdr:colOff>
      <xdr:row>39</xdr:row>
      <xdr:rowOff>153451</xdr:rowOff>
    </xdr:to>
    <xdr:pic>
      <xdr:nvPicPr>
        <xdr:cNvPr id="6" name="Imagen 5">
          <a:extLst>
            <a:ext uri="{FF2B5EF4-FFF2-40B4-BE49-F238E27FC236}">
              <a16:creationId xmlns:a16="http://schemas.microsoft.com/office/drawing/2014/main" id="{821F5268-68C4-8EC2-920A-375ACB44209F}"/>
            </a:ext>
          </a:extLst>
        </xdr:cNvPr>
        <xdr:cNvPicPr>
          <a:picLocks noChangeAspect="1"/>
        </xdr:cNvPicPr>
      </xdr:nvPicPr>
      <xdr:blipFill>
        <a:blip xmlns:r="http://schemas.openxmlformats.org/officeDocument/2006/relationships" r:embed="rId5"/>
        <a:stretch>
          <a:fillRect/>
        </a:stretch>
      </xdr:blipFill>
      <xdr:spPr>
        <a:xfrm>
          <a:off x="11751470" y="47624"/>
          <a:ext cx="7544853" cy="7535327"/>
        </a:xfrm>
        <a:prstGeom prst="rect">
          <a:avLst/>
        </a:prstGeom>
      </xdr:spPr>
    </xdr:pic>
    <xdr:clientData/>
  </xdr:twoCellAnchor>
  <xdr:twoCellAnchor editAs="oneCell">
    <xdr:from>
      <xdr:col>5</xdr:col>
      <xdr:colOff>3169444</xdr:colOff>
      <xdr:row>37</xdr:row>
      <xdr:rowOff>28574</xdr:rowOff>
    </xdr:from>
    <xdr:to>
      <xdr:col>7</xdr:col>
      <xdr:colOff>3311023</xdr:colOff>
      <xdr:row>46</xdr:row>
      <xdr:rowOff>105025</xdr:rowOff>
    </xdr:to>
    <xdr:pic>
      <xdr:nvPicPr>
        <xdr:cNvPr id="8" name="Imagen 7">
          <a:extLst>
            <a:ext uri="{FF2B5EF4-FFF2-40B4-BE49-F238E27FC236}">
              <a16:creationId xmlns:a16="http://schemas.microsoft.com/office/drawing/2014/main" id="{2CB9D4B2-13C7-7885-9004-7420AD48A139}"/>
            </a:ext>
          </a:extLst>
        </xdr:cNvPr>
        <xdr:cNvPicPr>
          <a:picLocks noChangeAspect="1"/>
        </xdr:cNvPicPr>
      </xdr:nvPicPr>
      <xdr:blipFill>
        <a:blip xmlns:r="http://schemas.openxmlformats.org/officeDocument/2006/relationships" r:embed="rId6"/>
        <a:stretch>
          <a:fillRect/>
        </a:stretch>
      </xdr:blipFill>
      <xdr:spPr>
        <a:xfrm>
          <a:off x="11646694" y="6724649"/>
          <a:ext cx="7980654" cy="1705226"/>
        </a:xfrm>
        <a:prstGeom prst="rect">
          <a:avLst/>
        </a:prstGeom>
      </xdr:spPr>
    </xdr:pic>
    <xdr:clientData/>
  </xdr:twoCellAnchor>
  <xdr:twoCellAnchor editAs="oneCell">
    <xdr:from>
      <xdr:col>5</xdr:col>
      <xdr:colOff>2781300</xdr:colOff>
      <xdr:row>48</xdr:row>
      <xdr:rowOff>23812</xdr:rowOff>
    </xdr:from>
    <xdr:to>
      <xdr:col>7</xdr:col>
      <xdr:colOff>2922879</xdr:colOff>
      <xdr:row>77</xdr:row>
      <xdr:rowOff>53162</xdr:rowOff>
    </xdr:to>
    <xdr:pic>
      <xdr:nvPicPr>
        <xdr:cNvPr id="9" name="Imagen 8">
          <a:extLst>
            <a:ext uri="{FF2B5EF4-FFF2-40B4-BE49-F238E27FC236}">
              <a16:creationId xmlns:a16="http://schemas.microsoft.com/office/drawing/2014/main" id="{FF0D1C10-771A-6F75-5737-963215B0D344}"/>
            </a:ext>
          </a:extLst>
        </xdr:cNvPr>
        <xdr:cNvPicPr>
          <a:picLocks noChangeAspect="1"/>
        </xdr:cNvPicPr>
      </xdr:nvPicPr>
      <xdr:blipFill>
        <a:blip xmlns:r="http://schemas.openxmlformats.org/officeDocument/2006/relationships" r:embed="rId7"/>
        <a:stretch>
          <a:fillRect/>
        </a:stretch>
      </xdr:blipFill>
      <xdr:spPr>
        <a:xfrm>
          <a:off x="11258550" y="8710612"/>
          <a:ext cx="7980654" cy="5277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0</xdr:row>
      <xdr:rowOff>0</xdr:rowOff>
    </xdr:from>
    <xdr:to>
      <xdr:col>9</xdr:col>
      <xdr:colOff>933450</xdr:colOff>
      <xdr:row>0</xdr:row>
      <xdr:rowOff>1388745</xdr:rowOff>
    </xdr:to>
    <xdr:pic>
      <xdr:nvPicPr>
        <xdr:cNvPr id="2" name="Imagen 1" descr="C:\Users\Tere\Desktop\UAH_Marzo2020\DD\ImagenesDD\Logos\Docencia-01.jpg">
          <a:extLst>
            <a:ext uri="{FF2B5EF4-FFF2-40B4-BE49-F238E27FC236}">
              <a16:creationId xmlns:a16="http://schemas.microsoft.com/office/drawing/2014/main" id="{D383F759-DD51-49C6-9EC7-827B7037D96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5440" y="0"/>
          <a:ext cx="2087880" cy="969645"/>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ISIDORA PATRICIA GARNHAM SOTO" id="{4D9B207B-2A0A-4EC9-B4AA-1DBBF3AC9BFF}" userId="S::igarnham@uahurtado.cl::7850e311-fe2a-4e81-9fa8-02eb50a6ca1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25-06-23T16:25:51.96" personId="{4D9B207B-2A0A-4EC9-B4AA-1DBBF3AC9BFF}" id="{A0E4791C-E2C2-48CE-855A-CC5234411B86}">
    <text>Abandono</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workbookViewId="0">
      <selection activeCell="B10" sqref="B10:G12"/>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88" t="s">
        <v>2</v>
      </c>
      <c r="D4" s="89"/>
      <c r="E4" s="89"/>
      <c r="F4" s="89"/>
      <c r="G4" s="90"/>
    </row>
    <row r="5" spans="1:8">
      <c r="C5" s="4" t="s">
        <v>3</v>
      </c>
      <c r="D5" s="4" t="s">
        <v>4</v>
      </c>
      <c r="E5" s="5" t="s">
        <v>5</v>
      </c>
      <c r="F5" s="4" t="s">
        <v>6</v>
      </c>
      <c r="G5" s="6" t="s">
        <v>7</v>
      </c>
    </row>
    <row r="6" spans="1:8" ht="15.75" thickBot="1">
      <c r="C6" s="7" t="s">
        <v>8</v>
      </c>
      <c r="D6" s="7" t="s">
        <v>9</v>
      </c>
      <c r="E6" s="8" t="s">
        <v>10</v>
      </c>
      <c r="F6" s="7" t="s">
        <v>11</v>
      </c>
      <c r="G6" s="9" t="s">
        <v>12</v>
      </c>
    </row>
    <row r="7" spans="1:8" ht="45.75" thickBot="1">
      <c r="C7" s="10" t="s">
        <v>13</v>
      </c>
      <c r="D7" s="11" t="s">
        <v>14</v>
      </c>
      <c r="E7" s="11" t="s">
        <v>15</v>
      </c>
      <c r="F7" s="11" t="s">
        <v>16</v>
      </c>
      <c r="G7" s="12" t="s">
        <v>17</v>
      </c>
    </row>
    <row r="8" spans="1:8">
      <c r="C8" s="13"/>
      <c r="D8" s="13"/>
      <c r="E8" s="13"/>
      <c r="F8" s="13"/>
      <c r="G8" s="14"/>
    </row>
    <row r="9" spans="1:8">
      <c r="A9" t="s">
        <v>18</v>
      </c>
      <c r="B9" s="15" t="s">
        <v>19</v>
      </c>
    </row>
    <row r="10" spans="1:8">
      <c r="B10" s="91" t="s">
        <v>20</v>
      </c>
      <c r="C10" s="92"/>
      <c r="D10" s="92"/>
      <c r="E10" s="92"/>
      <c r="F10" s="92"/>
      <c r="G10" s="92"/>
    </row>
    <row r="11" spans="1:8">
      <c r="B11" s="92"/>
      <c r="C11" s="92"/>
      <c r="D11" s="92"/>
      <c r="E11" s="92"/>
      <c r="F11" s="92"/>
      <c r="G11" s="92"/>
    </row>
    <row r="12" spans="1:8">
      <c r="B12" s="92"/>
      <c r="C12" s="92"/>
      <c r="D12" s="92"/>
      <c r="E12" s="92"/>
      <c r="F12" s="92"/>
      <c r="G12" s="92"/>
    </row>
    <row r="14" spans="1:8" ht="15.75" thickBot="1"/>
    <row r="15" spans="1:8" ht="15.75" thickBot="1">
      <c r="C15" s="88" t="s">
        <v>21</v>
      </c>
      <c r="D15" s="89"/>
      <c r="E15" s="89"/>
      <c r="F15" s="89"/>
      <c r="G15" s="90"/>
    </row>
    <row r="16" spans="1:8" ht="15.75" thickBot="1">
      <c r="B16" s="16"/>
      <c r="C16" s="17" t="s">
        <v>3</v>
      </c>
      <c r="D16" s="18" t="s">
        <v>4</v>
      </c>
      <c r="E16" s="19" t="s">
        <v>5</v>
      </c>
      <c r="F16" s="93" t="s">
        <v>22</v>
      </c>
      <c r="G16" s="94"/>
      <c r="H16" s="20"/>
    </row>
    <row r="17" spans="2:8" ht="15.75" thickBot="1">
      <c r="B17" s="21" t="s">
        <v>23</v>
      </c>
      <c r="C17" s="22" t="s">
        <v>24</v>
      </c>
      <c r="D17" s="23" t="s">
        <v>25</v>
      </c>
      <c r="E17" s="24" t="s">
        <v>26</v>
      </c>
      <c r="F17" s="95" t="s">
        <v>27</v>
      </c>
      <c r="G17" s="96"/>
      <c r="H17" s="20"/>
    </row>
    <row r="18" spans="2:8" ht="165.75" thickBot="1">
      <c r="B18" s="97" t="s">
        <v>28</v>
      </c>
      <c r="C18" s="25" t="s">
        <v>29</v>
      </c>
      <c r="D18" s="25" t="s">
        <v>30</v>
      </c>
      <c r="E18" s="25" t="s">
        <v>31</v>
      </c>
      <c r="F18" s="100" t="s">
        <v>32</v>
      </c>
      <c r="G18" s="101"/>
      <c r="H18" s="26" t="s">
        <v>33</v>
      </c>
    </row>
    <row r="19" spans="2:8">
      <c r="B19" s="98"/>
      <c r="C19" s="102" t="s">
        <v>34</v>
      </c>
      <c r="D19" s="102"/>
      <c r="E19" s="102" t="s">
        <v>35</v>
      </c>
      <c r="F19" s="102"/>
      <c r="G19" s="103"/>
      <c r="H19" s="20"/>
    </row>
    <row r="20" spans="2:8">
      <c r="B20" s="99"/>
      <c r="C20" s="104" t="s">
        <v>36</v>
      </c>
      <c r="D20" s="104"/>
      <c r="E20" s="104"/>
      <c r="F20" s="104"/>
      <c r="G20" s="105"/>
      <c r="H20" s="20"/>
    </row>
    <row r="21" spans="2:8" ht="15" customHeight="1">
      <c r="B21" s="106" t="s">
        <v>37</v>
      </c>
      <c r="C21" s="109" t="s">
        <v>38</v>
      </c>
      <c r="D21" s="110" t="s">
        <v>39</v>
      </c>
      <c r="E21" s="110" t="s">
        <v>40</v>
      </c>
      <c r="F21" s="113" t="s">
        <v>41</v>
      </c>
      <c r="G21" s="87"/>
    </row>
    <row r="22" spans="2:8">
      <c r="B22" s="107"/>
      <c r="C22" s="107"/>
      <c r="D22" s="107"/>
      <c r="E22" s="111"/>
      <c r="F22" s="114"/>
      <c r="G22" s="87"/>
    </row>
    <row r="23" spans="2:8">
      <c r="B23" s="107"/>
      <c r="C23" s="107"/>
      <c r="D23" s="107"/>
      <c r="E23" s="111"/>
      <c r="F23" s="114"/>
      <c r="G23" s="87"/>
    </row>
    <row r="24" spans="2:8">
      <c r="B24" s="107"/>
      <c r="C24" s="107"/>
      <c r="D24" s="107"/>
      <c r="E24" s="111"/>
      <c r="F24" s="114"/>
      <c r="G24" s="87"/>
    </row>
    <row r="25" spans="2:8">
      <c r="B25" s="107"/>
      <c r="C25" s="107"/>
      <c r="D25" s="107"/>
      <c r="E25" s="111"/>
      <c r="F25" s="114"/>
      <c r="G25" s="87"/>
    </row>
    <row r="26" spans="2:8">
      <c r="B26" s="107"/>
      <c r="C26" s="107"/>
      <c r="D26" s="107"/>
      <c r="E26" s="111"/>
      <c r="F26" s="114"/>
      <c r="G26" s="87"/>
    </row>
    <row r="27" spans="2:8">
      <c r="B27" s="107"/>
      <c r="C27" s="107"/>
      <c r="D27" s="107"/>
      <c r="E27" s="111"/>
      <c r="F27" s="114"/>
      <c r="G27" s="87"/>
    </row>
    <row r="28" spans="2:8">
      <c r="B28" s="107"/>
      <c r="C28" s="107"/>
      <c r="D28" s="107"/>
      <c r="E28" s="111"/>
      <c r="F28" s="114"/>
      <c r="G28" s="87"/>
    </row>
    <row r="29" spans="2:8">
      <c r="B29" s="107"/>
      <c r="C29" s="107"/>
      <c r="D29" s="107"/>
      <c r="E29" s="111"/>
      <c r="F29" s="114"/>
      <c r="G29" s="87"/>
    </row>
    <row r="30" spans="2:8">
      <c r="B30" s="107"/>
      <c r="C30" s="107"/>
      <c r="D30" s="107"/>
      <c r="E30" s="111"/>
      <c r="F30" s="114"/>
      <c r="G30" s="87"/>
    </row>
    <row r="31" spans="2:8">
      <c r="B31" s="107"/>
      <c r="C31" s="107"/>
      <c r="D31" s="107"/>
      <c r="E31" s="111"/>
      <c r="F31" s="114"/>
      <c r="G31" s="87"/>
    </row>
    <row r="32" spans="2:8">
      <c r="B32" s="107"/>
      <c r="C32" s="107"/>
      <c r="D32" s="107"/>
      <c r="E32" s="111"/>
      <c r="F32" s="114"/>
      <c r="G32" s="87"/>
    </row>
    <row r="33" spans="2:7">
      <c r="B33" s="107"/>
      <c r="C33" s="107"/>
      <c r="D33" s="107"/>
      <c r="E33" s="111"/>
      <c r="F33" s="114"/>
      <c r="G33" s="87"/>
    </row>
    <row r="34" spans="2:7">
      <c r="B34" s="108"/>
      <c r="C34" s="108"/>
      <c r="D34" s="108"/>
      <c r="E34" s="112"/>
      <c r="F34" s="114"/>
      <c r="G34" s="87"/>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C7" zoomScale="80" zoomScaleNormal="80" workbookViewId="0">
      <selection activeCell="G55" sqref="G55"/>
    </sheetView>
  </sheetViews>
  <sheetFormatPr defaultColWidth="11.42578125" defaultRowHeight="15"/>
  <cols>
    <col min="3" max="3" width="34.5703125" customWidth="1"/>
    <col min="4" max="4" width="29.42578125" customWidth="1"/>
    <col min="5" max="5" width="36.5703125" customWidth="1"/>
    <col min="6" max="6" width="51.7109375" customWidth="1"/>
    <col min="7" max="7" width="62.7109375" customWidth="1"/>
    <col min="8" max="8" width="56.5703125" customWidth="1"/>
    <col min="9" max="9" width="54.42578125" customWidth="1"/>
    <col min="10" max="10" width="35.85546875" customWidth="1"/>
    <col min="11" max="11" width="33"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U159"/>
  <sheetViews>
    <sheetView topLeftCell="A13" zoomScaleNormal="100" workbookViewId="0">
      <selection activeCell="G22" sqref="G22"/>
    </sheetView>
  </sheetViews>
  <sheetFormatPr defaultColWidth="9.140625" defaultRowHeight="15"/>
  <cols>
    <col min="1" max="1" width="14.28515625" customWidth="1"/>
    <col min="2" max="2" width="11.42578125" customWidth="1"/>
    <col min="3" max="3" width="44.7109375" customWidth="1"/>
    <col min="4" max="4" width="20.85546875" customWidth="1"/>
    <col min="5" max="5" width="23" customWidth="1"/>
    <col min="6" max="6" width="31.85546875" customWidth="1"/>
    <col min="7" max="7" width="52.28515625" customWidth="1"/>
    <col min="8" max="10" width="14.28515625" customWidth="1"/>
    <col min="11" max="11" width="18.85546875" style="81" customWidth="1"/>
    <col min="12" max="12" width="25.28515625" style="81" customWidth="1"/>
    <col min="13" max="13" width="21.85546875" style="81" customWidth="1"/>
    <col min="14" max="14" width="23" style="81" customWidth="1"/>
    <col min="15" max="16" width="35.28515625" style="81" customWidth="1"/>
    <col min="17" max="17" width="43.5703125" style="81" customWidth="1"/>
    <col min="18" max="18" width="41.7109375" style="81" customWidth="1"/>
    <col min="19" max="20" width="14.28515625" customWidth="1"/>
    <col min="21" max="21" width="18" customWidth="1"/>
  </cols>
  <sheetData>
    <row r="1" spans="1:21" s="3" customFormat="1" ht="93" customHeight="1">
      <c r="A1" s="119" t="s">
        <v>42</v>
      </c>
      <c r="B1" s="120"/>
      <c r="C1" s="120"/>
      <c r="D1" s="120"/>
      <c r="E1" s="120"/>
      <c r="F1" s="120"/>
      <c r="G1" s="120"/>
      <c r="H1" s="120"/>
      <c r="I1" s="120"/>
      <c r="J1" s="120"/>
      <c r="K1" s="127" t="s">
        <v>43</v>
      </c>
      <c r="L1" s="128"/>
      <c r="M1" s="129"/>
      <c r="N1" s="133" t="s">
        <v>44</v>
      </c>
      <c r="O1" s="134"/>
      <c r="P1" s="135"/>
      <c r="Q1" s="123" t="s">
        <v>45</v>
      </c>
      <c r="R1" s="124"/>
      <c r="S1" s="115"/>
      <c r="T1" s="115"/>
      <c r="U1" s="116"/>
    </row>
    <row r="2" spans="1:21" s="3" customFormat="1" ht="63.75" customHeight="1" thickBot="1">
      <c r="A2" s="121"/>
      <c r="B2" s="122"/>
      <c r="C2" s="122"/>
      <c r="D2" s="122"/>
      <c r="E2" s="122"/>
      <c r="F2" s="122"/>
      <c r="G2" s="122"/>
      <c r="H2" s="122"/>
      <c r="I2" s="122"/>
      <c r="J2" s="122"/>
      <c r="K2" s="130"/>
      <c r="L2" s="131"/>
      <c r="M2" s="132"/>
      <c r="N2" s="136"/>
      <c r="O2" s="137"/>
      <c r="P2" s="138"/>
      <c r="Q2" s="125"/>
      <c r="R2" s="126"/>
      <c r="S2" s="117"/>
      <c r="T2" s="117"/>
      <c r="U2" s="118"/>
    </row>
    <row r="3" spans="1:21" s="1" customFormat="1" ht="84" customHeight="1" thickBot="1">
      <c r="A3" s="32" t="s">
        <v>46</v>
      </c>
      <c r="B3" s="32" t="s">
        <v>47</v>
      </c>
      <c r="C3" s="32"/>
      <c r="D3" s="32" t="s">
        <v>48</v>
      </c>
      <c r="E3" s="32" t="s">
        <v>49</v>
      </c>
      <c r="F3" s="32" t="s">
        <v>50</v>
      </c>
      <c r="G3" s="32" t="s">
        <v>51</v>
      </c>
      <c r="H3" s="33" t="s">
        <v>52</v>
      </c>
      <c r="I3" s="33" t="s">
        <v>53</v>
      </c>
      <c r="J3" s="50" t="s">
        <v>54</v>
      </c>
      <c r="K3" s="51" t="s">
        <v>55</v>
      </c>
      <c r="L3" s="51" t="s">
        <v>56</v>
      </c>
      <c r="M3" s="51" t="s">
        <v>57</v>
      </c>
      <c r="N3" s="52" t="s">
        <v>58</v>
      </c>
      <c r="O3" s="52" t="s">
        <v>59</v>
      </c>
      <c r="P3" s="52" t="s">
        <v>60</v>
      </c>
      <c r="Q3" s="53" t="s">
        <v>61</v>
      </c>
      <c r="R3" s="54" t="s">
        <v>37</v>
      </c>
      <c r="S3" s="46" t="s">
        <v>62</v>
      </c>
      <c r="T3" s="47" t="s">
        <v>63</v>
      </c>
      <c r="U3" s="47" t="s">
        <v>64</v>
      </c>
    </row>
    <row r="4" spans="1:21" ht="15.75">
      <c r="A4" s="56">
        <v>21589599</v>
      </c>
      <c r="B4" s="56">
        <v>8</v>
      </c>
      <c r="C4" s="56" t="str">
        <f>_xlfn.CONCAT(F4," ",D4," ",E4)</f>
        <v>MATÍAS IGNACIO ARRIAGADA GONZÁLEZ</v>
      </c>
      <c r="D4" s="55" t="s">
        <v>65</v>
      </c>
      <c r="E4" s="55" t="s">
        <v>66</v>
      </c>
      <c r="F4" s="55" t="s">
        <v>67</v>
      </c>
      <c r="G4" s="42" t="s">
        <v>68</v>
      </c>
      <c r="H4" s="43" t="s">
        <v>69</v>
      </c>
      <c r="I4" s="44"/>
      <c r="J4" s="43"/>
      <c r="K4" s="56"/>
      <c r="L4" s="45"/>
      <c r="M4" s="45"/>
      <c r="N4" s="45"/>
      <c r="O4" s="45"/>
      <c r="P4" s="45"/>
      <c r="Q4" s="45"/>
      <c r="R4" s="45"/>
      <c r="S4" s="45"/>
      <c r="T4" s="45"/>
      <c r="U4" s="45"/>
    </row>
    <row r="5" spans="1:21" ht="16.5">
      <c r="A5" s="74">
        <v>21302963</v>
      </c>
      <c r="B5" s="56">
        <v>0</v>
      </c>
      <c r="C5" s="56" t="str">
        <f t="shared" ref="C5:C45" si="0">_xlfn.CONCAT(F5," ",D5," ",E5)</f>
        <v>NICOLÁS ALEJANDRO ARTEAGA MATELUNA</v>
      </c>
      <c r="D5" s="55" t="s">
        <v>70</v>
      </c>
      <c r="E5" s="55" t="s">
        <v>71</v>
      </c>
      <c r="F5" s="55" t="s">
        <v>72</v>
      </c>
      <c r="G5" s="39" t="s">
        <v>73</v>
      </c>
      <c r="H5" s="27" t="s">
        <v>74</v>
      </c>
      <c r="I5" s="71">
        <v>45760</v>
      </c>
      <c r="J5" s="27" t="s">
        <v>69</v>
      </c>
      <c r="K5" s="78">
        <v>3</v>
      </c>
      <c r="L5" s="78">
        <v>3</v>
      </c>
      <c r="M5" s="78">
        <v>2</v>
      </c>
      <c r="N5" s="78">
        <v>0</v>
      </c>
      <c r="O5" s="78">
        <v>0</v>
      </c>
      <c r="P5" s="78">
        <v>0</v>
      </c>
      <c r="Q5" s="78">
        <v>0</v>
      </c>
      <c r="R5" s="78">
        <v>0</v>
      </c>
      <c r="S5" s="77">
        <f>SUM(K5:R5)</f>
        <v>8</v>
      </c>
      <c r="T5" s="82">
        <f>S5/32</f>
        <v>0.25</v>
      </c>
      <c r="U5" s="45"/>
    </row>
    <row r="6" spans="1:21" ht="16.5">
      <c r="A6" s="56">
        <v>21225830</v>
      </c>
      <c r="B6" s="56" t="s">
        <v>75</v>
      </c>
      <c r="C6" s="56" t="str">
        <f t="shared" si="0"/>
        <v>JOAQUÍN AMARO AVELLAIRA PINTO</v>
      </c>
      <c r="D6" s="55" t="s">
        <v>76</v>
      </c>
      <c r="E6" s="55" t="s">
        <v>77</v>
      </c>
      <c r="F6" s="55" t="s">
        <v>78</v>
      </c>
      <c r="G6" s="42" t="s">
        <v>68</v>
      </c>
      <c r="H6" s="43" t="s">
        <v>69</v>
      </c>
      <c r="I6" s="44"/>
      <c r="J6" s="43"/>
      <c r="K6" s="78"/>
      <c r="L6" s="77"/>
      <c r="M6" s="77"/>
      <c r="N6" s="77"/>
      <c r="O6" s="77"/>
      <c r="P6" s="77"/>
      <c r="Q6" s="77"/>
      <c r="R6" s="77"/>
      <c r="S6" s="45"/>
      <c r="T6" s="45"/>
      <c r="U6" s="45"/>
    </row>
    <row r="7" spans="1:21" ht="16.5">
      <c r="A7" s="56">
        <v>21745427</v>
      </c>
      <c r="B7" s="56">
        <v>1</v>
      </c>
      <c r="C7" s="56" t="str">
        <f t="shared" si="0"/>
        <v>VALENTINA ISIDORA BARRAZA MIRANDA</v>
      </c>
      <c r="D7" s="55" t="s">
        <v>79</v>
      </c>
      <c r="E7" s="55" t="s">
        <v>80</v>
      </c>
      <c r="F7" s="55" t="s">
        <v>81</v>
      </c>
      <c r="G7" s="42"/>
      <c r="H7" s="43" t="s">
        <v>69</v>
      </c>
      <c r="I7" s="44"/>
      <c r="J7" s="43"/>
      <c r="K7" s="78"/>
      <c r="L7" s="77"/>
      <c r="M7" s="77"/>
      <c r="N7" s="77"/>
      <c r="O7" s="77"/>
      <c r="P7" s="77"/>
      <c r="Q7" s="77"/>
      <c r="R7" s="77"/>
      <c r="S7" s="45"/>
      <c r="T7" s="45"/>
      <c r="U7" s="45"/>
    </row>
    <row r="8" spans="1:21" ht="29.25" customHeight="1">
      <c r="A8" s="68">
        <v>21004967</v>
      </c>
      <c r="B8" s="56">
        <v>3</v>
      </c>
      <c r="C8" s="56" t="str">
        <f t="shared" si="0"/>
        <v>ALANIS XIMENA BUSTOS ARAYA</v>
      </c>
      <c r="D8" s="65" t="s">
        <v>82</v>
      </c>
      <c r="E8" s="65" t="s">
        <v>83</v>
      </c>
      <c r="F8" s="65" t="s">
        <v>84</v>
      </c>
      <c r="G8" s="42" t="s">
        <v>73</v>
      </c>
      <c r="H8" s="27" t="s">
        <v>74</v>
      </c>
      <c r="I8" s="71">
        <v>45760</v>
      </c>
      <c r="J8" s="27" t="s">
        <v>69</v>
      </c>
      <c r="K8" s="78">
        <v>3</v>
      </c>
      <c r="L8" s="78">
        <v>3</v>
      </c>
      <c r="M8" s="78">
        <v>3</v>
      </c>
      <c r="N8" s="78">
        <v>4</v>
      </c>
      <c r="O8" s="78">
        <v>4</v>
      </c>
      <c r="P8" s="78">
        <v>3</v>
      </c>
      <c r="Q8" s="78">
        <v>4</v>
      </c>
      <c r="R8" s="78">
        <v>4</v>
      </c>
      <c r="S8" s="77">
        <f>SUM(K8:R8)</f>
        <v>28</v>
      </c>
      <c r="T8" s="82">
        <f t="shared" ref="T8:T11" si="1">S8/32</f>
        <v>0.875</v>
      </c>
      <c r="U8" s="45"/>
    </row>
    <row r="9" spans="1:21" ht="16.5">
      <c r="A9" s="56">
        <v>21303815</v>
      </c>
      <c r="B9" s="56" t="s">
        <v>75</v>
      </c>
      <c r="C9" s="56" t="str">
        <f t="shared" si="0"/>
        <v>VANIA AYLING CABRERA GONZÁLEZ</v>
      </c>
      <c r="D9" s="55" t="s">
        <v>85</v>
      </c>
      <c r="E9" s="55" t="s">
        <v>66</v>
      </c>
      <c r="F9" s="55" t="s">
        <v>86</v>
      </c>
      <c r="G9" s="75" t="s">
        <v>73</v>
      </c>
      <c r="H9" s="27" t="s">
        <v>74</v>
      </c>
      <c r="I9" s="71">
        <v>45760</v>
      </c>
      <c r="J9" s="27" t="s">
        <v>69</v>
      </c>
      <c r="K9" s="78">
        <v>4</v>
      </c>
      <c r="L9" s="78">
        <v>4</v>
      </c>
      <c r="M9" s="78">
        <v>3</v>
      </c>
      <c r="N9" s="78">
        <v>4</v>
      </c>
      <c r="O9" s="78">
        <v>2</v>
      </c>
      <c r="P9" s="78">
        <v>3</v>
      </c>
      <c r="Q9" s="78">
        <v>3</v>
      </c>
      <c r="R9" s="78">
        <v>4</v>
      </c>
      <c r="S9" s="77">
        <f t="shared" ref="S8:S11" si="2">SUM(K9:R9)</f>
        <v>27</v>
      </c>
      <c r="T9" s="82">
        <f t="shared" si="1"/>
        <v>0.84375</v>
      </c>
      <c r="U9" s="45"/>
    </row>
    <row r="10" spans="1:21" ht="29.25">
      <c r="A10" s="56">
        <v>21599008</v>
      </c>
      <c r="B10" s="56">
        <v>7</v>
      </c>
      <c r="C10" s="56" t="str">
        <f t="shared" si="0"/>
        <v>MARTÍN ALFREDO CABRERA CONTRERAS</v>
      </c>
      <c r="D10" s="55" t="s">
        <v>85</v>
      </c>
      <c r="E10" s="55" t="s">
        <v>87</v>
      </c>
      <c r="F10" s="55" t="s">
        <v>88</v>
      </c>
      <c r="G10" s="42" t="s">
        <v>73</v>
      </c>
      <c r="H10" s="27" t="s">
        <v>74</v>
      </c>
      <c r="I10" s="71">
        <v>45760</v>
      </c>
      <c r="J10" s="27" t="s">
        <v>69</v>
      </c>
      <c r="K10" s="78">
        <v>3</v>
      </c>
      <c r="L10" s="78">
        <v>3</v>
      </c>
      <c r="M10" s="78">
        <v>2</v>
      </c>
      <c r="N10" s="78">
        <v>2</v>
      </c>
      <c r="O10" s="78">
        <v>2</v>
      </c>
      <c r="P10" s="78">
        <v>2</v>
      </c>
      <c r="Q10" s="78">
        <v>3</v>
      </c>
      <c r="R10" s="78">
        <v>2</v>
      </c>
      <c r="S10" s="77">
        <f t="shared" si="2"/>
        <v>19</v>
      </c>
      <c r="T10" s="82">
        <f t="shared" si="1"/>
        <v>0.59375</v>
      </c>
      <c r="U10" s="45"/>
    </row>
    <row r="11" spans="1:21" ht="29.25">
      <c r="A11" s="56">
        <v>20732812</v>
      </c>
      <c r="B11" s="56" t="s">
        <v>75</v>
      </c>
      <c r="C11" s="56" t="str">
        <f t="shared" si="0"/>
        <v>JAVIER ANDRÉS CADENAS GUERRERO</v>
      </c>
      <c r="D11" s="55" t="s">
        <v>89</v>
      </c>
      <c r="E11" s="55" t="s">
        <v>90</v>
      </c>
      <c r="F11" s="55" t="s">
        <v>91</v>
      </c>
      <c r="G11" s="42" t="s">
        <v>73</v>
      </c>
      <c r="H11" s="27" t="s">
        <v>74</v>
      </c>
      <c r="I11" s="71">
        <v>45760</v>
      </c>
      <c r="J11" s="27" t="s">
        <v>69</v>
      </c>
      <c r="K11" s="78">
        <v>4</v>
      </c>
      <c r="L11" s="78">
        <v>3</v>
      </c>
      <c r="M11" s="78">
        <v>1</v>
      </c>
      <c r="N11" s="78">
        <v>0</v>
      </c>
      <c r="O11" s="78">
        <v>0</v>
      </c>
      <c r="P11" s="78">
        <v>0</v>
      </c>
      <c r="Q11" s="78">
        <v>0</v>
      </c>
      <c r="R11" s="78">
        <v>0</v>
      </c>
      <c r="S11" s="77">
        <f t="shared" si="2"/>
        <v>8</v>
      </c>
      <c r="T11" s="82">
        <f t="shared" si="1"/>
        <v>0.25</v>
      </c>
      <c r="U11" s="45"/>
    </row>
    <row r="12" spans="1:21" ht="16.5">
      <c r="A12" s="56">
        <v>19721480</v>
      </c>
      <c r="B12" s="56">
        <v>5</v>
      </c>
      <c r="C12" s="56" t="str">
        <f t="shared" si="0"/>
        <v>MARTIN NICOLAS CARVAJAL ALVARADO</v>
      </c>
      <c r="D12" s="55" t="s">
        <v>92</v>
      </c>
      <c r="E12" s="55" t="s">
        <v>93</v>
      </c>
      <c r="F12" s="55" t="s">
        <v>94</v>
      </c>
      <c r="G12" s="31" t="s">
        <v>68</v>
      </c>
      <c r="H12" s="43" t="s">
        <v>69</v>
      </c>
      <c r="I12" s="38"/>
      <c r="J12" s="35"/>
      <c r="K12" s="78"/>
      <c r="L12" s="77"/>
      <c r="M12" s="77"/>
      <c r="N12" s="77"/>
      <c r="O12" s="77"/>
      <c r="P12" s="77"/>
      <c r="Q12" s="77"/>
      <c r="R12" s="77"/>
      <c r="S12" s="45"/>
      <c r="T12" s="45"/>
      <c r="U12" s="45"/>
    </row>
    <row r="13" spans="1:21" ht="29.25">
      <c r="A13" s="56">
        <v>21104882</v>
      </c>
      <c r="B13" s="56">
        <v>4</v>
      </c>
      <c r="C13" s="56" t="str">
        <f t="shared" si="0"/>
        <v>SEBASTIÁN ALEJANDRO CASANOVA ARRIETA</v>
      </c>
      <c r="D13" s="55" t="s">
        <v>95</v>
      </c>
      <c r="E13" s="55" t="s">
        <v>96</v>
      </c>
      <c r="F13" s="55" t="s">
        <v>97</v>
      </c>
      <c r="G13" s="42" t="s">
        <v>73</v>
      </c>
      <c r="H13" s="27" t="s">
        <v>74</v>
      </c>
      <c r="I13" s="71">
        <v>45760</v>
      </c>
      <c r="J13" s="27" t="s">
        <v>69</v>
      </c>
      <c r="K13" s="78">
        <v>3</v>
      </c>
      <c r="L13" s="78">
        <v>3</v>
      </c>
      <c r="M13" s="78">
        <v>3</v>
      </c>
      <c r="N13" s="78">
        <v>2</v>
      </c>
      <c r="O13" s="78">
        <v>2</v>
      </c>
      <c r="P13" s="78">
        <v>2</v>
      </c>
      <c r="Q13" s="78">
        <v>4</v>
      </c>
      <c r="R13" s="78">
        <v>4</v>
      </c>
      <c r="S13" s="77">
        <f>SUM(K13:R13)</f>
        <v>23</v>
      </c>
      <c r="T13" s="82">
        <f>S13/32</f>
        <v>0.71875</v>
      </c>
      <c r="U13" s="45"/>
    </row>
    <row r="14" spans="1:21" ht="16.5">
      <c r="A14" s="56">
        <v>21342685</v>
      </c>
      <c r="B14" s="56">
        <v>0</v>
      </c>
      <c r="C14" s="56" t="str">
        <f t="shared" si="0"/>
        <v>ALVARO IGNACIO CASTILLO MORALES</v>
      </c>
      <c r="D14" s="55" t="s">
        <v>98</v>
      </c>
      <c r="E14" s="55" t="s">
        <v>99</v>
      </c>
      <c r="F14" s="55" t="s">
        <v>100</v>
      </c>
      <c r="G14" s="42" t="s">
        <v>101</v>
      </c>
      <c r="H14" s="43" t="s">
        <v>69</v>
      </c>
      <c r="I14" s="45"/>
      <c r="J14" s="43"/>
      <c r="K14" s="78"/>
      <c r="L14" s="77"/>
      <c r="M14" s="77"/>
      <c r="N14" s="77"/>
      <c r="O14" s="77"/>
      <c r="P14" s="77"/>
      <c r="Q14" s="77"/>
      <c r="R14" s="77"/>
      <c r="S14" s="45"/>
      <c r="T14" s="45"/>
      <c r="U14" s="45"/>
    </row>
    <row r="15" spans="1:21" ht="29.25">
      <c r="A15" s="56">
        <v>21420674</v>
      </c>
      <c r="B15" s="56">
        <v>9</v>
      </c>
      <c r="C15" s="56" t="str">
        <f t="shared" si="0"/>
        <v>BENJAMÍN ALONSO CORTÉS HERRERA</v>
      </c>
      <c r="D15" s="55" t="s">
        <v>102</v>
      </c>
      <c r="E15" s="55" t="s">
        <v>103</v>
      </c>
      <c r="F15" s="55" t="s">
        <v>104</v>
      </c>
      <c r="G15" s="42" t="s">
        <v>73</v>
      </c>
      <c r="H15" s="27" t="s">
        <v>74</v>
      </c>
      <c r="I15" s="71">
        <v>45760</v>
      </c>
      <c r="J15" s="27" t="s">
        <v>69</v>
      </c>
      <c r="K15" s="78">
        <v>3</v>
      </c>
      <c r="L15" s="78">
        <v>4</v>
      </c>
      <c r="M15" s="78">
        <v>4</v>
      </c>
      <c r="N15" s="78">
        <v>4</v>
      </c>
      <c r="O15" s="78">
        <v>4</v>
      </c>
      <c r="P15" s="78">
        <v>4</v>
      </c>
      <c r="Q15" s="78">
        <v>1</v>
      </c>
      <c r="R15" s="78">
        <v>3</v>
      </c>
      <c r="S15" s="77">
        <f t="shared" ref="S15:S16" si="3">SUM(K15:R15)</f>
        <v>27</v>
      </c>
      <c r="T15" s="82">
        <f t="shared" ref="T15:T16" si="4">S15/32</f>
        <v>0.84375</v>
      </c>
      <c r="U15" s="45"/>
    </row>
    <row r="16" spans="1:21" ht="29.25">
      <c r="A16" s="69">
        <v>20912923</v>
      </c>
      <c r="B16" s="56" t="s">
        <v>75</v>
      </c>
      <c r="C16" s="56" t="str">
        <f t="shared" si="0"/>
        <v>CAMILO ANDRÉS COÑALINCO GÁLVEZ</v>
      </c>
      <c r="D16" s="65" t="s">
        <v>105</v>
      </c>
      <c r="E16" s="65" t="s">
        <v>106</v>
      </c>
      <c r="F16" s="65" t="s">
        <v>107</v>
      </c>
      <c r="G16" s="42" t="s">
        <v>73</v>
      </c>
      <c r="H16" s="27" t="s">
        <v>74</v>
      </c>
      <c r="I16" s="71">
        <v>45760</v>
      </c>
      <c r="J16" s="27" t="s">
        <v>69</v>
      </c>
      <c r="K16" s="78">
        <v>3</v>
      </c>
      <c r="L16" s="78">
        <v>3</v>
      </c>
      <c r="M16" s="78">
        <v>2</v>
      </c>
      <c r="N16" s="78">
        <v>4</v>
      </c>
      <c r="O16" s="78">
        <v>3</v>
      </c>
      <c r="P16" s="78">
        <v>2</v>
      </c>
      <c r="Q16" s="78">
        <v>0</v>
      </c>
      <c r="R16" s="78">
        <v>0</v>
      </c>
      <c r="S16" s="77">
        <f t="shared" si="3"/>
        <v>17</v>
      </c>
      <c r="T16" s="82">
        <f t="shared" si="4"/>
        <v>0.53125</v>
      </c>
      <c r="U16" s="45"/>
    </row>
    <row r="17" spans="1:21" ht="16.5">
      <c r="A17" s="56">
        <v>21506255</v>
      </c>
      <c r="B17" s="56">
        <v>4</v>
      </c>
      <c r="C17" s="56" t="str">
        <f t="shared" si="0"/>
        <v>MAXIMILIANO ANDRES GALLEGUILLOS LUCERO</v>
      </c>
      <c r="D17" s="55" t="s">
        <v>108</v>
      </c>
      <c r="E17" s="55" t="s">
        <v>109</v>
      </c>
      <c r="F17" s="55" t="s">
        <v>110</v>
      </c>
      <c r="G17" s="42" t="s">
        <v>68</v>
      </c>
      <c r="H17" s="43" t="s">
        <v>69</v>
      </c>
      <c r="I17" s="45"/>
      <c r="J17" s="43"/>
      <c r="K17" s="78"/>
      <c r="L17" s="77"/>
      <c r="M17" s="77"/>
      <c r="N17" s="77"/>
      <c r="O17" s="77"/>
      <c r="P17" s="77"/>
      <c r="Q17" s="77"/>
      <c r="R17" s="77"/>
      <c r="S17" s="45"/>
      <c r="T17" s="45"/>
      <c r="U17" s="45"/>
    </row>
    <row r="18" spans="1:21" ht="16.5">
      <c r="A18" s="56">
        <v>21027449</v>
      </c>
      <c r="B18" s="56">
        <v>9</v>
      </c>
      <c r="C18" s="56" t="str">
        <f t="shared" si="0"/>
        <v>CRISTOBAL GARRIDO DUARTE</v>
      </c>
      <c r="D18" s="55" t="s">
        <v>111</v>
      </c>
      <c r="E18" s="55" t="s">
        <v>112</v>
      </c>
      <c r="F18" s="55" t="s">
        <v>113</v>
      </c>
      <c r="G18" s="39" t="s">
        <v>73</v>
      </c>
      <c r="H18" s="27" t="s">
        <v>74</v>
      </c>
      <c r="I18" s="71">
        <v>45760</v>
      </c>
      <c r="J18" s="27" t="s">
        <v>69</v>
      </c>
      <c r="K18" s="78">
        <v>3</v>
      </c>
      <c r="L18" s="78">
        <v>3</v>
      </c>
      <c r="M18" s="78">
        <v>2</v>
      </c>
      <c r="N18" s="78">
        <v>1</v>
      </c>
      <c r="O18" s="78">
        <v>2</v>
      </c>
      <c r="P18" s="78">
        <v>3</v>
      </c>
      <c r="Q18" s="78">
        <v>3</v>
      </c>
      <c r="R18" s="78">
        <v>4</v>
      </c>
      <c r="S18" s="77">
        <f t="shared" ref="S18:S21" si="5">SUM(K18:R18)</f>
        <v>21</v>
      </c>
      <c r="T18" s="82">
        <f t="shared" ref="T18:T21" si="6">S18/32</f>
        <v>0.65625</v>
      </c>
      <c r="U18" s="45"/>
    </row>
    <row r="19" spans="1:21" ht="29.25">
      <c r="A19" s="56">
        <v>20199607</v>
      </c>
      <c r="B19" s="56">
        <v>4</v>
      </c>
      <c r="C19" s="56" t="str">
        <f t="shared" si="0"/>
        <v>SEBASTIÁN STEFANO HERMOZA MÉNDEZ</v>
      </c>
      <c r="D19" s="55" t="s">
        <v>114</v>
      </c>
      <c r="E19" s="55" t="s">
        <v>115</v>
      </c>
      <c r="F19" s="55" t="s">
        <v>116</v>
      </c>
      <c r="G19" s="42" t="s">
        <v>73</v>
      </c>
      <c r="H19" s="27" t="s">
        <v>74</v>
      </c>
      <c r="I19" s="71">
        <v>45760</v>
      </c>
      <c r="J19" s="27" t="s">
        <v>69</v>
      </c>
      <c r="K19" s="78">
        <v>3</v>
      </c>
      <c r="L19" s="78">
        <v>3</v>
      </c>
      <c r="M19" s="78">
        <v>3</v>
      </c>
      <c r="N19" s="78">
        <v>4</v>
      </c>
      <c r="O19" s="78">
        <v>4</v>
      </c>
      <c r="P19" s="78">
        <v>4</v>
      </c>
      <c r="Q19" s="78">
        <v>4</v>
      </c>
      <c r="R19" s="78">
        <v>4</v>
      </c>
      <c r="S19" s="77">
        <f t="shared" si="5"/>
        <v>29</v>
      </c>
      <c r="T19" s="82">
        <f t="shared" si="6"/>
        <v>0.90625</v>
      </c>
      <c r="U19" s="45"/>
    </row>
    <row r="20" spans="1:21" ht="29.25">
      <c r="A20" s="56">
        <v>21497385</v>
      </c>
      <c r="B20" s="56">
        <v>5</v>
      </c>
      <c r="C20" s="56" t="str">
        <f t="shared" si="0"/>
        <v>MATEO ALEXIS JIMÉNEZ SILVA</v>
      </c>
      <c r="D20" s="55" t="s">
        <v>117</v>
      </c>
      <c r="E20" s="55" t="s">
        <v>118</v>
      </c>
      <c r="F20" s="55" t="s">
        <v>119</v>
      </c>
      <c r="G20" s="42" t="s">
        <v>73</v>
      </c>
      <c r="H20" s="27" t="s">
        <v>74</v>
      </c>
      <c r="I20" s="71">
        <v>45760</v>
      </c>
      <c r="J20" s="27" t="s">
        <v>69</v>
      </c>
      <c r="K20" s="78">
        <v>4</v>
      </c>
      <c r="L20" s="78">
        <v>3</v>
      </c>
      <c r="M20" s="78">
        <v>2</v>
      </c>
      <c r="N20" s="78">
        <v>2</v>
      </c>
      <c r="O20" s="78">
        <v>3</v>
      </c>
      <c r="P20" s="78">
        <v>3</v>
      </c>
      <c r="Q20" s="78">
        <v>1</v>
      </c>
      <c r="R20" s="78">
        <v>3</v>
      </c>
      <c r="S20" s="77">
        <f t="shared" si="5"/>
        <v>21</v>
      </c>
      <c r="T20" s="82">
        <f t="shared" si="6"/>
        <v>0.65625</v>
      </c>
      <c r="U20" s="45"/>
    </row>
    <row r="21" spans="1:21" ht="29.25">
      <c r="A21" s="70">
        <v>21039010</v>
      </c>
      <c r="B21" s="56">
        <v>3</v>
      </c>
      <c r="C21" s="56" t="str">
        <f t="shared" si="0"/>
        <v xml:space="preserve">	
JUAN SEBASTIÁN IGNACIO JIMÉNEZ MUÑOZ</v>
      </c>
      <c r="D21" s="66" t="s">
        <v>117</v>
      </c>
      <c r="E21" s="66" t="s">
        <v>120</v>
      </c>
      <c r="F21" s="65" t="s">
        <v>121</v>
      </c>
      <c r="G21" s="42" t="s">
        <v>73</v>
      </c>
      <c r="H21" s="27" t="s">
        <v>74</v>
      </c>
      <c r="I21" s="71">
        <v>45760</v>
      </c>
      <c r="J21" s="27" t="s">
        <v>69</v>
      </c>
      <c r="K21" s="78">
        <v>3</v>
      </c>
      <c r="L21" s="78">
        <v>4</v>
      </c>
      <c r="M21" s="78">
        <v>3</v>
      </c>
      <c r="N21" s="78">
        <v>3</v>
      </c>
      <c r="O21" s="78">
        <v>3</v>
      </c>
      <c r="P21" s="78">
        <v>4</v>
      </c>
      <c r="Q21" s="78">
        <v>4</v>
      </c>
      <c r="R21" s="78">
        <v>4</v>
      </c>
      <c r="S21" s="77">
        <f t="shared" si="5"/>
        <v>28</v>
      </c>
      <c r="T21" s="82">
        <f t="shared" si="6"/>
        <v>0.875</v>
      </c>
      <c r="U21" s="45"/>
    </row>
    <row r="22" spans="1:21" ht="16.5">
      <c r="A22" s="56">
        <v>20467741</v>
      </c>
      <c r="B22" s="56">
        <v>7</v>
      </c>
      <c r="C22" s="56" t="str">
        <f t="shared" si="0"/>
        <v>FELIPE IGNACIO LUENGO PARADA</v>
      </c>
      <c r="D22" s="55" t="s">
        <v>122</v>
      </c>
      <c r="E22" s="55" t="s">
        <v>123</v>
      </c>
      <c r="F22" s="55" t="s">
        <v>124</v>
      </c>
      <c r="G22" s="42" t="s">
        <v>68</v>
      </c>
      <c r="H22" s="43" t="s">
        <v>69</v>
      </c>
      <c r="I22" s="45"/>
      <c r="J22" s="43"/>
      <c r="K22" s="78"/>
      <c r="L22" s="77"/>
      <c r="M22" s="77"/>
      <c r="N22" s="77"/>
      <c r="O22" s="77"/>
      <c r="P22" s="77"/>
      <c r="Q22" s="77"/>
      <c r="R22" s="77"/>
      <c r="S22" s="45"/>
      <c r="T22" s="45"/>
      <c r="U22" s="45"/>
    </row>
    <row r="23" spans="1:21" ht="16.5">
      <c r="A23" s="56">
        <v>19650081</v>
      </c>
      <c r="B23" s="56">
        <v>2</v>
      </c>
      <c r="C23" s="56" t="str">
        <f t="shared" si="0"/>
        <v>HECTOR FERNANDO LUNA LEYTON</v>
      </c>
      <c r="D23" s="55" t="s">
        <v>125</v>
      </c>
      <c r="E23" s="55" t="s">
        <v>126</v>
      </c>
      <c r="F23" s="55" t="s">
        <v>127</v>
      </c>
      <c r="G23" s="31" t="s">
        <v>101</v>
      </c>
      <c r="H23" s="43" t="s">
        <v>69</v>
      </c>
      <c r="I23" s="38"/>
      <c r="J23" s="35"/>
      <c r="K23" s="78"/>
      <c r="L23" s="77"/>
      <c r="M23" s="77"/>
      <c r="N23" s="77"/>
      <c r="O23" s="77"/>
      <c r="P23" s="77"/>
      <c r="Q23" s="77"/>
      <c r="R23" s="77"/>
      <c r="S23" s="45"/>
      <c r="T23" s="45"/>
      <c r="U23" s="45"/>
    </row>
    <row r="24" spans="1:21" ht="29.25">
      <c r="A24" s="56">
        <v>21415626</v>
      </c>
      <c r="B24" s="56">
        <v>1</v>
      </c>
      <c r="C24" s="56" t="str">
        <f t="shared" si="0"/>
        <v>MARÍA PAULA MARCHANT PIZARRO</v>
      </c>
      <c r="D24" s="55" t="s">
        <v>128</v>
      </c>
      <c r="E24" s="55" t="s">
        <v>129</v>
      </c>
      <c r="F24" s="55" t="s">
        <v>130</v>
      </c>
      <c r="G24" s="42" t="s">
        <v>73</v>
      </c>
      <c r="H24" s="27" t="s">
        <v>74</v>
      </c>
      <c r="I24" s="71">
        <v>45760</v>
      </c>
      <c r="J24" s="27" t="s">
        <v>69</v>
      </c>
      <c r="K24" s="78">
        <v>2</v>
      </c>
      <c r="L24" s="78">
        <v>1</v>
      </c>
      <c r="M24" s="78">
        <v>1</v>
      </c>
      <c r="N24" s="78">
        <v>0</v>
      </c>
      <c r="O24" s="78">
        <v>0</v>
      </c>
      <c r="P24" s="78">
        <v>0</v>
      </c>
      <c r="Q24" s="78">
        <v>0</v>
      </c>
      <c r="R24" s="78">
        <v>0</v>
      </c>
      <c r="S24" s="77">
        <f t="shared" ref="S24:S25" si="7">SUM(K24:R24)</f>
        <v>4</v>
      </c>
      <c r="T24" s="82">
        <f t="shared" ref="T24:T25" si="8">S24/32</f>
        <v>0.125</v>
      </c>
      <c r="U24" s="45"/>
    </row>
    <row r="25" spans="1:21" ht="16.5">
      <c r="A25" s="56">
        <v>18765262</v>
      </c>
      <c r="B25" s="56">
        <v>6</v>
      </c>
      <c r="C25" s="56" t="str">
        <f t="shared" si="0"/>
        <v>ISABEL FERNANDA MENA CONTRERAS</v>
      </c>
      <c r="D25" s="55" t="s">
        <v>131</v>
      </c>
      <c r="E25" s="55" t="s">
        <v>87</v>
      </c>
      <c r="F25" s="55" t="s">
        <v>132</v>
      </c>
      <c r="G25" s="34" t="s">
        <v>73</v>
      </c>
      <c r="H25" s="27" t="s">
        <v>74</v>
      </c>
      <c r="I25" s="71">
        <v>45760</v>
      </c>
      <c r="J25" s="27" t="s">
        <v>69</v>
      </c>
      <c r="K25" s="78">
        <v>2</v>
      </c>
      <c r="L25" s="78">
        <v>1</v>
      </c>
      <c r="M25" s="78">
        <v>1</v>
      </c>
      <c r="N25" s="78">
        <v>0</v>
      </c>
      <c r="O25" s="78">
        <v>0</v>
      </c>
      <c r="P25" s="78">
        <v>0</v>
      </c>
      <c r="Q25" s="78">
        <v>0</v>
      </c>
      <c r="R25" s="78">
        <v>0</v>
      </c>
      <c r="S25" s="77">
        <f t="shared" si="7"/>
        <v>4</v>
      </c>
      <c r="T25" s="82">
        <f t="shared" si="8"/>
        <v>0.125</v>
      </c>
      <c r="U25" s="45"/>
    </row>
    <row r="26" spans="1:21" ht="16.5">
      <c r="A26" s="73">
        <v>20838598</v>
      </c>
      <c r="B26" s="56">
        <v>4</v>
      </c>
      <c r="C26" s="56" t="str">
        <f t="shared" si="0"/>
        <v>MARTÍN ANTONIO MENDOZA ARIAS</v>
      </c>
      <c r="D26" s="55" t="s">
        <v>133</v>
      </c>
      <c r="E26" s="55" t="s">
        <v>134</v>
      </c>
      <c r="F26" s="55" t="s">
        <v>135</v>
      </c>
      <c r="G26" s="34" t="s">
        <v>73</v>
      </c>
      <c r="H26" s="27"/>
      <c r="I26" s="72"/>
      <c r="J26" s="27"/>
      <c r="K26" s="78">
        <v>4</v>
      </c>
      <c r="L26" s="77">
        <v>3</v>
      </c>
      <c r="M26" s="77">
        <v>4</v>
      </c>
      <c r="N26" s="77">
        <v>2</v>
      </c>
      <c r="O26" s="77">
        <v>2</v>
      </c>
      <c r="P26" s="77">
        <v>3</v>
      </c>
      <c r="Q26" s="77">
        <v>3</v>
      </c>
      <c r="R26" s="77">
        <v>1</v>
      </c>
      <c r="S26" s="45"/>
      <c r="T26" s="45"/>
      <c r="U26" s="45"/>
    </row>
    <row r="27" spans="1:21" ht="16.5">
      <c r="A27" s="56">
        <v>21204094</v>
      </c>
      <c r="B27" s="56">
        <v>0</v>
      </c>
      <c r="C27" s="56" t="str">
        <f t="shared" si="0"/>
        <v>BENJAMIN MIRANDA NAVARRO</v>
      </c>
      <c r="D27" s="55" t="s">
        <v>80</v>
      </c>
      <c r="E27" s="55" t="s">
        <v>136</v>
      </c>
      <c r="F27" s="55" t="s">
        <v>137</v>
      </c>
      <c r="G27" s="42" t="s">
        <v>68</v>
      </c>
      <c r="H27" s="43" t="s">
        <v>69</v>
      </c>
      <c r="I27" s="45"/>
      <c r="J27" s="43"/>
      <c r="K27" s="78"/>
      <c r="L27" s="77"/>
      <c r="M27" s="77"/>
      <c r="N27" s="77"/>
      <c r="O27" s="77"/>
      <c r="P27" s="77"/>
      <c r="Q27" s="77"/>
      <c r="R27" s="77"/>
      <c r="S27" s="45"/>
      <c r="T27" s="45"/>
      <c r="U27" s="45"/>
    </row>
    <row r="28" spans="1:21" ht="29.25">
      <c r="A28" s="56">
        <v>21296262</v>
      </c>
      <c r="B28" s="56">
        <v>7</v>
      </c>
      <c r="C28" s="56" t="str">
        <f t="shared" si="0"/>
        <v>JOSEFA IGNACIA MORA PARDO</v>
      </c>
      <c r="D28" s="55" t="s">
        <v>138</v>
      </c>
      <c r="E28" s="55" t="s">
        <v>139</v>
      </c>
      <c r="F28" s="55" t="s">
        <v>140</v>
      </c>
      <c r="G28" s="42" t="s">
        <v>73</v>
      </c>
      <c r="H28" s="27" t="s">
        <v>74</v>
      </c>
      <c r="I28" s="71">
        <v>45760</v>
      </c>
      <c r="J28" s="27" t="s">
        <v>69</v>
      </c>
      <c r="K28" s="78">
        <v>3</v>
      </c>
      <c r="L28" s="78">
        <v>3</v>
      </c>
      <c r="M28" s="78">
        <v>1</v>
      </c>
      <c r="N28" s="78">
        <v>1</v>
      </c>
      <c r="O28" s="78">
        <v>2</v>
      </c>
      <c r="P28" s="78">
        <v>3</v>
      </c>
      <c r="Q28" s="78">
        <v>1</v>
      </c>
      <c r="R28" s="78">
        <v>3</v>
      </c>
      <c r="S28" s="77">
        <f t="shared" ref="S28:S29" si="9">SUM(K28:R28)</f>
        <v>17</v>
      </c>
      <c r="T28" s="82">
        <f t="shared" ref="T28:T29" si="10">S28/32</f>
        <v>0.53125</v>
      </c>
      <c r="U28" s="45"/>
    </row>
    <row r="29" spans="1:21" ht="29.25">
      <c r="A29" s="56">
        <v>20966473</v>
      </c>
      <c r="B29" s="56">
        <v>9</v>
      </c>
      <c r="C29" s="56" t="str">
        <f t="shared" si="0"/>
        <v>RAU NÚÑEZ MEDINA</v>
      </c>
      <c r="D29" s="55" t="s">
        <v>141</v>
      </c>
      <c r="E29" s="55" t="s">
        <v>142</v>
      </c>
      <c r="F29" s="55" t="s">
        <v>143</v>
      </c>
      <c r="G29" s="42" t="s">
        <v>73</v>
      </c>
      <c r="H29" s="27" t="s">
        <v>74</v>
      </c>
      <c r="I29" s="71">
        <v>45760</v>
      </c>
      <c r="J29" s="27" t="s">
        <v>69</v>
      </c>
      <c r="K29" s="78">
        <v>3</v>
      </c>
      <c r="L29" s="78">
        <v>4</v>
      </c>
      <c r="M29" s="78">
        <v>3</v>
      </c>
      <c r="N29" s="78">
        <v>4</v>
      </c>
      <c r="O29" s="78">
        <v>4</v>
      </c>
      <c r="P29" s="78">
        <v>4</v>
      </c>
      <c r="Q29" s="78">
        <v>4</v>
      </c>
      <c r="R29" s="78">
        <v>3</v>
      </c>
      <c r="S29" s="77">
        <f t="shared" si="9"/>
        <v>29</v>
      </c>
      <c r="T29" s="82">
        <f t="shared" si="10"/>
        <v>0.90625</v>
      </c>
      <c r="U29" s="45"/>
    </row>
    <row r="30" spans="1:21" ht="16.5">
      <c r="A30" s="56">
        <v>21730830</v>
      </c>
      <c r="B30" s="56">
        <v>5</v>
      </c>
      <c r="C30" s="56" t="str">
        <f t="shared" si="0"/>
        <v>FLORENCIA TRINIDAD ORIAS GONZÁLEZ</v>
      </c>
      <c r="D30" s="55" t="s">
        <v>144</v>
      </c>
      <c r="E30" s="55" t="s">
        <v>66</v>
      </c>
      <c r="F30" s="55" t="s">
        <v>145</v>
      </c>
      <c r="G30" s="42" t="s">
        <v>101</v>
      </c>
      <c r="H30" s="43" t="s">
        <v>69</v>
      </c>
      <c r="I30" s="45"/>
      <c r="J30" s="43"/>
      <c r="K30" s="78"/>
      <c r="L30" s="77"/>
      <c r="M30" s="77"/>
      <c r="N30" s="77"/>
      <c r="O30" s="77"/>
      <c r="P30" s="77"/>
      <c r="Q30" s="77"/>
      <c r="R30" s="77"/>
      <c r="S30" s="45"/>
      <c r="T30" s="45"/>
      <c r="U30" s="45"/>
    </row>
    <row r="31" spans="1:21" ht="29.25">
      <c r="A31" s="56">
        <v>21327002</v>
      </c>
      <c r="B31" s="56">
        <v>8</v>
      </c>
      <c r="C31" s="56" t="str">
        <f t="shared" si="0"/>
        <v>SERGIO PATRICIO ORTIZ SALGADO</v>
      </c>
      <c r="D31" s="55" t="s">
        <v>146</v>
      </c>
      <c r="E31" s="55" t="s">
        <v>147</v>
      </c>
      <c r="F31" s="55" t="s">
        <v>148</v>
      </c>
      <c r="G31" s="42" t="s">
        <v>73</v>
      </c>
      <c r="H31" s="27" t="s">
        <v>74</v>
      </c>
      <c r="I31" s="71">
        <v>45760</v>
      </c>
      <c r="J31" s="27" t="s">
        <v>69</v>
      </c>
      <c r="K31" s="78">
        <v>0</v>
      </c>
      <c r="L31" s="78">
        <v>0</v>
      </c>
      <c r="M31" s="78">
        <v>0</v>
      </c>
      <c r="N31" s="78">
        <v>0</v>
      </c>
      <c r="O31" s="78">
        <v>0</v>
      </c>
      <c r="P31" s="78">
        <v>0</v>
      </c>
      <c r="Q31" s="78">
        <v>0</v>
      </c>
      <c r="R31" s="78">
        <v>0</v>
      </c>
      <c r="S31" s="77">
        <f t="shared" ref="S31:S32" si="11">SUM(K31:R31)</f>
        <v>0</v>
      </c>
      <c r="T31" s="82">
        <f t="shared" ref="T31:T32" si="12">S31/32</f>
        <v>0</v>
      </c>
      <c r="U31" s="45"/>
    </row>
    <row r="32" spans="1:21" ht="29.25">
      <c r="A32" s="56">
        <v>21070316</v>
      </c>
      <c r="B32" s="56">
        <v>0</v>
      </c>
      <c r="C32" s="56" t="str">
        <f t="shared" si="0"/>
        <v>PATRICIO ALEJANDRO PEDRAZA NAVARRO</v>
      </c>
      <c r="D32" s="55" t="s">
        <v>149</v>
      </c>
      <c r="E32" s="55" t="s">
        <v>136</v>
      </c>
      <c r="F32" s="55" t="s">
        <v>150</v>
      </c>
      <c r="G32" s="42" t="s">
        <v>73</v>
      </c>
      <c r="H32" s="27" t="s">
        <v>74</v>
      </c>
      <c r="I32" s="71">
        <v>45760</v>
      </c>
      <c r="J32" s="27" t="s">
        <v>69</v>
      </c>
      <c r="K32" s="78">
        <v>2</v>
      </c>
      <c r="L32" s="78">
        <v>2</v>
      </c>
      <c r="M32" s="78">
        <v>1</v>
      </c>
      <c r="N32" s="78">
        <v>1</v>
      </c>
      <c r="O32" s="78">
        <v>2</v>
      </c>
      <c r="P32" s="78">
        <v>3</v>
      </c>
      <c r="Q32" s="78">
        <v>4</v>
      </c>
      <c r="R32" s="78">
        <v>1</v>
      </c>
      <c r="S32" s="77">
        <f t="shared" si="11"/>
        <v>16</v>
      </c>
      <c r="T32" s="82">
        <f t="shared" si="12"/>
        <v>0.5</v>
      </c>
      <c r="U32" s="45"/>
    </row>
    <row r="33" spans="1:21" ht="16.5">
      <c r="A33" s="56">
        <v>21588807</v>
      </c>
      <c r="B33" s="56" t="s">
        <v>75</v>
      </c>
      <c r="C33" s="56" t="str">
        <f t="shared" si="0"/>
        <v>MIGUEL ALEJANDRO PEREYRA LIZAMA</v>
      </c>
      <c r="D33" s="55" t="s">
        <v>151</v>
      </c>
      <c r="E33" s="55" t="s">
        <v>152</v>
      </c>
      <c r="F33" s="55" t="s">
        <v>153</v>
      </c>
      <c r="G33" s="42" t="s">
        <v>68</v>
      </c>
      <c r="H33" s="43" t="s">
        <v>69</v>
      </c>
      <c r="I33" s="45"/>
      <c r="J33" s="43"/>
      <c r="K33" s="78"/>
      <c r="L33" s="77"/>
      <c r="M33" s="77"/>
      <c r="N33" s="77"/>
      <c r="O33" s="77"/>
      <c r="P33" s="77"/>
      <c r="Q33" s="77"/>
      <c r="R33" s="77"/>
      <c r="S33" s="45"/>
      <c r="T33" s="45"/>
      <c r="U33" s="45"/>
    </row>
    <row r="34" spans="1:21" ht="16.5">
      <c r="A34" s="56">
        <v>21504876</v>
      </c>
      <c r="B34" s="56">
        <v>4</v>
      </c>
      <c r="C34" s="56" t="str">
        <f t="shared" si="0"/>
        <v>CARLA RENATA REYES NÚÑEZ</v>
      </c>
      <c r="D34" s="55" t="s">
        <v>154</v>
      </c>
      <c r="E34" s="55" t="s">
        <v>141</v>
      </c>
      <c r="F34" s="55" t="s">
        <v>155</v>
      </c>
      <c r="G34" s="42" t="s">
        <v>68</v>
      </c>
      <c r="H34" s="43" t="s">
        <v>69</v>
      </c>
      <c r="I34" s="45"/>
      <c r="J34" s="43"/>
      <c r="K34" s="78"/>
      <c r="L34" s="77"/>
      <c r="M34" s="77"/>
      <c r="N34" s="77"/>
      <c r="O34" s="77"/>
      <c r="P34" s="77"/>
      <c r="Q34" s="77"/>
      <c r="R34" s="77"/>
      <c r="S34" s="45"/>
      <c r="T34" s="45"/>
      <c r="U34" s="45"/>
    </row>
    <row r="35" spans="1:21" ht="29.25">
      <c r="A35" s="56">
        <v>20110355</v>
      </c>
      <c r="B35" s="56" t="s">
        <v>75</v>
      </c>
      <c r="C35" s="56" t="str">
        <f t="shared" si="0"/>
        <v>TOMÁS IGNACIO RUIZ BIAVA</v>
      </c>
      <c r="D35" s="55" t="s">
        <v>156</v>
      </c>
      <c r="E35" s="55" t="s">
        <v>157</v>
      </c>
      <c r="F35" s="55" t="s">
        <v>158</v>
      </c>
      <c r="G35" s="42" t="s">
        <v>73</v>
      </c>
      <c r="H35" s="27" t="s">
        <v>74</v>
      </c>
      <c r="I35" s="71">
        <v>45760</v>
      </c>
      <c r="J35" s="27" t="s">
        <v>69</v>
      </c>
      <c r="K35" s="78">
        <v>3</v>
      </c>
      <c r="L35" s="78">
        <v>3</v>
      </c>
      <c r="M35" s="78">
        <v>1</v>
      </c>
      <c r="N35" s="78">
        <v>4</v>
      </c>
      <c r="O35" s="78">
        <v>3</v>
      </c>
      <c r="P35" s="78">
        <v>3</v>
      </c>
      <c r="Q35" s="78">
        <v>3</v>
      </c>
      <c r="R35" s="78">
        <v>4</v>
      </c>
      <c r="S35" s="77">
        <f t="shared" ref="S35:S36" si="13">SUM(K35:R35)</f>
        <v>24</v>
      </c>
      <c r="T35" s="82">
        <f t="shared" ref="T35:T36" si="14">S35/32</f>
        <v>0.75</v>
      </c>
      <c r="U35" s="45"/>
    </row>
    <row r="36" spans="1:21" ht="29.25">
      <c r="A36" s="56">
        <v>20298775</v>
      </c>
      <c r="B36" s="56">
        <v>3</v>
      </c>
      <c r="C36" s="56" t="str">
        <f t="shared" si="0"/>
        <v>PAULA VALENTINA RUIZ CASTRO</v>
      </c>
      <c r="D36" s="55" t="s">
        <v>156</v>
      </c>
      <c r="E36" s="55" t="s">
        <v>159</v>
      </c>
      <c r="F36" s="55" t="s">
        <v>160</v>
      </c>
      <c r="G36" s="42" t="s">
        <v>73</v>
      </c>
      <c r="H36" s="27" t="s">
        <v>74</v>
      </c>
      <c r="I36" s="71">
        <v>45760</v>
      </c>
      <c r="J36" s="27" t="s">
        <v>69</v>
      </c>
      <c r="K36" s="78">
        <v>4</v>
      </c>
      <c r="L36" s="78">
        <v>4</v>
      </c>
      <c r="M36" s="78">
        <v>4</v>
      </c>
      <c r="N36" s="78">
        <v>0</v>
      </c>
      <c r="O36" s="78">
        <v>0</v>
      </c>
      <c r="P36" s="78">
        <v>0</v>
      </c>
      <c r="Q36" s="78">
        <v>0</v>
      </c>
      <c r="R36" s="78">
        <v>0</v>
      </c>
      <c r="S36" s="77">
        <f t="shared" si="13"/>
        <v>12</v>
      </c>
      <c r="T36" s="82">
        <f t="shared" si="14"/>
        <v>0.375</v>
      </c>
      <c r="U36" s="45"/>
    </row>
    <row r="37" spans="1:21" ht="16.5">
      <c r="A37" s="56">
        <v>20330635</v>
      </c>
      <c r="B37" s="56">
        <v>0</v>
      </c>
      <c r="C37" s="56" t="str">
        <f t="shared" si="0"/>
        <v>FRANCISCO MANUEL SÁNCHEZ ROJAS</v>
      </c>
      <c r="D37" s="55" t="s">
        <v>161</v>
      </c>
      <c r="E37" s="55" t="s">
        <v>162</v>
      </c>
      <c r="F37" s="55" t="s">
        <v>163</v>
      </c>
      <c r="G37" s="42" t="s">
        <v>68</v>
      </c>
      <c r="H37" s="43" t="s">
        <v>69</v>
      </c>
      <c r="I37" s="45"/>
      <c r="J37" s="43"/>
      <c r="K37" s="78"/>
      <c r="L37" s="77"/>
      <c r="M37" s="77"/>
      <c r="N37" s="77"/>
      <c r="O37" s="77"/>
      <c r="P37" s="77"/>
      <c r="Q37" s="77"/>
      <c r="R37" s="77"/>
      <c r="S37" s="45"/>
      <c r="T37" s="45"/>
      <c r="U37" s="45"/>
    </row>
    <row r="38" spans="1:21" ht="16.5">
      <c r="A38" s="56">
        <v>26553167</v>
      </c>
      <c r="B38" s="56">
        <v>9</v>
      </c>
      <c r="C38" s="56" t="str">
        <f t="shared" si="0"/>
        <v>GENNY STEPHANIE SANTANA MAURERA</v>
      </c>
      <c r="D38" s="55" t="s">
        <v>164</v>
      </c>
      <c r="E38" s="55" t="s">
        <v>165</v>
      </c>
      <c r="F38" s="55" t="s">
        <v>166</v>
      </c>
      <c r="G38" s="39" t="s">
        <v>68</v>
      </c>
      <c r="H38" s="43" t="s">
        <v>69</v>
      </c>
      <c r="I38" s="41"/>
      <c r="J38" s="27"/>
      <c r="K38" s="78"/>
      <c r="L38" s="77"/>
      <c r="M38" s="77"/>
      <c r="N38" s="77"/>
      <c r="O38" s="77"/>
      <c r="P38" s="77"/>
      <c r="Q38" s="77"/>
      <c r="R38" s="77"/>
      <c r="S38" s="45"/>
      <c r="T38" s="45"/>
      <c r="U38" s="45"/>
    </row>
    <row r="39" spans="1:21" ht="16.5">
      <c r="A39" s="68">
        <v>20559491</v>
      </c>
      <c r="B39" s="56">
        <v>4</v>
      </c>
      <c r="C39" s="56" t="str">
        <f t="shared" si="0"/>
        <v>CONSTANZA DEL ROSARIO SEPÚLVEDA CORNEJO</v>
      </c>
      <c r="D39" s="67" t="s">
        <v>167</v>
      </c>
      <c r="E39" s="67" t="s">
        <v>168</v>
      </c>
      <c r="F39" s="67" t="s">
        <v>169</v>
      </c>
      <c r="G39" s="39" t="s">
        <v>73</v>
      </c>
      <c r="H39" s="27" t="s">
        <v>74</v>
      </c>
      <c r="I39" s="71">
        <v>45760</v>
      </c>
      <c r="J39" s="27" t="s">
        <v>69</v>
      </c>
      <c r="K39" s="78">
        <v>3</v>
      </c>
      <c r="L39" s="78">
        <v>4</v>
      </c>
      <c r="M39" s="78">
        <v>3</v>
      </c>
      <c r="N39" s="78">
        <v>3</v>
      </c>
      <c r="O39" s="78">
        <v>3</v>
      </c>
      <c r="P39" s="78">
        <v>3</v>
      </c>
      <c r="Q39" s="78">
        <v>2</v>
      </c>
      <c r="R39" s="78">
        <v>1</v>
      </c>
      <c r="S39" s="77">
        <f>SUM(K39:R39)</f>
        <v>22</v>
      </c>
      <c r="T39" s="82">
        <f>S39/32</f>
        <v>0.6875</v>
      </c>
      <c r="U39" s="45"/>
    </row>
    <row r="40" spans="1:21" ht="29.25">
      <c r="A40" s="56">
        <v>21055266</v>
      </c>
      <c r="B40" s="56">
        <v>9</v>
      </c>
      <c r="C40" s="56" t="str">
        <f t="shared" si="0"/>
        <v>JASMÍN ALEJANDRA SEPÚLVEDA SÁEZ</v>
      </c>
      <c r="D40" s="55" t="s">
        <v>167</v>
      </c>
      <c r="E40" s="55" t="s">
        <v>170</v>
      </c>
      <c r="F40" s="55" t="s">
        <v>171</v>
      </c>
      <c r="G40" s="42" t="s">
        <v>73</v>
      </c>
      <c r="H40" s="43" t="s">
        <v>172</v>
      </c>
      <c r="I40" s="45"/>
      <c r="J40" s="43" t="s">
        <v>173</v>
      </c>
      <c r="K40" s="78"/>
      <c r="L40" s="77"/>
      <c r="M40" s="77"/>
      <c r="N40" s="77"/>
      <c r="O40" s="77"/>
      <c r="P40" s="77"/>
      <c r="Q40" s="77"/>
      <c r="R40" s="77"/>
      <c r="S40" s="45"/>
      <c r="T40" s="45"/>
      <c r="U40" s="45"/>
    </row>
    <row r="41" spans="1:21" ht="29.25">
      <c r="A41" s="56">
        <v>20331895</v>
      </c>
      <c r="B41" s="56">
        <v>2</v>
      </c>
      <c r="C41" s="56" t="str">
        <f t="shared" si="0"/>
        <v>LUIS SOTO ORTIZ</v>
      </c>
      <c r="D41" s="55" t="s">
        <v>174</v>
      </c>
      <c r="E41" s="55" t="s">
        <v>146</v>
      </c>
      <c r="F41" s="55" t="s">
        <v>175</v>
      </c>
      <c r="G41" s="42" t="s">
        <v>73</v>
      </c>
      <c r="H41" s="43" t="s">
        <v>172</v>
      </c>
      <c r="I41" s="45"/>
      <c r="J41" s="43" t="s">
        <v>173</v>
      </c>
      <c r="K41" s="78"/>
      <c r="L41" s="77"/>
      <c r="M41" s="77"/>
      <c r="N41" s="77"/>
      <c r="O41" s="77"/>
      <c r="P41" s="77"/>
      <c r="Q41" s="77"/>
      <c r="R41" s="77"/>
      <c r="S41" s="45"/>
      <c r="T41" s="45"/>
      <c r="U41" s="45"/>
    </row>
    <row r="42" spans="1:21" ht="29.25">
      <c r="A42" s="56">
        <v>21284874</v>
      </c>
      <c r="B42" s="56">
        <v>3</v>
      </c>
      <c r="C42" s="56" t="str">
        <f t="shared" si="0"/>
        <v>MILLARAY ISABEL VALDÉS PLAZA</v>
      </c>
      <c r="D42" s="55" t="s">
        <v>176</v>
      </c>
      <c r="E42" s="55" t="s">
        <v>177</v>
      </c>
      <c r="F42" s="55" t="s">
        <v>178</v>
      </c>
      <c r="G42" s="42" t="s">
        <v>73</v>
      </c>
      <c r="H42" s="27" t="s">
        <v>74</v>
      </c>
      <c r="I42" s="71">
        <v>45760</v>
      </c>
      <c r="J42" s="27" t="s">
        <v>69</v>
      </c>
      <c r="K42" s="78">
        <v>4</v>
      </c>
      <c r="L42" s="78">
        <v>4</v>
      </c>
      <c r="M42" s="78">
        <v>4</v>
      </c>
      <c r="N42" s="78">
        <v>4</v>
      </c>
      <c r="O42" s="78">
        <v>2</v>
      </c>
      <c r="P42" s="78">
        <v>4</v>
      </c>
      <c r="Q42" s="78">
        <v>1</v>
      </c>
      <c r="R42" s="78">
        <v>1</v>
      </c>
      <c r="S42" s="77">
        <f>SUM(K42:R42)</f>
        <v>24</v>
      </c>
      <c r="T42" s="82">
        <f>S42/32</f>
        <v>0.75</v>
      </c>
      <c r="U42" s="45"/>
    </row>
    <row r="43" spans="1:21" ht="16.5">
      <c r="A43" s="56">
        <v>20352225</v>
      </c>
      <c r="B43" s="56">
        <v>8</v>
      </c>
      <c r="C43" s="56" t="str">
        <f t="shared" si="0"/>
        <v>VICENTE MATÍAS VALDIVIA RIVERA</v>
      </c>
      <c r="D43" s="55" t="s">
        <v>179</v>
      </c>
      <c r="E43" s="55" t="s">
        <v>180</v>
      </c>
      <c r="F43" s="55" t="s">
        <v>181</v>
      </c>
      <c r="G43" s="42" t="s">
        <v>68</v>
      </c>
      <c r="H43" s="43" t="s">
        <v>69</v>
      </c>
      <c r="I43" s="45"/>
      <c r="J43" s="43"/>
      <c r="K43" s="78"/>
      <c r="L43" s="77"/>
      <c r="M43" s="77"/>
      <c r="N43" s="77"/>
      <c r="O43" s="77"/>
      <c r="P43" s="77"/>
      <c r="Q43" s="77"/>
      <c r="R43" s="77"/>
      <c r="S43" s="45"/>
      <c r="T43" s="45"/>
      <c r="U43" s="45"/>
    </row>
    <row r="44" spans="1:21" ht="16.5">
      <c r="A44" s="56">
        <v>21705627</v>
      </c>
      <c r="B44" s="56">
        <v>6</v>
      </c>
      <c r="C44" s="56" t="str">
        <f t="shared" si="0"/>
        <v>RAFAELA ANTONIA VALENCIA PAREDES</v>
      </c>
      <c r="D44" s="55" t="s">
        <v>182</v>
      </c>
      <c r="E44" s="55" t="s">
        <v>183</v>
      </c>
      <c r="F44" s="55" t="s">
        <v>184</v>
      </c>
      <c r="G44" s="42" t="s">
        <v>68</v>
      </c>
      <c r="H44" s="43" t="s">
        <v>69</v>
      </c>
      <c r="I44" s="45"/>
      <c r="J44" s="43"/>
      <c r="K44" s="78"/>
      <c r="L44" s="77"/>
      <c r="M44" s="77"/>
      <c r="N44" s="77"/>
      <c r="O44" s="77"/>
      <c r="P44" s="77"/>
      <c r="Q44" s="77"/>
      <c r="R44" s="77"/>
      <c r="S44" s="45"/>
      <c r="T44" s="45"/>
      <c r="U44" s="45"/>
    </row>
    <row r="45" spans="1:21" ht="29.25">
      <c r="A45" s="56">
        <v>20474350</v>
      </c>
      <c r="B45" s="56">
        <v>9</v>
      </c>
      <c r="C45" s="56" t="str">
        <f t="shared" si="0"/>
        <v>CAMILA JACQUELINE WALL OLIVARES</v>
      </c>
      <c r="D45" s="55" t="s">
        <v>185</v>
      </c>
      <c r="E45" s="55" t="s">
        <v>186</v>
      </c>
      <c r="F45" s="55" t="s">
        <v>187</v>
      </c>
      <c r="G45" s="42" t="s">
        <v>73</v>
      </c>
      <c r="H45" s="27" t="s">
        <v>74</v>
      </c>
      <c r="I45" s="71">
        <v>45760</v>
      </c>
      <c r="J45" s="27" t="s">
        <v>69</v>
      </c>
      <c r="K45" s="78">
        <v>4</v>
      </c>
      <c r="L45" s="78">
        <v>4</v>
      </c>
      <c r="M45" s="78">
        <v>2</v>
      </c>
      <c r="N45" s="78">
        <v>0</v>
      </c>
      <c r="O45" s="78">
        <v>0</v>
      </c>
      <c r="P45" s="78">
        <v>0</v>
      </c>
      <c r="Q45" s="78">
        <v>0</v>
      </c>
      <c r="R45" s="78">
        <v>0</v>
      </c>
      <c r="S45" s="77">
        <f>SUM(K45:R45)</f>
        <v>10</v>
      </c>
      <c r="T45" s="82">
        <f>S45/32</f>
        <v>0.3125</v>
      </c>
      <c r="U45" s="45"/>
    </row>
    <row r="46" spans="1:21">
      <c r="A46" s="48"/>
      <c r="B46" s="48"/>
      <c r="C46" s="48"/>
      <c r="D46" s="49"/>
      <c r="E46" s="49"/>
      <c r="F46" s="49"/>
      <c r="G46" s="42"/>
      <c r="H46" s="43"/>
      <c r="I46" s="45"/>
      <c r="J46" s="43"/>
      <c r="K46" s="79">
        <f>AVERAGE(K5:K45)</f>
        <v>3.0416666666666665</v>
      </c>
      <c r="L46" s="79">
        <f t="shared" ref="L46:S46" si="15">AVERAGE(L5:L45)</f>
        <v>3</v>
      </c>
      <c r="M46" s="79">
        <f t="shared" si="15"/>
        <v>2.2916666666666665</v>
      </c>
      <c r="N46" s="79">
        <f t="shared" si="15"/>
        <v>2.0416666666666665</v>
      </c>
      <c r="O46" s="79">
        <f t="shared" si="15"/>
        <v>1.9583333333333333</v>
      </c>
      <c r="P46" s="79">
        <f t="shared" si="15"/>
        <v>2.2083333333333335</v>
      </c>
      <c r="Q46" s="79">
        <f t="shared" si="15"/>
        <v>1.875</v>
      </c>
      <c r="R46" s="79">
        <f t="shared" si="15"/>
        <v>1.9166666666666667</v>
      </c>
      <c r="S46" s="79">
        <f t="shared" ref="S46" si="16">AVERAGE(S5:S45)</f>
        <v>18.173913043478262</v>
      </c>
      <c r="T46" s="79">
        <f t="shared" ref="T46" si="17">AVERAGE(T5:T45)</f>
        <v>0.56793478260869568</v>
      </c>
      <c r="U46" s="45"/>
    </row>
    <row r="47" spans="1:21">
      <c r="A47" s="48"/>
      <c r="B47" s="48"/>
      <c r="C47" s="48"/>
      <c r="D47" s="49"/>
      <c r="E47" s="49"/>
      <c r="F47" s="49"/>
      <c r="G47" s="42"/>
      <c r="H47" s="43"/>
      <c r="I47" s="45"/>
      <c r="J47" s="43"/>
      <c r="K47" s="79"/>
      <c r="L47" s="79"/>
      <c r="M47" s="79"/>
      <c r="N47" s="79"/>
      <c r="O47" s="79"/>
      <c r="P47" s="79"/>
      <c r="Q47" s="79"/>
      <c r="R47" s="79"/>
      <c r="S47" s="45"/>
      <c r="T47" s="45"/>
      <c r="U47" s="45"/>
    </row>
    <row r="48" spans="1:21">
      <c r="A48" s="48"/>
      <c r="B48" s="48"/>
      <c r="C48" s="48"/>
      <c r="D48" s="49"/>
      <c r="E48" s="49"/>
      <c r="F48" s="49"/>
      <c r="G48" s="42"/>
      <c r="H48" s="43"/>
      <c r="I48" s="45"/>
      <c r="J48" s="43"/>
      <c r="K48" s="79"/>
      <c r="L48" s="79"/>
      <c r="M48" s="79"/>
      <c r="N48" s="79"/>
      <c r="O48" s="79"/>
      <c r="P48" s="79"/>
      <c r="Q48" s="79"/>
      <c r="R48" s="79"/>
      <c r="S48" s="45"/>
      <c r="T48" s="45"/>
      <c r="U48" s="45"/>
    </row>
    <row r="49" spans="1:21">
      <c r="A49" s="48"/>
      <c r="B49" s="48"/>
      <c r="C49" s="48"/>
      <c r="D49" s="49"/>
      <c r="E49" s="49"/>
      <c r="F49" s="49"/>
      <c r="G49" s="42"/>
      <c r="H49" s="43"/>
      <c r="I49" s="45"/>
      <c r="J49" s="43"/>
      <c r="K49" s="79"/>
      <c r="L49" s="79"/>
      <c r="M49" s="79"/>
      <c r="N49" s="79"/>
      <c r="O49" s="79"/>
      <c r="P49" s="79"/>
      <c r="Q49" s="79"/>
      <c r="R49" s="79"/>
      <c r="S49" s="45"/>
      <c r="T49" s="45"/>
      <c r="U49" s="45"/>
    </row>
    <row r="50" spans="1:21">
      <c r="A50" s="48"/>
      <c r="B50" s="48"/>
      <c r="C50" s="48"/>
      <c r="D50" s="49"/>
      <c r="E50" s="49"/>
      <c r="F50" s="49"/>
      <c r="G50" s="42"/>
      <c r="H50" s="43"/>
      <c r="I50" s="45"/>
      <c r="J50" s="43"/>
      <c r="K50" s="79"/>
      <c r="L50" s="79"/>
      <c r="M50" s="79"/>
      <c r="N50" s="79"/>
      <c r="O50" s="79"/>
      <c r="P50" s="79"/>
      <c r="Q50" s="79"/>
      <c r="R50" s="79"/>
      <c r="S50" s="45"/>
      <c r="T50" s="45"/>
      <c r="U50" s="45"/>
    </row>
    <row r="51" spans="1:21">
      <c r="A51" s="48"/>
      <c r="B51" s="49"/>
      <c r="C51" s="49"/>
      <c r="D51" s="49"/>
      <c r="E51" s="49"/>
      <c r="F51" s="49"/>
      <c r="G51" s="42"/>
      <c r="H51" s="43"/>
      <c r="I51" s="45"/>
      <c r="J51" s="43"/>
      <c r="K51" s="79"/>
      <c r="L51" s="79"/>
      <c r="M51" s="79"/>
      <c r="N51" s="79"/>
      <c r="O51" s="79"/>
      <c r="P51" s="79"/>
      <c r="Q51" s="79"/>
      <c r="R51" s="79"/>
      <c r="S51" s="45"/>
      <c r="T51" s="45"/>
      <c r="U51" s="45"/>
    </row>
    <row r="52" spans="1:21">
      <c r="A52" s="48"/>
      <c r="B52" s="48"/>
      <c r="C52" s="48"/>
      <c r="D52" s="49"/>
      <c r="E52" s="49"/>
      <c r="F52" s="49"/>
      <c r="G52" s="42"/>
      <c r="H52" s="43"/>
      <c r="I52" s="45"/>
      <c r="J52" s="43"/>
      <c r="K52" s="79"/>
      <c r="L52" s="79"/>
      <c r="M52" s="79"/>
      <c r="N52" s="79"/>
      <c r="O52" s="79"/>
      <c r="P52" s="79"/>
      <c r="Q52" s="79"/>
      <c r="R52" s="79"/>
      <c r="S52" s="45"/>
      <c r="T52" s="45"/>
      <c r="U52" s="45"/>
    </row>
    <row r="53" spans="1:21">
      <c r="A53" s="48"/>
      <c r="B53" s="48"/>
      <c r="C53" s="48"/>
      <c r="D53" s="49"/>
      <c r="E53" s="49"/>
      <c r="F53" s="49"/>
      <c r="G53" s="39"/>
      <c r="H53" s="27"/>
      <c r="I53" s="41"/>
      <c r="J53" s="27"/>
      <c r="K53" s="79"/>
      <c r="L53" s="79"/>
      <c r="M53" s="79"/>
      <c r="N53" s="79"/>
      <c r="O53" s="79"/>
      <c r="P53" s="79"/>
      <c r="Q53" s="79"/>
      <c r="R53" s="79"/>
      <c r="S53" s="45"/>
      <c r="T53" s="45"/>
      <c r="U53" s="45"/>
    </row>
    <row r="54" spans="1:21">
      <c r="A54" s="48"/>
      <c r="B54" s="48"/>
      <c r="C54" s="48"/>
      <c r="D54" s="49"/>
      <c r="E54" s="49"/>
      <c r="F54" s="49"/>
      <c r="G54" s="42"/>
      <c r="H54" s="43"/>
      <c r="I54" s="45"/>
      <c r="J54" s="43"/>
      <c r="K54" s="79"/>
      <c r="L54" s="79"/>
      <c r="M54" s="79"/>
      <c r="N54" s="79"/>
      <c r="O54" s="79"/>
      <c r="P54" s="79"/>
      <c r="Q54" s="79"/>
      <c r="R54" s="79"/>
      <c r="S54" s="45"/>
      <c r="T54" s="45"/>
      <c r="U54" s="45"/>
    </row>
    <row r="55" spans="1:21">
      <c r="A55" s="48"/>
      <c r="B55" s="48"/>
      <c r="C55" s="48"/>
      <c r="D55" s="49"/>
      <c r="E55" s="49"/>
      <c r="F55" s="49"/>
      <c r="G55" s="42"/>
      <c r="H55" s="43"/>
      <c r="I55" s="45"/>
      <c r="J55" s="43"/>
      <c r="K55" s="79"/>
      <c r="L55" s="79"/>
      <c r="M55" s="79"/>
      <c r="N55" s="79"/>
      <c r="O55" s="79"/>
      <c r="P55" s="79"/>
      <c r="Q55" s="79"/>
      <c r="R55" s="79"/>
      <c r="S55" s="45"/>
      <c r="T55" s="45"/>
      <c r="U55" s="45"/>
    </row>
    <row r="56" spans="1:21">
      <c r="A56" s="48"/>
      <c r="B56" s="48"/>
      <c r="C56" s="48"/>
      <c r="D56" s="49"/>
      <c r="E56" s="49"/>
      <c r="F56" s="49"/>
      <c r="G56" s="42"/>
      <c r="H56" s="43"/>
      <c r="I56" s="45"/>
      <c r="J56" s="43"/>
      <c r="K56" s="79"/>
      <c r="L56" s="79"/>
      <c r="M56" s="79"/>
      <c r="N56" s="79"/>
      <c r="O56" s="79"/>
      <c r="P56" s="79"/>
      <c r="Q56" s="79"/>
      <c r="R56" s="79"/>
      <c r="S56" s="45"/>
      <c r="T56" s="45"/>
      <c r="U56" s="45"/>
    </row>
    <row r="57" spans="1:21">
      <c r="A57" s="48"/>
      <c r="B57" s="49"/>
      <c r="C57" s="49"/>
      <c r="D57" s="49"/>
      <c r="E57" s="49"/>
      <c r="F57" s="49"/>
      <c r="G57" s="42"/>
      <c r="H57" s="43"/>
      <c r="I57" s="45"/>
      <c r="J57" s="43"/>
      <c r="K57" s="79"/>
      <c r="L57" s="79"/>
      <c r="M57" s="79"/>
      <c r="N57" s="79"/>
      <c r="O57" s="79"/>
      <c r="P57" s="79"/>
      <c r="Q57" s="79"/>
      <c r="R57" s="79"/>
      <c r="S57" s="45"/>
      <c r="T57" s="45"/>
      <c r="U57" s="45"/>
    </row>
    <row r="58" spans="1:21">
      <c r="A58" s="48"/>
      <c r="B58" s="48"/>
      <c r="C58" s="48"/>
      <c r="D58" s="49"/>
      <c r="E58" s="49"/>
      <c r="F58" s="49"/>
      <c r="G58" s="42"/>
      <c r="H58" s="43"/>
      <c r="I58" s="45"/>
      <c r="J58" s="43"/>
      <c r="K58" s="79"/>
      <c r="L58" s="79"/>
      <c r="M58" s="79"/>
      <c r="N58" s="79"/>
      <c r="O58" s="79"/>
      <c r="P58" s="79"/>
      <c r="Q58" s="79"/>
      <c r="R58" s="79"/>
      <c r="S58" s="45"/>
      <c r="T58" s="45"/>
      <c r="U58" s="45"/>
    </row>
    <row r="59" spans="1:21">
      <c r="A59" s="48"/>
      <c r="B59" s="48"/>
      <c r="C59" s="48"/>
      <c r="D59" s="49"/>
      <c r="E59" s="49"/>
      <c r="F59" s="49"/>
      <c r="G59" s="42"/>
      <c r="H59" s="43"/>
      <c r="I59" s="45"/>
      <c r="J59" s="43"/>
      <c r="K59" s="79"/>
      <c r="L59" s="79"/>
      <c r="M59" s="79"/>
      <c r="N59" s="79"/>
      <c r="O59" s="79"/>
      <c r="P59" s="79"/>
      <c r="Q59" s="79"/>
      <c r="R59" s="79"/>
      <c r="S59" s="45"/>
      <c r="T59" s="45"/>
      <c r="U59" s="45"/>
    </row>
    <row r="60" spans="1:21">
      <c r="A60" s="48"/>
      <c r="B60" s="49"/>
      <c r="C60" s="49"/>
      <c r="D60" s="49"/>
      <c r="E60" s="49"/>
      <c r="F60" s="49"/>
      <c r="G60" s="39"/>
      <c r="H60" s="27"/>
      <c r="I60" s="41"/>
      <c r="J60" s="27"/>
      <c r="K60" s="79"/>
      <c r="L60" s="79"/>
      <c r="M60" s="79"/>
      <c r="N60" s="79"/>
      <c r="O60" s="79"/>
      <c r="P60" s="79"/>
      <c r="Q60" s="79"/>
      <c r="R60" s="79"/>
      <c r="S60" s="45"/>
      <c r="T60" s="45"/>
      <c r="U60" s="45"/>
    </row>
    <row r="61" spans="1:21">
      <c r="A61" s="48"/>
      <c r="B61" s="48"/>
      <c r="C61" s="48"/>
      <c r="D61" s="49"/>
      <c r="E61" s="49"/>
      <c r="F61" s="49"/>
      <c r="G61" s="39"/>
      <c r="H61" s="27"/>
      <c r="I61" s="41"/>
      <c r="J61" s="27"/>
      <c r="K61" s="79"/>
      <c r="L61" s="79"/>
      <c r="M61" s="79"/>
      <c r="N61" s="79"/>
      <c r="O61" s="79"/>
      <c r="P61" s="79"/>
      <c r="Q61" s="79"/>
      <c r="R61" s="79"/>
      <c r="S61" s="45"/>
      <c r="T61" s="45"/>
      <c r="U61" s="45"/>
    </row>
    <row r="62" spans="1:21">
      <c r="A62" s="48"/>
      <c r="B62" s="48"/>
      <c r="C62" s="48"/>
      <c r="D62" s="49"/>
      <c r="E62" s="49"/>
      <c r="F62" s="49"/>
      <c r="G62" s="42"/>
      <c r="H62" s="43"/>
      <c r="I62" s="45"/>
      <c r="J62" s="43"/>
      <c r="K62" s="79"/>
      <c r="L62" s="79"/>
      <c r="M62" s="79"/>
      <c r="N62" s="79"/>
      <c r="O62" s="79"/>
      <c r="P62" s="79"/>
      <c r="Q62" s="79"/>
      <c r="R62" s="79"/>
      <c r="S62" s="45"/>
      <c r="T62" s="45"/>
      <c r="U62" s="45"/>
    </row>
    <row r="63" spans="1:21">
      <c r="A63" s="48"/>
      <c r="B63" s="48"/>
      <c r="C63" s="48"/>
      <c r="D63" s="49"/>
      <c r="E63" s="49"/>
      <c r="F63" s="49"/>
      <c r="G63" s="42"/>
      <c r="H63" s="43"/>
      <c r="I63" s="45"/>
      <c r="J63" s="43"/>
      <c r="K63" s="79"/>
      <c r="L63" s="79"/>
      <c r="M63" s="79"/>
      <c r="N63" s="79"/>
      <c r="O63" s="79"/>
      <c r="P63" s="79"/>
      <c r="Q63" s="79"/>
      <c r="R63" s="79"/>
      <c r="S63" s="45"/>
      <c r="T63" s="45"/>
      <c r="U63" s="45"/>
    </row>
    <row r="64" spans="1:21">
      <c r="A64" s="48"/>
      <c r="B64" s="48"/>
      <c r="C64" s="48"/>
      <c r="D64" s="49"/>
      <c r="E64" s="49"/>
      <c r="F64" s="49"/>
      <c r="G64" s="42"/>
      <c r="H64" s="43"/>
      <c r="I64" s="45"/>
      <c r="J64" s="43"/>
      <c r="K64" s="79"/>
      <c r="L64" s="79"/>
      <c r="M64" s="79"/>
      <c r="N64" s="79"/>
      <c r="O64" s="79"/>
      <c r="P64" s="79"/>
      <c r="Q64" s="79"/>
      <c r="R64" s="79"/>
      <c r="S64" s="45"/>
      <c r="T64" s="45"/>
      <c r="U64" s="45"/>
    </row>
    <row r="65" spans="1:21">
      <c r="A65" s="48"/>
      <c r="B65" s="48"/>
      <c r="C65" s="48"/>
      <c r="D65" s="49"/>
      <c r="E65" s="49"/>
      <c r="F65" s="49"/>
      <c r="G65" s="42"/>
      <c r="H65" s="27"/>
      <c r="I65" s="41"/>
      <c r="J65" s="43"/>
      <c r="K65" s="79"/>
      <c r="L65" s="79"/>
      <c r="M65" s="79"/>
      <c r="N65" s="79"/>
      <c r="O65" s="79"/>
      <c r="P65" s="79"/>
      <c r="Q65" s="79"/>
      <c r="R65" s="79"/>
      <c r="S65" s="45"/>
      <c r="T65" s="45"/>
      <c r="U65" s="45"/>
    </row>
    <row r="66" spans="1:21">
      <c r="A66" s="48"/>
      <c r="B66" s="49"/>
      <c r="C66" s="49"/>
      <c r="D66" s="49"/>
      <c r="E66" s="49"/>
      <c r="F66" s="49"/>
      <c r="G66" s="42"/>
      <c r="H66" s="43"/>
      <c r="I66" s="45"/>
      <c r="J66" s="43"/>
      <c r="K66" s="79"/>
      <c r="L66" s="79"/>
      <c r="M66" s="79"/>
      <c r="N66" s="79"/>
      <c r="O66" s="79"/>
      <c r="P66" s="79"/>
      <c r="Q66" s="79"/>
      <c r="R66" s="79"/>
      <c r="S66" s="45"/>
      <c r="T66" s="45"/>
      <c r="U66" s="45"/>
    </row>
    <row r="67" spans="1:21">
      <c r="A67" s="48"/>
      <c r="B67" s="48"/>
      <c r="C67" s="48"/>
      <c r="D67" s="49"/>
      <c r="E67" s="49"/>
      <c r="F67" s="49"/>
      <c r="G67" s="42"/>
      <c r="H67" s="43"/>
      <c r="I67" s="45"/>
      <c r="J67" s="43"/>
      <c r="K67" s="79"/>
      <c r="L67" s="79"/>
      <c r="M67" s="79"/>
      <c r="N67" s="79"/>
      <c r="O67" s="79"/>
      <c r="P67" s="79"/>
      <c r="Q67" s="79"/>
      <c r="R67" s="79"/>
      <c r="S67" s="45"/>
      <c r="T67" s="45"/>
      <c r="U67" s="45"/>
    </row>
    <row r="68" spans="1:21">
      <c r="A68" s="48"/>
      <c r="B68" s="48"/>
      <c r="C68" s="48"/>
      <c r="D68" s="49"/>
      <c r="E68" s="49"/>
      <c r="F68" s="49"/>
      <c r="G68" s="42"/>
      <c r="H68" s="43"/>
      <c r="I68" s="45"/>
      <c r="J68" s="43"/>
      <c r="K68" s="79"/>
      <c r="L68" s="79"/>
      <c r="M68" s="79"/>
      <c r="N68" s="79"/>
      <c r="O68" s="79"/>
      <c r="P68" s="79"/>
      <c r="Q68" s="79"/>
      <c r="R68" s="79"/>
      <c r="S68" s="45"/>
      <c r="T68" s="45"/>
      <c r="U68" s="45"/>
    </row>
    <row r="69" spans="1:21">
      <c r="A69" s="48"/>
      <c r="B69" s="48"/>
      <c r="C69" s="48"/>
      <c r="D69" s="49"/>
      <c r="E69" s="49"/>
      <c r="F69" s="49"/>
      <c r="G69" s="42"/>
      <c r="H69" s="43"/>
      <c r="I69" s="45"/>
      <c r="J69" s="43"/>
      <c r="K69" s="79"/>
      <c r="L69" s="79"/>
      <c r="M69" s="79"/>
      <c r="N69" s="79"/>
      <c r="O69" s="79"/>
      <c r="P69" s="79"/>
      <c r="Q69" s="79"/>
      <c r="R69" s="79"/>
      <c r="S69" s="45"/>
      <c r="T69" s="45"/>
      <c r="U69" s="45"/>
    </row>
    <row r="70" spans="1:21">
      <c r="A70" s="48"/>
      <c r="B70" s="48"/>
      <c r="C70" s="48"/>
      <c r="D70" s="49"/>
      <c r="E70" s="49"/>
      <c r="F70" s="49"/>
      <c r="G70" s="42"/>
      <c r="H70" s="43"/>
      <c r="I70" s="45"/>
      <c r="J70" s="43"/>
      <c r="K70" s="79"/>
      <c r="L70" s="79"/>
      <c r="M70" s="79"/>
      <c r="N70" s="79"/>
      <c r="O70" s="79"/>
      <c r="P70" s="79"/>
      <c r="Q70" s="79"/>
      <c r="R70" s="79"/>
      <c r="S70" s="45"/>
      <c r="T70" s="45"/>
      <c r="U70" s="45"/>
    </row>
    <row r="71" spans="1:21">
      <c r="A71" s="48"/>
      <c r="B71" s="49"/>
      <c r="C71" s="49"/>
      <c r="D71" s="49"/>
      <c r="E71" s="49"/>
      <c r="F71" s="49"/>
      <c r="G71" s="42"/>
      <c r="H71" s="43"/>
      <c r="I71" s="45"/>
      <c r="J71" s="43"/>
      <c r="K71" s="79"/>
      <c r="L71" s="79"/>
      <c r="M71" s="79"/>
      <c r="N71" s="79"/>
      <c r="O71" s="79"/>
      <c r="P71" s="79"/>
      <c r="Q71" s="79"/>
      <c r="R71" s="79"/>
      <c r="S71" s="45"/>
      <c r="T71" s="45"/>
      <c r="U71" s="45"/>
    </row>
    <row r="72" spans="1:21">
      <c r="A72" s="48"/>
      <c r="B72" s="48"/>
      <c r="C72" s="48"/>
      <c r="D72" s="49"/>
      <c r="E72" s="49"/>
      <c r="F72" s="49"/>
      <c r="G72" s="42"/>
      <c r="H72" s="43"/>
      <c r="I72" s="45"/>
      <c r="J72" s="43"/>
      <c r="K72" s="79"/>
      <c r="L72" s="79"/>
      <c r="M72" s="79"/>
      <c r="N72" s="79"/>
      <c r="O72" s="79"/>
      <c r="P72" s="79"/>
      <c r="Q72" s="79"/>
      <c r="R72" s="79"/>
      <c r="S72" s="45"/>
      <c r="T72" s="45"/>
      <c r="U72" s="45"/>
    </row>
    <row r="73" spans="1:21">
      <c r="A73" s="48"/>
      <c r="B73" s="48"/>
      <c r="C73" s="48"/>
      <c r="D73" s="49"/>
      <c r="E73" s="49"/>
      <c r="F73" s="49"/>
      <c r="G73" s="42"/>
      <c r="H73" s="43"/>
      <c r="I73" s="45"/>
      <c r="J73" s="43"/>
      <c r="K73" s="79"/>
      <c r="L73" s="79"/>
      <c r="M73" s="79"/>
      <c r="N73" s="79"/>
      <c r="O73" s="79"/>
      <c r="P73" s="79"/>
      <c r="Q73" s="79"/>
      <c r="R73" s="79"/>
      <c r="S73" s="45"/>
      <c r="T73" s="45"/>
      <c r="U73" s="45"/>
    </row>
    <row r="74" spans="1:21">
      <c r="A74" s="48"/>
      <c r="B74" s="48"/>
      <c r="C74" s="48"/>
      <c r="D74" s="49"/>
      <c r="E74" s="49"/>
      <c r="F74" s="49"/>
      <c r="G74" s="39"/>
      <c r="H74" s="27"/>
      <c r="I74" s="41"/>
      <c r="J74" s="27"/>
      <c r="K74" s="79"/>
      <c r="L74" s="79"/>
      <c r="M74" s="79"/>
      <c r="N74" s="79"/>
      <c r="O74" s="79"/>
      <c r="P74" s="79"/>
      <c r="Q74" s="79"/>
      <c r="R74" s="79"/>
      <c r="S74" s="45"/>
      <c r="T74" s="45"/>
      <c r="U74" s="45"/>
    </row>
    <row r="75" spans="1:21">
      <c r="A75" s="48"/>
      <c r="B75" s="48"/>
      <c r="C75" s="48"/>
      <c r="D75" s="49"/>
      <c r="E75" s="49"/>
      <c r="F75" s="49"/>
      <c r="G75" s="42"/>
      <c r="H75" s="43"/>
      <c r="I75" s="45"/>
      <c r="J75" s="43"/>
      <c r="K75" s="76"/>
      <c r="L75" s="80"/>
      <c r="M75" s="80"/>
      <c r="N75" s="80"/>
      <c r="O75" s="80"/>
      <c r="P75" s="80"/>
      <c r="Q75" s="80"/>
      <c r="R75" s="80"/>
      <c r="S75" s="35"/>
      <c r="T75" s="35"/>
      <c r="U75" s="35"/>
    </row>
    <row r="76" spans="1:21">
      <c r="A76" s="48"/>
      <c r="B76" s="48"/>
      <c r="C76" s="48"/>
      <c r="D76" s="49"/>
      <c r="E76" s="49"/>
      <c r="F76" s="49"/>
      <c r="G76" s="42"/>
      <c r="H76" s="43"/>
      <c r="I76" s="45"/>
      <c r="J76" s="43"/>
      <c r="K76" s="76"/>
      <c r="L76" s="80"/>
      <c r="M76" s="80"/>
      <c r="N76" s="80"/>
      <c r="O76" s="80"/>
      <c r="P76" s="80"/>
      <c r="Q76" s="80"/>
      <c r="R76" s="80"/>
      <c r="S76" s="35"/>
      <c r="T76" s="35"/>
      <c r="U76" s="35"/>
    </row>
    <row r="77" spans="1:21">
      <c r="A77" s="48"/>
      <c r="B77" s="48"/>
      <c r="C77" s="48"/>
      <c r="D77" s="49"/>
      <c r="E77" s="49"/>
      <c r="F77" s="49"/>
      <c r="G77" s="31"/>
      <c r="H77" s="35"/>
      <c r="I77" s="38"/>
      <c r="J77" s="35"/>
      <c r="K77" s="80"/>
      <c r="L77" s="80"/>
      <c r="M77" s="80"/>
      <c r="N77" s="80"/>
      <c r="O77" s="80"/>
      <c r="P77" s="80"/>
      <c r="Q77" s="80"/>
      <c r="R77" s="80"/>
      <c r="S77" s="35"/>
      <c r="T77" s="35"/>
      <c r="U77" s="35"/>
    </row>
    <row r="78" spans="1:21">
      <c r="A78" s="48"/>
      <c r="B78" s="48"/>
      <c r="C78" s="48"/>
      <c r="D78" s="49"/>
      <c r="E78" s="49"/>
      <c r="F78" s="49"/>
      <c r="G78" s="31"/>
      <c r="H78" s="35"/>
      <c r="I78" s="38"/>
      <c r="J78" s="35"/>
      <c r="K78" s="80"/>
      <c r="L78" s="80"/>
      <c r="M78" s="80"/>
      <c r="N78" s="80"/>
      <c r="O78" s="80"/>
      <c r="P78" s="80"/>
      <c r="Q78" s="80"/>
      <c r="R78" s="80"/>
      <c r="S78" s="35"/>
      <c r="T78" s="35"/>
      <c r="U78" s="35"/>
    </row>
    <row r="79" spans="1:21">
      <c r="A79" s="48"/>
      <c r="B79" s="48"/>
      <c r="C79" s="48"/>
      <c r="D79" s="49"/>
      <c r="E79" s="49"/>
      <c r="F79" s="49"/>
      <c r="G79" s="31"/>
      <c r="H79" s="35"/>
      <c r="I79" s="38"/>
      <c r="J79" s="35"/>
      <c r="K79" s="80"/>
      <c r="L79" s="80"/>
      <c r="M79" s="80"/>
      <c r="N79" s="80"/>
      <c r="O79" s="80"/>
      <c r="P79" s="80"/>
      <c r="Q79" s="80"/>
      <c r="R79" s="80"/>
      <c r="S79" s="35"/>
      <c r="T79" s="35"/>
      <c r="U79" s="35"/>
    </row>
    <row r="80" spans="1:21">
      <c r="A80" s="48"/>
      <c r="B80" s="48"/>
      <c r="C80" s="48"/>
      <c r="D80" s="49"/>
      <c r="E80" s="49"/>
      <c r="F80" s="49"/>
      <c r="G80" s="31"/>
      <c r="H80" s="35"/>
      <c r="I80" s="38"/>
      <c r="J80" s="35"/>
      <c r="K80" s="80"/>
      <c r="L80" s="80"/>
      <c r="M80" s="80"/>
      <c r="N80" s="80"/>
      <c r="O80" s="80"/>
      <c r="P80" s="80"/>
      <c r="Q80" s="80"/>
      <c r="R80" s="80"/>
      <c r="S80" s="35"/>
      <c r="T80" s="35"/>
      <c r="U80" s="35"/>
    </row>
    <row r="81" spans="1:21">
      <c r="A81" s="48"/>
      <c r="B81" s="48"/>
      <c r="C81" s="48"/>
      <c r="D81" s="49"/>
      <c r="E81" s="49"/>
      <c r="F81" s="49"/>
      <c r="G81" s="39"/>
      <c r="H81" s="27"/>
      <c r="I81" s="41"/>
      <c r="J81" s="27"/>
      <c r="K81" s="70"/>
      <c r="L81" s="70"/>
      <c r="M81" s="70"/>
      <c r="N81" s="70"/>
      <c r="O81" s="70"/>
      <c r="P81" s="70"/>
      <c r="Q81" s="70"/>
      <c r="R81" s="70"/>
      <c r="S81" s="27"/>
      <c r="T81" s="27"/>
      <c r="U81" s="27"/>
    </row>
    <row r="82" spans="1:21">
      <c r="A82" s="48"/>
      <c r="B82" s="48"/>
      <c r="C82" s="48"/>
      <c r="D82" s="49"/>
      <c r="E82" s="49"/>
      <c r="F82" s="49"/>
      <c r="G82" s="39"/>
      <c r="H82" s="27"/>
      <c r="I82" s="41"/>
      <c r="J82" s="27"/>
      <c r="K82" s="70"/>
      <c r="L82" s="70"/>
      <c r="M82" s="70"/>
      <c r="N82" s="70"/>
      <c r="O82" s="70"/>
      <c r="P82" s="70"/>
      <c r="Q82" s="70"/>
      <c r="R82" s="70"/>
      <c r="S82" s="27"/>
      <c r="T82" s="27"/>
      <c r="U82" s="27"/>
    </row>
    <row r="83" spans="1:21">
      <c r="A83" s="48"/>
      <c r="B83" s="48"/>
      <c r="C83" s="48"/>
      <c r="D83" s="49"/>
      <c r="E83" s="49"/>
      <c r="F83" s="49"/>
      <c r="G83" s="31"/>
      <c r="H83" s="35"/>
      <c r="I83" s="38"/>
      <c r="J83" s="35"/>
      <c r="K83" s="80"/>
      <c r="L83" s="80"/>
      <c r="M83" s="80"/>
      <c r="N83" s="80"/>
      <c r="O83" s="80"/>
      <c r="P83" s="80"/>
      <c r="Q83" s="80"/>
      <c r="R83" s="80"/>
      <c r="S83" s="35"/>
      <c r="T83" s="35"/>
      <c r="U83" s="35"/>
    </row>
    <row r="84" spans="1:21">
      <c r="A84" s="48"/>
      <c r="B84" s="49"/>
      <c r="C84" s="49"/>
      <c r="D84" s="49"/>
      <c r="E84" s="49"/>
      <c r="F84" s="49"/>
      <c r="G84" s="31"/>
      <c r="H84" s="35"/>
      <c r="I84" s="38"/>
      <c r="J84" s="35"/>
      <c r="K84" s="80"/>
      <c r="L84" s="80"/>
      <c r="M84" s="80"/>
      <c r="N84" s="80"/>
      <c r="O84" s="80"/>
      <c r="P84" s="80"/>
      <c r="Q84" s="80"/>
      <c r="R84" s="80"/>
      <c r="S84" s="35"/>
      <c r="T84" s="35"/>
      <c r="U84" s="35"/>
    </row>
    <row r="85" spans="1:21">
      <c r="A85" s="48"/>
      <c r="B85" s="48"/>
      <c r="C85" s="48"/>
      <c r="D85" s="49"/>
      <c r="E85" s="49"/>
      <c r="F85" s="49"/>
      <c r="G85" s="31"/>
      <c r="H85" s="35"/>
      <c r="I85" s="38"/>
      <c r="J85" s="35"/>
      <c r="K85" s="80"/>
      <c r="L85" s="80"/>
      <c r="M85" s="80"/>
      <c r="N85" s="80"/>
      <c r="O85" s="80"/>
      <c r="P85" s="80"/>
      <c r="Q85" s="80"/>
      <c r="R85" s="80"/>
      <c r="S85" s="35"/>
      <c r="T85" s="35"/>
      <c r="U85" s="35"/>
    </row>
    <row r="86" spans="1:21">
      <c r="A86" s="48"/>
      <c r="B86" s="48"/>
      <c r="C86" s="48"/>
      <c r="D86" s="49"/>
      <c r="E86" s="49"/>
      <c r="F86" s="49"/>
      <c r="G86" s="31"/>
      <c r="H86" s="35"/>
      <c r="I86" s="38"/>
      <c r="J86" s="35"/>
      <c r="K86" s="80"/>
      <c r="L86" s="80"/>
      <c r="M86" s="80"/>
      <c r="N86" s="80"/>
      <c r="O86" s="80"/>
      <c r="P86" s="80"/>
      <c r="Q86" s="80"/>
      <c r="R86" s="80"/>
      <c r="S86" s="35"/>
      <c r="T86" s="35"/>
      <c r="U86" s="35"/>
    </row>
    <row r="87" spans="1:21">
      <c r="A87" s="48"/>
      <c r="B87" s="48"/>
      <c r="C87" s="48"/>
      <c r="D87" s="49"/>
      <c r="E87" s="49"/>
      <c r="F87" s="49"/>
      <c r="G87" s="31"/>
      <c r="H87" s="35"/>
      <c r="I87" s="38"/>
      <c r="J87" s="35"/>
      <c r="K87" s="80"/>
      <c r="L87" s="80"/>
      <c r="M87" s="80"/>
      <c r="N87" s="80"/>
      <c r="O87" s="80"/>
      <c r="P87" s="80"/>
      <c r="Q87" s="80"/>
      <c r="R87" s="80"/>
      <c r="S87" s="35"/>
      <c r="T87" s="35"/>
      <c r="U87" s="35"/>
    </row>
    <row r="88" spans="1:21">
      <c r="A88" s="48"/>
      <c r="B88" s="48"/>
      <c r="C88" s="48"/>
      <c r="D88" s="49"/>
      <c r="E88" s="49"/>
      <c r="F88" s="49"/>
      <c r="G88" s="31"/>
      <c r="H88" s="35"/>
      <c r="I88" s="38"/>
      <c r="J88" s="35"/>
      <c r="K88" s="80"/>
      <c r="L88" s="80"/>
      <c r="M88" s="80"/>
      <c r="N88" s="80"/>
      <c r="O88" s="80"/>
      <c r="P88" s="80"/>
      <c r="Q88" s="80"/>
      <c r="R88" s="80"/>
      <c r="S88" s="35"/>
      <c r="T88" s="35"/>
      <c r="U88" s="35"/>
    </row>
    <row r="89" spans="1:21">
      <c r="A89" s="48"/>
      <c r="B89" s="48"/>
      <c r="C89" s="48"/>
      <c r="D89" s="49"/>
      <c r="E89" s="49"/>
      <c r="F89" s="49"/>
      <c r="G89" s="31"/>
      <c r="H89" s="35"/>
      <c r="I89" s="38"/>
      <c r="J89" s="35"/>
      <c r="K89" s="80"/>
      <c r="L89" s="80"/>
      <c r="M89" s="80"/>
      <c r="N89" s="80"/>
      <c r="O89" s="80"/>
      <c r="P89" s="80"/>
      <c r="Q89" s="80"/>
      <c r="R89" s="80"/>
      <c r="S89" s="35"/>
      <c r="T89" s="35"/>
      <c r="U89" s="35"/>
    </row>
    <row r="90" spans="1:21">
      <c r="A90" s="48"/>
      <c r="B90" s="48"/>
      <c r="C90" s="48"/>
      <c r="D90" s="49"/>
      <c r="E90" s="49"/>
      <c r="F90" s="49"/>
      <c r="G90" s="31"/>
      <c r="H90" s="35"/>
      <c r="I90" s="38"/>
      <c r="J90" s="35"/>
      <c r="K90" s="80"/>
      <c r="L90" s="80"/>
      <c r="M90" s="80"/>
      <c r="N90" s="80"/>
      <c r="O90" s="80"/>
      <c r="P90" s="80"/>
      <c r="Q90" s="80"/>
      <c r="R90" s="80"/>
      <c r="S90" s="35"/>
      <c r="T90" s="35"/>
      <c r="U90" s="35"/>
    </row>
    <row r="91" spans="1:21">
      <c r="A91" s="48"/>
      <c r="B91" s="48"/>
      <c r="C91" s="48"/>
      <c r="D91" s="49"/>
      <c r="E91" s="49"/>
      <c r="F91" s="49"/>
      <c r="G91" s="31"/>
      <c r="H91" s="35"/>
      <c r="I91" s="38"/>
      <c r="J91" s="35"/>
      <c r="K91" s="80"/>
      <c r="L91" s="80"/>
      <c r="M91" s="80"/>
      <c r="N91" s="80"/>
      <c r="O91" s="80"/>
      <c r="P91" s="80"/>
      <c r="Q91" s="80"/>
      <c r="R91" s="80"/>
      <c r="S91" s="35"/>
      <c r="T91" s="35"/>
      <c r="U91" s="35"/>
    </row>
    <row r="92" spans="1:21">
      <c r="A92" s="36"/>
      <c r="B92" s="36"/>
      <c r="C92" s="36"/>
      <c r="D92" s="37"/>
      <c r="E92" s="37"/>
      <c r="F92" s="37"/>
      <c r="G92" s="39"/>
      <c r="H92" s="27"/>
      <c r="I92" s="41"/>
      <c r="J92" s="27"/>
      <c r="K92" s="70"/>
      <c r="L92" s="70"/>
      <c r="M92" s="70"/>
      <c r="N92" s="70"/>
      <c r="O92" s="70"/>
      <c r="P92" s="70"/>
      <c r="Q92" s="70"/>
      <c r="R92" s="70"/>
      <c r="S92" s="27"/>
      <c r="T92" s="27"/>
      <c r="U92" s="27"/>
    </row>
    <row r="93" spans="1:21">
      <c r="A93" s="36"/>
      <c r="B93" s="36"/>
      <c r="C93" s="36"/>
      <c r="D93" s="37"/>
      <c r="E93" s="37"/>
      <c r="F93" s="37"/>
      <c r="G93" s="31"/>
      <c r="H93" s="27"/>
      <c r="I93" s="41"/>
      <c r="J93" s="35"/>
      <c r="K93" s="80"/>
      <c r="L93" s="80"/>
      <c r="M93" s="80"/>
      <c r="N93" s="80"/>
      <c r="O93" s="80"/>
      <c r="P93" s="80"/>
      <c r="Q93" s="80"/>
      <c r="R93" s="80"/>
      <c r="S93" s="35"/>
      <c r="T93" s="35"/>
      <c r="U93" s="35"/>
    </row>
    <row r="94" spans="1:21">
      <c r="A94" s="36"/>
      <c r="B94" s="36"/>
      <c r="C94" s="36"/>
      <c r="D94" s="37"/>
      <c r="E94" s="37"/>
      <c r="F94" s="37"/>
      <c r="G94" s="31"/>
      <c r="H94" s="35"/>
      <c r="I94" s="38"/>
      <c r="J94" s="35"/>
      <c r="K94" s="80"/>
      <c r="L94" s="80"/>
      <c r="M94" s="80"/>
      <c r="N94" s="80"/>
      <c r="O94" s="80"/>
      <c r="P94" s="80"/>
      <c r="Q94" s="80"/>
      <c r="R94" s="80"/>
      <c r="S94" s="35"/>
      <c r="T94" s="35"/>
      <c r="U94" s="35"/>
    </row>
    <row r="95" spans="1:21">
      <c r="A95" s="36"/>
      <c r="B95" s="36"/>
      <c r="C95" s="36"/>
      <c r="D95" s="37"/>
      <c r="E95" s="37"/>
      <c r="F95" s="37"/>
      <c r="G95" s="39"/>
      <c r="H95" s="27"/>
      <c r="I95" s="41"/>
      <c r="J95" s="27"/>
      <c r="K95" s="70"/>
      <c r="L95" s="70"/>
      <c r="M95" s="70"/>
      <c r="N95" s="70"/>
      <c r="O95" s="70"/>
      <c r="P95" s="70"/>
      <c r="Q95" s="70"/>
      <c r="R95" s="70"/>
      <c r="S95" s="27"/>
      <c r="T95" s="27"/>
      <c r="U95" s="27"/>
    </row>
    <row r="96" spans="1:21">
      <c r="A96" s="36"/>
      <c r="B96" s="36"/>
      <c r="C96" s="36"/>
      <c r="D96" s="37"/>
      <c r="E96" s="37"/>
      <c r="F96" s="37"/>
      <c r="G96" s="31"/>
      <c r="H96" s="35"/>
      <c r="I96" s="38"/>
      <c r="J96" s="35"/>
      <c r="K96" s="80"/>
      <c r="L96" s="80"/>
      <c r="M96" s="80"/>
      <c r="N96" s="80"/>
      <c r="O96" s="80"/>
      <c r="P96" s="80"/>
      <c r="Q96" s="80"/>
      <c r="R96" s="80"/>
      <c r="S96" s="35"/>
      <c r="T96" s="35"/>
      <c r="U96" s="35"/>
    </row>
    <row r="97" spans="1:21">
      <c r="A97" s="36"/>
      <c r="B97" s="36"/>
      <c r="C97" s="36"/>
      <c r="D97" s="37"/>
      <c r="E97" s="37"/>
      <c r="F97" s="37"/>
      <c r="G97" s="31"/>
      <c r="H97" s="35"/>
      <c r="I97" s="38"/>
      <c r="J97" s="35"/>
      <c r="K97" s="80"/>
      <c r="L97" s="80"/>
      <c r="M97" s="80"/>
      <c r="N97" s="80"/>
      <c r="O97" s="80"/>
      <c r="P97" s="80"/>
      <c r="Q97" s="80"/>
      <c r="R97" s="80"/>
      <c r="S97" s="35"/>
      <c r="T97" s="35"/>
      <c r="U97" s="35"/>
    </row>
    <row r="98" spans="1:21">
      <c r="A98" s="36"/>
      <c r="B98" s="36"/>
      <c r="C98" s="36"/>
      <c r="D98" s="37"/>
      <c r="E98" s="37"/>
      <c r="F98" s="37"/>
      <c r="G98" s="31"/>
      <c r="H98" s="35"/>
      <c r="I98" s="38"/>
      <c r="J98" s="35"/>
      <c r="K98" s="80"/>
      <c r="L98" s="80"/>
      <c r="M98" s="80"/>
      <c r="N98" s="80"/>
      <c r="O98" s="80"/>
      <c r="P98" s="80"/>
      <c r="Q98" s="80"/>
      <c r="R98" s="80"/>
      <c r="S98" s="35"/>
      <c r="T98" s="35"/>
      <c r="U98" s="35"/>
    </row>
    <row r="99" spans="1:21">
      <c r="A99" s="36"/>
      <c r="B99" s="36"/>
      <c r="C99" s="36"/>
      <c r="D99" s="37"/>
      <c r="E99" s="37"/>
      <c r="F99" s="37"/>
      <c r="G99" s="31"/>
      <c r="H99" s="35"/>
      <c r="I99" s="38"/>
      <c r="J99" s="35"/>
      <c r="K99" s="80"/>
      <c r="L99" s="80"/>
      <c r="M99" s="80"/>
      <c r="N99" s="80"/>
      <c r="O99" s="80"/>
      <c r="P99" s="80"/>
      <c r="Q99" s="80"/>
      <c r="R99" s="80"/>
      <c r="S99" s="35"/>
      <c r="T99" s="35"/>
      <c r="U99" s="35"/>
    </row>
    <row r="100" spans="1:21">
      <c r="A100" s="36"/>
      <c r="B100" s="36"/>
      <c r="C100" s="36"/>
      <c r="D100" s="37"/>
      <c r="E100" s="37"/>
      <c r="F100" s="37"/>
      <c r="G100" s="31"/>
      <c r="H100" s="35"/>
      <c r="I100" s="38"/>
      <c r="J100" s="35"/>
      <c r="K100" s="80"/>
      <c r="L100" s="80"/>
      <c r="M100" s="80"/>
      <c r="N100" s="80"/>
      <c r="O100" s="80"/>
      <c r="P100" s="80"/>
      <c r="Q100" s="80"/>
      <c r="R100" s="80"/>
      <c r="S100" s="35"/>
      <c r="T100" s="35"/>
      <c r="U100" s="35"/>
    </row>
    <row r="101" spans="1:21">
      <c r="A101" s="36"/>
      <c r="B101" s="36"/>
      <c r="C101" s="36"/>
      <c r="D101" s="37"/>
      <c r="E101" s="37"/>
      <c r="F101" s="37"/>
      <c r="G101" s="31"/>
      <c r="H101" s="35"/>
      <c r="I101" s="38"/>
      <c r="J101" s="35"/>
      <c r="K101" s="80"/>
      <c r="L101" s="80"/>
      <c r="M101" s="80"/>
      <c r="N101" s="80"/>
      <c r="O101" s="80"/>
      <c r="P101" s="80"/>
      <c r="Q101" s="80"/>
      <c r="R101" s="80"/>
      <c r="S101" s="35"/>
      <c r="T101" s="35"/>
      <c r="U101" s="35"/>
    </row>
    <row r="102" spans="1:21">
      <c r="A102" s="36"/>
      <c r="B102" s="36"/>
      <c r="C102" s="36"/>
      <c r="D102" s="37"/>
      <c r="E102" s="37"/>
      <c r="F102" s="37"/>
      <c r="G102" s="31"/>
      <c r="H102" s="35"/>
      <c r="I102" s="38"/>
      <c r="J102" s="35"/>
      <c r="K102" s="80"/>
      <c r="L102" s="80"/>
      <c r="M102" s="80"/>
      <c r="N102" s="80"/>
      <c r="O102" s="80"/>
      <c r="P102" s="80"/>
      <c r="Q102" s="80"/>
      <c r="R102" s="80"/>
      <c r="S102" s="35"/>
      <c r="T102" s="35"/>
      <c r="U102" s="35"/>
    </row>
    <row r="103" spans="1:21">
      <c r="A103" s="36"/>
      <c r="B103" s="36"/>
      <c r="C103" s="36"/>
      <c r="D103" s="37"/>
      <c r="E103" s="37"/>
      <c r="F103" s="37"/>
      <c r="G103" s="31"/>
      <c r="H103" s="35"/>
      <c r="I103" s="38"/>
      <c r="J103" s="35"/>
      <c r="K103" s="80"/>
      <c r="L103" s="80"/>
      <c r="M103" s="80"/>
      <c r="N103" s="80"/>
      <c r="O103" s="80"/>
      <c r="P103" s="80"/>
      <c r="Q103" s="80"/>
      <c r="R103" s="80"/>
      <c r="S103" s="35"/>
      <c r="T103" s="35"/>
      <c r="U103" s="35"/>
    </row>
    <row r="104" spans="1:21">
      <c r="A104" s="36"/>
      <c r="B104" s="36"/>
      <c r="C104" s="36"/>
      <c r="D104" s="37"/>
      <c r="E104" s="37"/>
      <c r="F104" s="37"/>
      <c r="G104" s="31"/>
      <c r="H104" s="35"/>
      <c r="I104" s="38"/>
      <c r="J104" s="35"/>
      <c r="K104" s="80"/>
      <c r="L104" s="80"/>
      <c r="M104" s="80"/>
      <c r="N104" s="80"/>
      <c r="O104" s="80"/>
      <c r="P104" s="80"/>
      <c r="Q104" s="80"/>
      <c r="R104" s="80"/>
      <c r="S104" s="35"/>
      <c r="T104" s="35"/>
      <c r="U104" s="35"/>
    </row>
    <row r="105" spans="1:21">
      <c r="A105" s="36"/>
      <c r="B105" s="36"/>
      <c r="C105" s="36"/>
      <c r="D105" s="37"/>
      <c r="E105" s="37"/>
      <c r="F105" s="37"/>
      <c r="G105" s="31"/>
      <c r="H105" s="35"/>
      <c r="I105" s="38"/>
      <c r="J105" s="35"/>
      <c r="K105" s="80"/>
      <c r="L105" s="80"/>
      <c r="M105" s="80"/>
      <c r="N105" s="80"/>
      <c r="O105" s="80"/>
      <c r="P105" s="80"/>
      <c r="Q105" s="80"/>
      <c r="R105" s="80"/>
      <c r="S105" s="35"/>
      <c r="T105" s="35"/>
      <c r="U105" s="35"/>
    </row>
    <row r="106" spans="1:21">
      <c r="A106" s="36"/>
      <c r="B106" s="36"/>
      <c r="C106" s="36"/>
      <c r="D106" s="37"/>
      <c r="E106" s="37"/>
      <c r="F106" s="37"/>
      <c r="G106" s="31"/>
      <c r="H106" s="35"/>
      <c r="I106" s="38"/>
      <c r="J106" s="35"/>
      <c r="K106" s="80"/>
      <c r="L106" s="80"/>
      <c r="M106" s="80"/>
      <c r="N106" s="80"/>
      <c r="O106" s="80"/>
      <c r="P106" s="80"/>
      <c r="Q106" s="80"/>
      <c r="R106" s="80"/>
      <c r="S106" s="35"/>
      <c r="T106" s="35"/>
      <c r="U106" s="35"/>
    </row>
    <row r="107" spans="1:21">
      <c r="A107" s="36"/>
      <c r="B107" s="36"/>
      <c r="C107" s="36"/>
      <c r="D107" s="37"/>
      <c r="E107" s="37"/>
      <c r="F107" s="37"/>
      <c r="G107" s="39"/>
      <c r="H107" s="27"/>
      <c r="I107" s="41"/>
      <c r="J107" s="27"/>
      <c r="K107" s="70"/>
      <c r="L107" s="70"/>
      <c r="M107" s="70"/>
      <c r="N107" s="70"/>
      <c r="O107" s="70"/>
      <c r="P107" s="70"/>
      <c r="Q107" s="70"/>
      <c r="R107" s="70"/>
      <c r="S107" s="27"/>
      <c r="T107" s="27"/>
      <c r="U107" s="27"/>
    </row>
    <row r="108" spans="1:21">
      <c r="A108" s="36"/>
      <c r="B108" s="36"/>
      <c r="C108" s="36"/>
      <c r="D108" s="37"/>
      <c r="E108" s="37"/>
      <c r="F108" s="37"/>
      <c r="G108" s="40"/>
      <c r="H108" s="35"/>
      <c r="I108" s="40"/>
      <c r="J108" s="35"/>
      <c r="K108" s="80"/>
      <c r="L108" s="80"/>
      <c r="M108" s="80"/>
      <c r="N108" s="80"/>
      <c r="O108" s="80"/>
      <c r="P108" s="80"/>
      <c r="Q108" s="80"/>
      <c r="R108" s="80"/>
      <c r="S108" s="35"/>
      <c r="T108" s="35"/>
      <c r="U108" s="35"/>
    </row>
    <row r="109" spans="1:21">
      <c r="A109" s="36"/>
      <c r="B109" s="36"/>
      <c r="C109" s="36"/>
      <c r="D109" s="37"/>
      <c r="E109" s="37"/>
      <c r="F109" s="37"/>
      <c r="G109" s="40"/>
      <c r="H109" s="35"/>
      <c r="I109" s="40"/>
      <c r="J109" s="35"/>
      <c r="K109" s="80"/>
      <c r="L109" s="80"/>
      <c r="M109" s="80"/>
      <c r="N109" s="80"/>
      <c r="O109" s="80"/>
      <c r="P109" s="80"/>
      <c r="Q109" s="80"/>
      <c r="R109" s="80"/>
      <c r="S109" s="35"/>
      <c r="T109" s="35"/>
      <c r="U109" s="35"/>
    </row>
    <row r="110" spans="1:21">
      <c r="A110" s="36"/>
      <c r="B110" s="36"/>
      <c r="C110" s="36"/>
      <c r="D110" s="37"/>
      <c r="E110" s="37"/>
      <c r="F110" s="37"/>
      <c r="G110" s="40"/>
      <c r="H110" s="35"/>
      <c r="I110" s="40"/>
      <c r="J110" s="35"/>
      <c r="K110" s="80"/>
      <c r="L110" s="80"/>
      <c r="M110" s="80"/>
      <c r="N110" s="80"/>
      <c r="O110" s="80"/>
      <c r="P110" s="80"/>
      <c r="Q110" s="80"/>
      <c r="R110" s="80"/>
      <c r="S110" s="35"/>
      <c r="T110" s="35"/>
      <c r="U110" s="35"/>
    </row>
    <row r="111" spans="1:21">
      <c r="A111" s="36"/>
      <c r="B111" s="36"/>
      <c r="C111" s="36"/>
      <c r="D111" s="37"/>
      <c r="E111" s="37"/>
      <c r="F111" s="37"/>
      <c r="G111" s="40"/>
      <c r="H111" s="35"/>
      <c r="I111" s="40"/>
      <c r="J111" s="35"/>
      <c r="K111" s="80"/>
      <c r="L111" s="80"/>
      <c r="M111" s="80"/>
      <c r="N111" s="80"/>
      <c r="O111" s="80"/>
      <c r="P111" s="80"/>
      <c r="Q111" s="80"/>
      <c r="R111" s="80"/>
      <c r="S111" s="35"/>
      <c r="T111" s="35"/>
      <c r="U111" s="35"/>
    </row>
    <row r="112" spans="1:21">
      <c r="A112" s="36"/>
      <c r="B112" s="36"/>
      <c r="C112" s="36"/>
      <c r="D112" s="37"/>
      <c r="E112" s="37"/>
      <c r="F112" s="37"/>
      <c r="G112" s="40"/>
      <c r="H112" s="35"/>
      <c r="I112" s="40"/>
      <c r="J112" s="35"/>
      <c r="K112" s="80"/>
      <c r="L112" s="80"/>
      <c r="M112" s="80"/>
      <c r="N112" s="80"/>
      <c r="O112" s="80"/>
      <c r="P112" s="80"/>
      <c r="Q112" s="80"/>
      <c r="R112" s="80"/>
      <c r="S112" s="35"/>
      <c r="T112" s="35"/>
      <c r="U112" s="35"/>
    </row>
    <row r="113" spans="1:21">
      <c r="A113" s="36"/>
      <c r="B113" s="36"/>
      <c r="C113" s="36"/>
      <c r="D113" s="37"/>
      <c r="E113" s="37"/>
      <c r="F113" s="37"/>
      <c r="G113" s="40"/>
      <c r="H113" s="35"/>
      <c r="I113" s="40"/>
      <c r="J113" s="35"/>
      <c r="K113" s="80"/>
      <c r="L113" s="80"/>
      <c r="M113" s="80"/>
      <c r="N113" s="80"/>
      <c r="O113" s="80"/>
      <c r="P113" s="80"/>
      <c r="Q113" s="80"/>
      <c r="R113" s="80"/>
      <c r="S113" s="35"/>
      <c r="T113" s="35"/>
      <c r="U113" s="35"/>
    </row>
    <row r="114" spans="1:21">
      <c r="A114" s="36"/>
      <c r="B114" s="36"/>
      <c r="C114" s="36"/>
      <c r="D114" s="37"/>
      <c r="E114" s="37"/>
      <c r="F114" s="37"/>
      <c r="H114" s="27"/>
      <c r="J114" s="27"/>
      <c r="K114" s="70"/>
      <c r="L114" s="70"/>
      <c r="M114" s="70"/>
      <c r="N114" s="70"/>
      <c r="O114" s="70"/>
      <c r="P114" s="70"/>
      <c r="Q114" s="70"/>
      <c r="R114" s="70"/>
      <c r="S114" s="27"/>
      <c r="T114" s="27"/>
      <c r="U114" s="27"/>
    </row>
    <row r="115" spans="1:21">
      <c r="A115" s="36"/>
      <c r="B115" s="36"/>
      <c r="C115" s="36"/>
      <c r="D115" s="37"/>
      <c r="E115" s="37"/>
      <c r="F115" s="37"/>
      <c r="G115" s="40"/>
      <c r="H115" s="35"/>
      <c r="I115" s="40"/>
      <c r="J115" s="35"/>
      <c r="K115" s="80"/>
      <c r="L115" s="80"/>
      <c r="M115" s="80"/>
      <c r="N115" s="80"/>
      <c r="O115" s="80"/>
      <c r="P115" s="80"/>
      <c r="Q115" s="80"/>
      <c r="R115" s="80"/>
      <c r="S115" s="35"/>
      <c r="T115" s="35"/>
      <c r="U115" s="35"/>
    </row>
    <row r="116" spans="1:21">
      <c r="A116" s="36"/>
      <c r="B116" s="36"/>
      <c r="C116" s="36"/>
      <c r="D116" s="37"/>
      <c r="E116" s="37"/>
      <c r="F116" s="37"/>
      <c r="G116" s="40"/>
      <c r="H116" s="35"/>
      <c r="I116" s="40"/>
      <c r="J116" s="35"/>
      <c r="K116" s="80"/>
      <c r="L116" s="80"/>
      <c r="M116" s="80"/>
      <c r="N116" s="80"/>
      <c r="O116" s="80"/>
      <c r="P116" s="80"/>
      <c r="Q116" s="80"/>
      <c r="R116" s="80"/>
      <c r="S116" s="35"/>
      <c r="T116" s="35"/>
      <c r="U116" s="35"/>
    </row>
    <row r="117" spans="1:21">
      <c r="A117" s="36"/>
      <c r="B117" s="36"/>
      <c r="C117" s="36"/>
      <c r="D117" s="37"/>
      <c r="E117" s="37"/>
      <c r="F117" s="37"/>
      <c r="G117" s="40"/>
      <c r="H117" s="35"/>
      <c r="I117" s="40"/>
      <c r="J117" s="35"/>
      <c r="K117" s="80"/>
      <c r="L117" s="80"/>
      <c r="M117" s="80"/>
      <c r="N117" s="80"/>
      <c r="O117" s="80"/>
      <c r="P117" s="80"/>
      <c r="Q117" s="80"/>
      <c r="R117" s="80"/>
      <c r="S117" s="35"/>
      <c r="T117" s="35"/>
      <c r="U117" s="35"/>
    </row>
    <row r="118" spans="1:21">
      <c r="A118" s="36"/>
      <c r="B118" s="36"/>
      <c r="C118" s="36"/>
      <c r="D118" s="37"/>
      <c r="E118" s="37"/>
      <c r="F118" s="37"/>
      <c r="H118" s="27"/>
      <c r="J118" s="27"/>
      <c r="K118" s="70"/>
      <c r="L118" s="70"/>
      <c r="M118" s="70"/>
      <c r="N118" s="70"/>
      <c r="O118" s="70"/>
      <c r="P118" s="70"/>
      <c r="Q118" s="70"/>
      <c r="R118" s="70"/>
      <c r="S118" s="27"/>
      <c r="T118" s="27"/>
      <c r="U118" s="27"/>
    </row>
    <row r="119" spans="1:21">
      <c r="A119" s="36"/>
      <c r="B119" s="36"/>
      <c r="C119" s="36"/>
      <c r="D119" s="37"/>
      <c r="E119" s="37"/>
      <c r="F119" s="37"/>
      <c r="G119" s="40"/>
      <c r="H119" s="35"/>
      <c r="I119" s="40"/>
      <c r="J119" s="35"/>
      <c r="K119" s="80"/>
      <c r="L119" s="80"/>
      <c r="M119" s="80"/>
      <c r="N119" s="80"/>
      <c r="O119" s="80"/>
      <c r="P119" s="80"/>
      <c r="Q119" s="80"/>
      <c r="R119" s="80"/>
      <c r="S119" s="35"/>
      <c r="T119" s="35"/>
      <c r="U119" s="35"/>
    </row>
    <row r="120" spans="1:21">
      <c r="A120" s="36"/>
      <c r="B120" s="36"/>
      <c r="C120" s="36"/>
      <c r="D120" s="37"/>
      <c r="E120" s="37"/>
      <c r="F120" s="37"/>
      <c r="H120" s="27"/>
      <c r="J120" s="27"/>
      <c r="K120" s="70"/>
      <c r="L120" s="70"/>
      <c r="M120" s="70"/>
      <c r="N120" s="70"/>
      <c r="O120" s="70"/>
      <c r="P120" s="70"/>
      <c r="Q120" s="70"/>
      <c r="R120" s="70"/>
      <c r="S120" s="27"/>
      <c r="T120" s="27"/>
      <c r="U120" s="27"/>
    </row>
    <row r="121" spans="1:21">
      <c r="A121" s="36"/>
      <c r="B121" s="36"/>
      <c r="C121" s="36"/>
      <c r="D121" s="37"/>
      <c r="E121" s="37"/>
      <c r="F121" s="37"/>
      <c r="G121" s="40"/>
      <c r="H121" s="35"/>
      <c r="I121" s="40"/>
      <c r="J121" s="35"/>
      <c r="K121" s="80"/>
      <c r="L121" s="80"/>
      <c r="M121" s="80"/>
      <c r="N121" s="80"/>
      <c r="O121" s="80"/>
      <c r="P121" s="80"/>
      <c r="Q121" s="80"/>
      <c r="R121" s="80"/>
      <c r="S121" s="35"/>
      <c r="T121" s="35"/>
      <c r="U121" s="35"/>
    </row>
    <row r="122" spans="1:21">
      <c r="A122" s="36"/>
      <c r="B122" s="36"/>
      <c r="C122" s="36"/>
      <c r="D122" s="37"/>
      <c r="E122" s="37"/>
      <c r="F122" s="37"/>
      <c r="H122" s="27"/>
      <c r="J122" s="27"/>
      <c r="K122" s="70"/>
      <c r="L122" s="70"/>
      <c r="M122" s="70"/>
      <c r="N122" s="70"/>
      <c r="O122" s="70"/>
      <c r="P122" s="70"/>
      <c r="Q122" s="70"/>
      <c r="R122" s="70"/>
      <c r="S122" s="27"/>
      <c r="T122" s="27"/>
      <c r="U122" s="27"/>
    </row>
    <row r="123" spans="1:21">
      <c r="A123" s="36"/>
      <c r="B123" s="36"/>
      <c r="C123" s="36"/>
      <c r="D123" s="37"/>
      <c r="E123" s="37"/>
      <c r="F123" s="37"/>
      <c r="G123" s="40"/>
      <c r="H123" s="35"/>
      <c r="I123" s="40"/>
      <c r="J123" s="35"/>
      <c r="K123" s="80"/>
      <c r="L123" s="80"/>
      <c r="M123" s="80"/>
      <c r="N123" s="80"/>
      <c r="O123" s="80"/>
      <c r="P123" s="80"/>
      <c r="Q123" s="80"/>
      <c r="R123" s="80"/>
      <c r="S123" s="35"/>
      <c r="T123" s="35"/>
      <c r="U123" s="35"/>
    </row>
    <row r="124" spans="1:21">
      <c r="A124" s="36"/>
      <c r="B124" s="36"/>
      <c r="C124" s="36"/>
      <c r="D124" s="37"/>
      <c r="E124" s="37"/>
      <c r="F124" s="37"/>
      <c r="H124" s="27"/>
      <c r="J124" s="27"/>
      <c r="K124" s="70"/>
      <c r="L124" s="70"/>
      <c r="M124" s="70"/>
      <c r="N124" s="70"/>
      <c r="O124" s="70"/>
      <c r="P124" s="70"/>
      <c r="Q124" s="70"/>
      <c r="R124" s="70"/>
      <c r="S124" s="27"/>
      <c r="T124" s="27"/>
      <c r="U124" s="27"/>
    </row>
    <row r="125" spans="1:21">
      <c r="A125" s="36"/>
      <c r="B125" s="36"/>
      <c r="C125" s="36"/>
      <c r="D125" s="37"/>
      <c r="E125" s="37"/>
      <c r="F125" s="37"/>
      <c r="G125" s="40"/>
      <c r="H125" s="35"/>
      <c r="I125" s="40"/>
      <c r="J125" s="35"/>
      <c r="K125" s="80"/>
      <c r="L125" s="80"/>
      <c r="M125" s="80"/>
      <c r="N125" s="80"/>
      <c r="O125" s="80"/>
      <c r="P125" s="80"/>
      <c r="Q125" s="80"/>
      <c r="R125" s="80"/>
      <c r="S125" s="35"/>
      <c r="T125" s="35"/>
      <c r="U125" s="35"/>
    </row>
    <row r="126" spans="1:21">
      <c r="H126" s="27"/>
      <c r="J126" s="27"/>
      <c r="K126" s="70"/>
      <c r="L126" s="70"/>
      <c r="M126" s="70"/>
      <c r="N126" s="70"/>
      <c r="O126" s="70"/>
      <c r="P126" s="70"/>
      <c r="Q126" s="70"/>
      <c r="R126" s="70"/>
      <c r="S126" s="27"/>
      <c r="T126" s="27"/>
      <c r="U126" s="27"/>
    </row>
    <row r="127" spans="1:21">
      <c r="H127" s="27"/>
      <c r="J127" s="27"/>
      <c r="K127" s="70"/>
      <c r="L127" s="70"/>
      <c r="M127" s="70"/>
      <c r="N127" s="70"/>
      <c r="O127" s="70"/>
      <c r="P127" s="70"/>
      <c r="Q127" s="70"/>
      <c r="R127" s="70"/>
      <c r="S127" s="27"/>
      <c r="T127" s="27"/>
      <c r="U127" s="27"/>
    </row>
    <row r="128" spans="1:21">
      <c r="H128" s="27"/>
      <c r="J128" s="27"/>
      <c r="K128" s="70"/>
      <c r="L128" s="70"/>
      <c r="M128" s="70"/>
      <c r="N128" s="70"/>
      <c r="O128" s="70"/>
      <c r="P128" s="70"/>
      <c r="Q128" s="70"/>
      <c r="R128" s="70"/>
      <c r="S128" s="27"/>
      <c r="T128" s="27"/>
      <c r="U128" s="27"/>
    </row>
    <row r="129" spans="8:21">
      <c r="H129" s="27"/>
      <c r="J129" s="27"/>
      <c r="K129" s="70"/>
      <c r="L129" s="70"/>
      <c r="M129" s="70"/>
      <c r="N129" s="70"/>
      <c r="O129" s="70"/>
      <c r="P129" s="70"/>
      <c r="Q129" s="70"/>
      <c r="R129" s="70"/>
      <c r="S129" s="27"/>
      <c r="T129" s="27"/>
      <c r="U129" s="27"/>
    </row>
    <row r="130" spans="8:21">
      <c r="H130" s="27"/>
      <c r="J130" s="27"/>
      <c r="K130" s="70"/>
      <c r="L130" s="70"/>
      <c r="M130" s="70"/>
      <c r="N130" s="70"/>
      <c r="O130" s="70"/>
      <c r="P130" s="70"/>
      <c r="Q130" s="70"/>
      <c r="R130" s="70"/>
      <c r="S130" s="27"/>
      <c r="T130" s="27"/>
      <c r="U130" s="27"/>
    </row>
    <row r="131" spans="8:21">
      <c r="H131" s="27"/>
      <c r="J131" s="27"/>
      <c r="K131" s="70"/>
      <c r="L131" s="70"/>
      <c r="M131" s="70"/>
      <c r="N131" s="70"/>
      <c r="O131" s="70"/>
      <c r="P131" s="70"/>
      <c r="Q131" s="70"/>
      <c r="R131" s="70"/>
      <c r="S131" s="27"/>
      <c r="T131" s="27"/>
      <c r="U131" s="27"/>
    </row>
    <row r="132" spans="8:21">
      <c r="H132" s="27"/>
      <c r="J132" s="27"/>
      <c r="K132" s="70"/>
      <c r="L132" s="70"/>
      <c r="M132" s="70"/>
      <c r="N132" s="70"/>
      <c r="O132" s="70"/>
      <c r="P132" s="70"/>
      <c r="Q132" s="70"/>
      <c r="R132" s="70"/>
      <c r="S132" s="27"/>
      <c r="T132" s="27"/>
      <c r="U132" s="27"/>
    </row>
    <row r="133" spans="8:21">
      <c r="H133" s="27"/>
      <c r="J133" s="27"/>
      <c r="K133" s="70"/>
      <c r="L133" s="70"/>
      <c r="M133" s="70"/>
      <c r="N133" s="70"/>
      <c r="O133" s="70"/>
      <c r="P133" s="70"/>
      <c r="Q133" s="70"/>
      <c r="R133" s="70"/>
      <c r="S133" s="27"/>
      <c r="T133" s="27"/>
      <c r="U133" s="27"/>
    </row>
    <row r="134" spans="8:21">
      <c r="H134" s="27"/>
      <c r="J134" s="27"/>
      <c r="K134" s="70"/>
      <c r="L134" s="70"/>
      <c r="M134" s="70"/>
      <c r="N134" s="70"/>
      <c r="O134" s="70"/>
      <c r="P134" s="70"/>
      <c r="Q134" s="70"/>
      <c r="R134" s="70"/>
      <c r="S134" s="27"/>
      <c r="T134" s="27"/>
      <c r="U134" s="27"/>
    </row>
    <row r="135" spans="8:21">
      <c r="H135" s="27"/>
      <c r="J135" s="27"/>
      <c r="K135" s="70"/>
      <c r="L135" s="70"/>
      <c r="M135" s="70"/>
      <c r="N135" s="70"/>
      <c r="O135" s="70"/>
      <c r="P135" s="70"/>
      <c r="Q135" s="70"/>
      <c r="R135" s="70"/>
      <c r="S135" s="27"/>
      <c r="T135" s="27"/>
      <c r="U135" s="27"/>
    </row>
    <row r="136" spans="8:21">
      <c r="H136" s="27"/>
      <c r="J136" s="27"/>
      <c r="K136" s="70"/>
      <c r="L136" s="70"/>
      <c r="M136" s="70"/>
      <c r="N136" s="70"/>
      <c r="O136" s="70"/>
      <c r="P136" s="70"/>
      <c r="Q136" s="70"/>
      <c r="R136" s="70"/>
      <c r="S136" s="27"/>
      <c r="T136" s="27"/>
      <c r="U136" s="27"/>
    </row>
    <row r="137" spans="8:21">
      <c r="H137" s="27"/>
      <c r="J137" s="27"/>
      <c r="K137" s="70"/>
      <c r="L137" s="70"/>
      <c r="M137" s="70"/>
      <c r="N137" s="70"/>
      <c r="O137" s="70"/>
      <c r="P137" s="70"/>
      <c r="Q137" s="70"/>
      <c r="R137" s="70"/>
      <c r="S137" s="27"/>
      <c r="T137" s="27"/>
      <c r="U137" s="27"/>
    </row>
    <row r="138" spans="8:21">
      <c r="H138" s="27"/>
      <c r="J138" s="27"/>
      <c r="K138" s="70"/>
      <c r="L138" s="70"/>
      <c r="M138" s="70"/>
      <c r="N138" s="70"/>
      <c r="O138" s="70"/>
      <c r="P138" s="70"/>
      <c r="Q138" s="70"/>
      <c r="R138" s="70"/>
      <c r="S138" s="27"/>
      <c r="T138" s="27"/>
      <c r="U138" s="27"/>
    </row>
    <row r="139" spans="8:21">
      <c r="H139" s="27"/>
      <c r="J139" s="27"/>
      <c r="K139" s="70"/>
      <c r="L139" s="70"/>
      <c r="M139" s="70"/>
      <c r="N139" s="70"/>
      <c r="O139" s="70"/>
      <c r="P139" s="70"/>
      <c r="Q139" s="70"/>
      <c r="R139" s="70"/>
      <c r="S139" s="27"/>
      <c r="T139" s="27"/>
      <c r="U139" s="27"/>
    </row>
    <row r="140" spans="8:21">
      <c r="H140" s="27"/>
      <c r="J140" s="27"/>
      <c r="K140" s="70"/>
      <c r="L140" s="70"/>
      <c r="M140" s="70"/>
      <c r="N140" s="70"/>
      <c r="O140" s="70"/>
      <c r="P140" s="70"/>
      <c r="Q140" s="70"/>
      <c r="R140" s="70"/>
      <c r="S140" s="27"/>
      <c r="T140" s="27"/>
      <c r="U140" s="27"/>
    </row>
    <row r="141" spans="8:21">
      <c r="H141" s="27"/>
      <c r="J141" s="27"/>
      <c r="K141" s="70"/>
      <c r="L141" s="70"/>
      <c r="M141" s="70"/>
      <c r="N141" s="70"/>
      <c r="O141" s="70"/>
      <c r="P141" s="70"/>
      <c r="Q141" s="70"/>
      <c r="R141" s="70"/>
      <c r="S141" s="27"/>
      <c r="T141" s="27"/>
      <c r="U141" s="27"/>
    </row>
    <row r="142" spans="8:21">
      <c r="H142" s="27"/>
      <c r="J142" s="27"/>
      <c r="K142" s="70"/>
      <c r="L142" s="70"/>
      <c r="M142" s="70"/>
      <c r="N142" s="70"/>
      <c r="O142" s="70"/>
      <c r="P142" s="70"/>
      <c r="Q142" s="70"/>
      <c r="R142" s="70"/>
      <c r="S142" s="27"/>
      <c r="T142" s="27"/>
      <c r="U142" s="27"/>
    </row>
    <row r="143" spans="8:21">
      <c r="H143" s="27"/>
      <c r="J143" s="27"/>
      <c r="K143" s="70"/>
      <c r="L143" s="70"/>
      <c r="M143" s="70"/>
      <c r="N143" s="70"/>
      <c r="O143" s="70"/>
      <c r="P143" s="70"/>
      <c r="Q143" s="70"/>
      <c r="R143" s="70"/>
      <c r="S143" s="27"/>
      <c r="T143" s="27"/>
      <c r="U143" s="27"/>
    </row>
    <row r="144" spans="8:21">
      <c r="H144" s="27"/>
      <c r="J144" s="27"/>
      <c r="K144" s="70"/>
      <c r="L144" s="70"/>
      <c r="M144" s="70"/>
      <c r="N144" s="70"/>
      <c r="O144" s="70"/>
      <c r="P144" s="70"/>
      <c r="Q144" s="70"/>
      <c r="R144" s="70"/>
      <c r="S144" s="27"/>
      <c r="T144" s="27"/>
      <c r="U144" s="27"/>
    </row>
    <row r="145" spans="8:21">
      <c r="H145" s="27"/>
      <c r="J145" s="27"/>
      <c r="K145" s="70"/>
      <c r="L145" s="70"/>
      <c r="M145" s="70"/>
      <c r="N145" s="70"/>
      <c r="O145" s="70"/>
      <c r="P145" s="70"/>
      <c r="Q145" s="70"/>
      <c r="R145" s="70"/>
      <c r="S145" s="27"/>
      <c r="T145" s="27"/>
      <c r="U145" s="27"/>
    </row>
    <row r="146" spans="8:21">
      <c r="H146" s="27"/>
      <c r="J146" s="27"/>
      <c r="K146" s="70"/>
      <c r="L146" s="70"/>
      <c r="M146" s="70"/>
      <c r="N146" s="70"/>
      <c r="O146" s="70"/>
      <c r="P146" s="70"/>
      <c r="Q146" s="70"/>
      <c r="R146" s="70"/>
      <c r="S146" s="27"/>
      <c r="T146" s="27"/>
      <c r="U146" s="27"/>
    </row>
    <row r="147" spans="8:21">
      <c r="H147" s="27"/>
      <c r="J147" s="27"/>
      <c r="K147" s="70"/>
      <c r="L147" s="70"/>
      <c r="M147" s="70"/>
      <c r="N147" s="70"/>
      <c r="O147" s="70"/>
      <c r="P147" s="70"/>
      <c r="Q147" s="70"/>
      <c r="R147" s="70"/>
      <c r="S147" s="27"/>
      <c r="T147" s="27"/>
      <c r="U147" s="27"/>
    </row>
    <row r="148" spans="8:21">
      <c r="H148" s="27"/>
      <c r="J148" s="27"/>
      <c r="K148" s="70"/>
      <c r="L148" s="70"/>
      <c r="M148" s="70"/>
      <c r="N148" s="70"/>
      <c r="O148" s="70"/>
      <c r="P148" s="70"/>
      <c r="Q148" s="70"/>
      <c r="R148" s="70"/>
      <c r="S148" s="27"/>
      <c r="T148" s="27"/>
      <c r="U148" s="27"/>
    </row>
    <row r="149" spans="8:21">
      <c r="H149" s="27"/>
      <c r="J149" s="27"/>
      <c r="K149" s="70"/>
      <c r="L149" s="70"/>
      <c r="M149" s="70"/>
      <c r="N149" s="70"/>
      <c r="O149" s="70"/>
      <c r="P149" s="70"/>
      <c r="Q149" s="70"/>
      <c r="R149" s="70"/>
      <c r="S149" s="27"/>
      <c r="T149" s="27"/>
      <c r="U149" s="27"/>
    </row>
    <row r="150" spans="8:21">
      <c r="H150" s="27"/>
      <c r="J150" s="27"/>
      <c r="K150" s="70"/>
      <c r="L150" s="70"/>
      <c r="M150" s="70"/>
      <c r="N150" s="70"/>
      <c r="O150" s="70"/>
      <c r="P150" s="70"/>
      <c r="Q150" s="70"/>
      <c r="R150" s="70"/>
      <c r="S150" s="27"/>
      <c r="T150" s="27"/>
      <c r="U150" s="27"/>
    </row>
    <row r="151" spans="8:21">
      <c r="H151" s="27"/>
      <c r="J151" s="27"/>
      <c r="K151" s="70"/>
      <c r="L151" s="70"/>
      <c r="M151" s="70"/>
      <c r="N151" s="70"/>
      <c r="O151" s="70"/>
      <c r="P151" s="70"/>
      <c r="Q151" s="70"/>
      <c r="R151" s="70"/>
      <c r="S151" s="27"/>
      <c r="T151" s="27"/>
      <c r="U151" s="27"/>
    </row>
    <row r="152" spans="8:21">
      <c r="H152" s="27"/>
      <c r="J152" s="27"/>
      <c r="K152" s="70"/>
      <c r="L152" s="70"/>
      <c r="M152" s="70"/>
      <c r="N152" s="70"/>
      <c r="O152" s="70"/>
      <c r="P152" s="70"/>
      <c r="Q152" s="70"/>
      <c r="R152" s="70"/>
      <c r="S152" s="27"/>
      <c r="T152" s="27"/>
      <c r="U152" s="27"/>
    </row>
    <row r="153" spans="8:21">
      <c r="H153" s="27"/>
      <c r="J153" s="27"/>
      <c r="K153" s="70"/>
      <c r="L153" s="70"/>
      <c r="M153" s="70"/>
      <c r="N153" s="70"/>
      <c r="O153" s="70"/>
      <c r="P153" s="70"/>
      <c r="Q153" s="70"/>
      <c r="R153" s="70"/>
      <c r="S153" s="27"/>
      <c r="T153" s="27"/>
      <c r="U153" s="27"/>
    </row>
    <row r="154" spans="8:21">
      <c r="H154" s="27"/>
      <c r="J154" s="27"/>
      <c r="K154" s="70"/>
      <c r="L154" s="70"/>
      <c r="M154" s="70"/>
      <c r="N154" s="70"/>
      <c r="O154" s="70"/>
      <c r="P154" s="70"/>
      <c r="Q154" s="70"/>
      <c r="R154" s="70"/>
      <c r="S154" s="27"/>
      <c r="T154" s="27"/>
      <c r="U154" s="27"/>
    </row>
    <row r="155" spans="8:21">
      <c r="H155" s="27"/>
      <c r="J155" s="27"/>
      <c r="K155" s="70"/>
      <c r="L155" s="70"/>
      <c r="M155" s="70"/>
      <c r="N155" s="70"/>
      <c r="O155" s="70"/>
      <c r="P155" s="70"/>
      <c r="Q155" s="70"/>
      <c r="R155" s="70"/>
      <c r="S155" s="27"/>
      <c r="T155" s="27"/>
      <c r="U155" s="27"/>
    </row>
    <row r="156" spans="8:21">
      <c r="H156" s="27"/>
      <c r="J156" s="27"/>
      <c r="S156" s="27"/>
      <c r="T156" s="27"/>
      <c r="U156" s="27"/>
    </row>
    <row r="157" spans="8:21">
      <c r="H157" s="27"/>
      <c r="J157" s="27"/>
      <c r="S157" s="27"/>
      <c r="T157" s="27"/>
      <c r="U157" s="27"/>
    </row>
    <row r="158" spans="8:21">
      <c r="H158" s="27"/>
      <c r="J158" s="27"/>
      <c r="S158" s="27"/>
      <c r="T158" s="27"/>
      <c r="U158" s="27"/>
    </row>
    <row r="159" spans="8:21">
      <c r="H159" s="27"/>
      <c r="J159" s="27"/>
      <c r="S159" s="27"/>
      <c r="T159" s="27"/>
      <c r="U159" s="27"/>
    </row>
  </sheetData>
  <autoFilter ref="A3:U46" xr:uid="{DE9F2B4C-EC85-4CB8-B705-3F4642D8D0B0}">
    <sortState xmlns:xlrd2="http://schemas.microsoft.com/office/spreadsheetml/2017/richdata2" ref="A4:U41">
      <sortCondition ref="D3"/>
    </sortState>
  </autoFilter>
  <mergeCells count="5">
    <mergeCell ref="S1:U2"/>
    <mergeCell ref="A1:J2"/>
    <mergeCell ref="Q1:R2"/>
    <mergeCell ref="K1:M2"/>
    <mergeCell ref="N1:P2"/>
  </mergeCell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C80E4FF3-F04B-424A-9E02-87A32A990A2A}">
          <x14:formula1>
            <xm:f>'Validación datos NO BORRAR'!$E$4:$E$9</xm:f>
          </x14:formula1>
          <xm:sqref>G4:G159</xm:sqref>
        </x14:dataValidation>
        <x14:dataValidation type="list" allowBlank="1" showInputMessage="1" showErrorMessage="1" xr:uid="{C107D747-E004-4E96-BED9-50AA03EEDAB0}">
          <x14:formula1>
            <xm:f>'Validación datos NO BORRAR'!$F$4:$F$6</xm:f>
          </x14:formula1>
          <xm:sqref>I4</xm:sqref>
        </x14:dataValidation>
        <x14:dataValidation type="list" allowBlank="1" showInputMessage="1" showErrorMessage="1" xr:uid="{814046D8-0D01-4803-92BA-E5A904CCFC14}">
          <x14:formula1>
            <xm:f>'Validación datos NO BORRAR'!$F$4:$F$7</xm:f>
          </x14:formula1>
          <xm:sqref>H4:H159</xm:sqref>
        </x14:dataValidation>
        <x14:dataValidation type="list" allowBlank="1" showInputMessage="1" showErrorMessage="1" xr:uid="{EEE5D106-6DEF-4A5D-9A4C-E1CD814D0053}">
          <x14:formula1>
            <xm:f>'Validación datos NO BORRAR'!$G$4:$G$6</xm:f>
          </x14:formula1>
          <xm:sqref>J4:J159</xm:sqref>
        </x14:dataValidation>
        <x14:dataValidation type="list" allowBlank="1" showInputMessage="1" showErrorMessage="1" xr:uid="{5981835F-D36D-4992-9119-6192405E2844}">
          <x14:formula1>
            <xm:f>'Validación datos NO BORRAR'!$F$21:$F$25</xm:f>
          </x14:formula1>
          <xm:sqref>K75:R155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N5"/>
  <sheetViews>
    <sheetView topLeftCell="F3" workbookViewId="0">
      <selection activeCell="N8" sqref="N8"/>
    </sheetView>
  </sheetViews>
  <sheetFormatPr defaultColWidth="11.42578125" defaultRowHeight="15"/>
  <cols>
    <col min="1" max="1" width="18.85546875" customWidth="1"/>
    <col min="2" max="3" width="28.140625" customWidth="1"/>
    <col min="5" max="5" width="22.85546875" customWidth="1"/>
    <col min="6" max="6" width="22.28515625" customWidth="1"/>
    <col min="7" max="7" width="16.5703125" customWidth="1"/>
    <col min="8" max="8" width="16.7109375" customWidth="1"/>
    <col min="9" max="9" width="18.140625" customWidth="1"/>
    <col min="11" max="11" width="20" customWidth="1"/>
  </cols>
  <sheetData>
    <row r="1" spans="1:14" ht="15.75" thickBot="1"/>
    <row r="2" spans="1:14" ht="126" customHeight="1">
      <c r="A2" s="139" t="s">
        <v>188</v>
      </c>
      <c r="B2" s="150" t="s">
        <v>189</v>
      </c>
      <c r="C2" s="116" t="s">
        <v>190</v>
      </c>
      <c r="D2" s="127" t="s">
        <v>43</v>
      </c>
      <c r="E2" s="128"/>
      <c r="F2" s="129"/>
      <c r="G2" s="133" t="s">
        <v>44</v>
      </c>
      <c r="H2" s="134"/>
      <c r="I2" s="135"/>
      <c r="J2" s="123" t="s">
        <v>45</v>
      </c>
      <c r="K2" s="147"/>
      <c r="L2" s="141" t="s">
        <v>191</v>
      </c>
      <c r="M2" s="142"/>
      <c r="N2" s="143"/>
    </row>
    <row r="3" spans="1:14" ht="15.75" thickBot="1">
      <c r="A3" s="140"/>
      <c r="B3" s="151"/>
      <c r="C3" s="149"/>
      <c r="D3" s="130"/>
      <c r="E3" s="131"/>
      <c r="F3" s="132"/>
      <c r="G3" s="136"/>
      <c r="H3" s="137"/>
      <c r="I3" s="138"/>
      <c r="J3" s="125"/>
      <c r="K3" s="148"/>
      <c r="L3" s="144"/>
      <c r="M3" s="145"/>
      <c r="N3" s="146"/>
    </row>
    <row r="4" spans="1:14" ht="89.45" customHeight="1">
      <c r="A4" s="140"/>
      <c r="B4" s="151"/>
      <c r="C4" s="149"/>
      <c r="D4" s="57" t="s">
        <v>55</v>
      </c>
      <c r="E4" s="57" t="s">
        <v>56</v>
      </c>
      <c r="F4" s="57" t="s">
        <v>57</v>
      </c>
      <c r="G4" s="58" t="s">
        <v>58</v>
      </c>
      <c r="H4" s="58" t="s">
        <v>59</v>
      </c>
      <c r="I4" s="58" t="s">
        <v>60</v>
      </c>
      <c r="J4" s="59" t="s">
        <v>61</v>
      </c>
      <c r="K4" s="60" t="s">
        <v>37</v>
      </c>
      <c r="L4" s="61" t="s">
        <v>192</v>
      </c>
      <c r="M4" s="61" t="s">
        <v>193</v>
      </c>
      <c r="N4" s="84" t="s">
        <v>64</v>
      </c>
    </row>
    <row r="5" spans="1:14">
      <c r="A5" s="27">
        <v>26</v>
      </c>
      <c r="B5" s="27">
        <v>23</v>
      </c>
      <c r="C5" s="83">
        <f>B5/A5</f>
        <v>0.88461538461538458</v>
      </c>
      <c r="D5" s="27">
        <v>3</v>
      </c>
      <c r="E5" s="27">
        <v>3</v>
      </c>
      <c r="F5" s="27">
        <v>2.2173913043478262</v>
      </c>
      <c r="G5" s="27">
        <v>2.0434782608695654</v>
      </c>
      <c r="H5" s="27">
        <v>1.9565217391304348</v>
      </c>
      <c r="I5" s="27">
        <v>2.1739130434782608</v>
      </c>
      <c r="J5" s="27">
        <v>1.826086956521739</v>
      </c>
      <c r="K5" s="27">
        <v>1.9565217391304348</v>
      </c>
      <c r="L5" s="27">
        <v>18.173913043478262</v>
      </c>
      <c r="M5" s="83">
        <f>L5/32</f>
        <v>0.56793478260869568</v>
      </c>
      <c r="N5" s="85"/>
    </row>
  </sheetData>
  <mergeCells count="7">
    <mergeCell ref="A2:A4"/>
    <mergeCell ref="L2:N3"/>
    <mergeCell ref="D2:F3"/>
    <mergeCell ref="G2:I3"/>
    <mergeCell ref="J2:K3"/>
    <mergeCell ref="C2:C4"/>
    <mergeCell ref="B2:B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2:G27"/>
  <sheetViews>
    <sheetView workbookViewId="0">
      <selection activeCell="K22" sqref="K22"/>
    </sheetView>
  </sheetViews>
  <sheetFormatPr defaultColWidth="11.42578125" defaultRowHeight="15"/>
  <cols>
    <col min="5" max="5" width="71" customWidth="1"/>
    <col min="6" max="6" width="20.140625" customWidth="1"/>
    <col min="7" max="7" width="31.7109375" customWidth="1"/>
  </cols>
  <sheetData>
    <row r="2" spans="5:7" ht="64.5" customHeight="1"/>
    <row r="3" spans="5:7">
      <c r="E3" s="28" t="s">
        <v>194</v>
      </c>
      <c r="F3" s="29" t="s">
        <v>52</v>
      </c>
      <c r="G3" s="29" t="s">
        <v>195</v>
      </c>
    </row>
    <row r="4" spans="5:7">
      <c r="E4" s="27" t="s">
        <v>73</v>
      </c>
      <c r="F4" s="30" t="s">
        <v>74</v>
      </c>
      <c r="G4" s="27" t="s">
        <v>196</v>
      </c>
    </row>
    <row r="5" spans="5:7">
      <c r="E5" s="27" t="s">
        <v>197</v>
      </c>
      <c r="F5" s="30" t="s">
        <v>172</v>
      </c>
      <c r="G5" s="27" t="s">
        <v>173</v>
      </c>
    </row>
    <row r="6" spans="5:7">
      <c r="E6" s="27" t="s">
        <v>198</v>
      </c>
      <c r="F6" s="30" t="s">
        <v>199</v>
      </c>
      <c r="G6" s="27" t="s">
        <v>69</v>
      </c>
    </row>
    <row r="7" spans="5:7">
      <c r="E7" s="27" t="s">
        <v>68</v>
      </c>
      <c r="F7" s="27" t="s">
        <v>69</v>
      </c>
      <c r="G7" s="27"/>
    </row>
    <row r="8" spans="5:7">
      <c r="E8" s="27" t="s">
        <v>101</v>
      </c>
      <c r="F8" s="27"/>
      <c r="G8" s="27"/>
    </row>
    <row r="9" spans="5:7">
      <c r="E9" s="27" t="s">
        <v>200</v>
      </c>
      <c r="F9" s="27"/>
      <c r="G9" s="27"/>
    </row>
    <row r="10" spans="5:7">
      <c r="E10" s="27"/>
      <c r="F10" s="27"/>
      <c r="G10" s="27"/>
    </row>
    <row r="11" spans="5:7">
      <c r="E11" s="27"/>
      <c r="F11" s="27"/>
      <c r="G11" s="27"/>
    </row>
    <row r="12" spans="5:7">
      <c r="E12" s="27"/>
      <c r="F12" s="27"/>
      <c r="G12" s="27"/>
    </row>
    <row r="13" spans="5:7">
      <c r="E13" s="27"/>
      <c r="F13" s="27"/>
      <c r="G13" s="27"/>
    </row>
    <row r="14" spans="5:7">
      <c r="E14" s="27"/>
      <c r="F14" s="27"/>
      <c r="G14" s="27"/>
    </row>
    <row r="15" spans="5:7">
      <c r="E15" s="27"/>
      <c r="F15" s="27"/>
      <c r="G15" s="27"/>
    </row>
    <row r="16" spans="5:7">
      <c r="E16" s="27"/>
      <c r="F16" s="27"/>
      <c r="G16" s="27"/>
    </row>
    <row r="17" spans="5:7">
      <c r="E17" s="27"/>
      <c r="F17" s="27"/>
      <c r="G17" s="27"/>
    </row>
    <row r="20" spans="5:7">
      <c r="E20" s="28" t="s">
        <v>201</v>
      </c>
      <c r="F20" s="28" t="s">
        <v>202</v>
      </c>
    </row>
    <row r="21" spans="5:7">
      <c r="E21" s="28"/>
      <c r="F21" s="28">
        <v>0</v>
      </c>
    </row>
    <row r="22" spans="5:7">
      <c r="E22" s="28"/>
      <c r="F22" s="28">
        <v>1</v>
      </c>
    </row>
    <row r="23" spans="5:7">
      <c r="E23" s="28"/>
      <c r="F23" s="28">
        <v>2</v>
      </c>
    </row>
    <row r="24" spans="5:7">
      <c r="E24" s="28"/>
      <c r="F24" s="28">
        <v>3</v>
      </c>
    </row>
    <row r="25" spans="5:7">
      <c r="E25" s="28"/>
      <c r="F25" s="28">
        <v>4</v>
      </c>
    </row>
    <row r="26" spans="5:7">
      <c r="E26" s="28"/>
      <c r="F26" s="28"/>
    </row>
    <row r="27" spans="5:7">
      <c r="E27" s="28"/>
      <c r="F27"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BB69E-1277-47C6-94F1-FDECCD4C400B}">
  <dimension ref="B1:L13"/>
  <sheetViews>
    <sheetView tabSelected="1" topLeftCell="A11" workbookViewId="0">
      <selection activeCell="D13" sqref="D13:K13"/>
    </sheetView>
  </sheetViews>
  <sheetFormatPr defaultColWidth="11.42578125" defaultRowHeight="15"/>
  <cols>
    <col min="1" max="1" width="4.28515625" style="62" customWidth="1"/>
    <col min="2" max="2" width="5.28515625" style="62" customWidth="1"/>
    <col min="3" max="3" width="17.7109375" style="62" customWidth="1"/>
    <col min="4" max="9" width="11.42578125" style="62"/>
    <col min="10" max="10" width="14.7109375" style="62" customWidth="1"/>
    <col min="11" max="11" width="23.140625" style="62" customWidth="1"/>
    <col min="12" max="12" width="62.140625" style="62" customWidth="1"/>
    <col min="13" max="16384" width="11.42578125" style="62"/>
  </cols>
  <sheetData>
    <row r="1" spans="2:12" ht="169.9" customHeight="1">
      <c r="B1" s="159"/>
      <c r="C1" s="159"/>
      <c r="D1" s="159"/>
      <c r="E1" s="159"/>
      <c r="F1" s="159"/>
      <c r="G1" s="159"/>
      <c r="H1" s="159"/>
      <c r="I1" s="159"/>
      <c r="J1" s="159"/>
      <c r="K1" s="159"/>
      <c r="L1" s="159"/>
    </row>
    <row r="2" spans="2:12" ht="13.5" customHeight="1">
      <c r="B2" s="160" t="s">
        <v>203</v>
      </c>
      <c r="C2" s="160"/>
      <c r="D2" s="160"/>
      <c r="E2" s="160"/>
      <c r="F2" s="160"/>
      <c r="G2" s="160"/>
      <c r="H2" s="160"/>
      <c r="I2" s="160"/>
      <c r="J2" s="160"/>
      <c r="K2" s="160"/>
      <c r="L2" s="160"/>
    </row>
    <row r="3" spans="2:12" ht="15" customHeight="1">
      <c r="B3" s="160" t="s">
        <v>204</v>
      </c>
      <c r="C3" s="160"/>
      <c r="D3" s="160"/>
      <c r="E3" s="160"/>
      <c r="F3" s="160"/>
      <c r="G3" s="160"/>
      <c r="H3" s="160"/>
      <c r="I3" s="160"/>
      <c r="J3" s="160"/>
      <c r="K3" s="160"/>
      <c r="L3" s="160"/>
    </row>
    <row r="4" spans="2:12" ht="15" customHeight="1">
      <c r="B4" s="161" t="s">
        <v>205</v>
      </c>
      <c r="C4" s="160"/>
      <c r="D4" s="160"/>
      <c r="E4" s="160"/>
      <c r="F4" s="160"/>
      <c r="G4" s="160"/>
      <c r="H4" s="160"/>
      <c r="I4" s="160"/>
      <c r="J4" s="160"/>
      <c r="K4" s="160"/>
      <c r="L4" s="160"/>
    </row>
    <row r="5" spans="2:12" ht="13.5" customHeight="1">
      <c r="B5" s="162"/>
      <c r="C5" s="162"/>
      <c r="D5" s="162"/>
      <c r="E5" s="162"/>
      <c r="F5" s="162"/>
      <c r="G5" s="162"/>
      <c r="H5" s="162"/>
      <c r="I5" s="162"/>
      <c r="J5" s="162"/>
      <c r="K5" s="162"/>
      <c r="L5" s="162"/>
    </row>
    <row r="6" spans="2:12" ht="13.5" customHeight="1">
      <c r="B6" s="158" t="s">
        <v>206</v>
      </c>
      <c r="C6" s="158"/>
      <c r="D6" s="158"/>
      <c r="E6" s="158"/>
      <c r="F6" s="158"/>
      <c r="G6" s="158"/>
      <c r="H6" s="158"/>
      <c r="I6" s="158"/>
      <c r="J6" s="158"/>
      <c r="K6" s="158"/>
      <c r="L6" s="158"/>
    </row>
    <row r="7" spans="2:12">
      <c r="B7" s="153"/>
      <c r="C7" s="153"/>
      <c r="D7" s="153"/>
      <c r="E7" s="153"/>
      <c r="F7" s="153"/>
      <c r="G7" s="153"/>
      <c r="H7" s="153"/>
      <c r="I7" s="153"/>
      <c r="J7" s="153"/>
      <c r="K7" s="153"/>
      <c r="L7" s="153"/>
    </row>
    <row r="8" spans="2:12">
      <c r="B8" s="154" t="s">
        <v>207</v>
      </c>
      <c r="C8" s="154"/>
      <c r="D8" s="154"/>
      <c r="E8" s="154"/>
      <c r="F8" s="154"/>
      <c r="G8" s="154"/>
      <c r="H8" s="154"/>
      <c r="I8" s="154"/>
      <c r="J8" s="154"/>
      <c r="K8" s="154"/>
      <c r="L8" s="154"/>
    </row>
    <row r="9" spans="2:12" ht="55.5" customHeight="1">
      <c r="B9" s="155" t="s">
        <v>208</v>
      </c>
      <c r="C9" s="155"/>
      <c r="D9" s="155"/>
      <c r="E9" s="155"/>
      <c r="F9" s="155"/>
      <c r="G9" s="155"/>
      <c r="H9" s="155"/>
      <c r="I9" s="155"/>
      <c r="J9" s="155"/>
      <c r="K9" s="155"/>
      <c r="L9" s="155"/>
    </row>
    <row r="10" spans="2:12">
      <c r="B10" s="63" t="s">
        <v>209</v>
      </c>
      <c r="C10" s="63" t="s">
        <v>210</v>
      </c>
      <c r="D10" s="154" t="s">
        <v>211</v>
      </c>
      <c r="E10" s="154"/>
      <c r="F10" s="154"/>
      <c r="G10" s="154"/>
      <c r="H10" s="154"/>
      <c r="I10" s="154"/>
      <c r="J10" s="154"/>
      <c r="K10" s="154"/>
      <c r="L10" s="63" t="s">
        <v>212</v>
      </c>
    </row>
    <row r="11" spans="2:12" ht="137.25" customHeight="1">
      <c r="B11" s="63" t="s">
        <v>213</v>
      </c>
      <c r="C11" s="64" t="s">
        <v>214</v>
      </c>
      <c r="D11" s="156" t="s">
        <v>215</v>
      </c>
      <c r="E11" s="157"/>
      <c r="F11" s="157"/>
      <c r="G11" s="157"/>
      <c r="H11" s="157"/>
      <c r="I11" s="157"/>
      <c r="J11" s="157"/>
      <c r="K11" s="157"/>
      <c r="L11" s="86" t="s">
        <v>216</v>
      </c>
    </row>
    <row r="12" spans="2:12" ht="135" customHeight="1">
      <c r="B12" s="63" t="s">
        <v>217</v>
      </c>
      <c r="C12" s="64" t="s">
        <v>218</v>
      </c>
      <c r="D12" s="152" t="s">
        <v>219</v>
      </c>
      <c r="E12" s="157"/>
      <c r="F12" s="157"/>
      <c r="G12" s="157"/>
      <c r="H12" s="157"/>
      <c r="I12" s="157"/>
      <c r="J12" s="157"/>
      <c r="K12" s="157"/>
      <c r="L12" s="86" t="s">
        <v>220</v>
      </c>
    </row>
    <row r="13" spans="2:12" ht="105.75" customHeight="1">
      <c r="B13" s="63" t="s">
        <v>221</v>
      </c>
      <c r="C13" s="64" t="s">
        <v>222</v>
      </c>
      <c r="D13" s="152" t="s">
        <v>223</v>
      </c>
      <c r="E13" s="152"/>
      <c r="F13" s="152"/>
      <c r="G13" s="152"/>
      <c r="H13" s="152"/>
      <c r="I13" s="152"/>
      <c r="J13" s="152"/>
      <c r="K13" s="152"/>
      <c r="L13" s="86" t="s">
        <v>224</v>
      </c>
    </row>
  </sheetData>
  <mergeCells count="13">
    <mergeCell ref="B6:L6"/>
    <mergeCell ref="B1:L1"/>
    <mergeCell ref="B2:L2"/>
    <mergeCell ref="B3:L3"/>
    <mergeCell ref="B4:L4"/>
    <mergeCell ref="B5:L5"/>
    <mergeCell ref="D13:K13"/>
    <mergeCell ref="B7:L7"/>
    <mergeCell ref="B8:L8"/>
    <mergeCell ref="B9:L9"/>
    <mergeCell ref="D10:K10"/>
    <mergeCell ref="D11:K11"/>
    <mergeCell ref="D12:K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5703125" bestFit="1" customWidth="1"/>
  </cols>
  <sheetData>
    <row r="1" spans="1:3" ht="15.75">
      <c r="A1" s="2" t="s">
        <v>225</v>
      </c>
      <c r="C1" t="s">
        <v>226</v>
      </c>
    </row>
    <row r="2" spans="1:3" ht="15.75">
      <c r="A2" s="2" t="s">
        <v>227</v>
      </c>
      <c r="C2" t="s">
        <v>228</v>
      </c>
    </row>
    <row r="3" spans="1:3" ht="15.75">
      <c r="A3" s="2" t="s">
        <v>229</v>
      </c>
    </row>
    <row r="4" spans="1:3" ht="15.75">
      <c r="A4" s="2" t="s">
        <v>230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90FD4D937440C418D73E14211BF1D06" ma:contentTypeVersion="14" ma:contentTypeDescription="Crear nuevo documento." ma:contentTypeScope="" ma:versionID="e5ba207af20df608d02e82aa9466b375">
  <xsd:schema xmlns:xsd="http://www.w3.org/2001/XMLSchema" xmlns:xs="http://www.w3.org/2001/XMLSchema" xmlns:p="http://schemas.microsoft.com/office/2006/metadata/properties" xmlns:ns2="3f122aa1-12f6-474a-af36-ee338f4fc679" xmlns:ns3="b93d6c54-c640-4f50-9f62-17e849b67bf4" targetNamespace="http://schemas.microsoft.com/office/2006/metadata/properties" ma:root="true" ma:fieldsID="bbeaac0fec1a2256ea7b4ad12e71e0ef" ns2:_="" ns3:_="">
    <xsd:import namespace="3f122aa1-12f6-474a-af36-ee338f4fc679"/>
    <xsd:import namespace="b93d6c54-c640-4f50-9f62-17e849b67b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122aa1-12f6-474a-af36-ee338f4fc6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b4839903-1dbc-4f59-8162-716549e3eb3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3d6c54-c640-4f50-9f62-17e849b67bf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31e9c4-aae4-460f-927f-269d39b9a5e2}" ma:internalName="TaxCatchAll" ma:showField="CatchAllData" ma:web="b93d6c54-c640-4f50-9f62-17e849b67b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f122aa1-12f6-474a-af36-ee338f4fc679">
      <Terms xmlns="http://schemas.microsoft.com/office/infopath/2007/PartnerControls"/>
    </lcf76f155ced4ddcb4097134ff3c332f>
    <TaxCatchAll xmlns="b93d6c54-c640-4f50-9f62-17e849b67bf4" xsi:nil="true"/>
  </documentManagement>
</p:properties>
</file>

<file path=customXml/itemProps1.xml><?xml version="1.0" encoding="utf-8"?>
<ds:datastoreItem xmlns:ds="http://schemas.openxmlformats.org/officeDocument/2006/customXml" ds:itemID="{E111B553-7FD8-4A72-8E86-E93433223406}"/>
</file>

<file path=customXml/itemProps2.xml><?xml version="1.0" encoding="utf-8"?>
<ds:datastoreItem xmlns:ds="http://schemas.openxmlformats.org/officeDocument/2006/customXml" ds:itemID="{028E3916-B310-466A-B5C1-8CE314248F41}"/>
</file>

<file path=customXml/itemProps3.xml><?xml version="1.0" encoding="utf-8"?>
<ds:datastoreItem xmlns:ds="http://schemas.openxmlformats.org/officeDocument/2006/customXml" ds:itemID="{DD4FE660-53ED-4D92-984E-4954D737951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ISIDORA PATRICIA GARNHAM SOTO</cp:lastModifiedBy>
  <cp:revision/>
  <dcterms:created xsi:type="dcterms:W3CDTF">2024-06-12T20:22:02Z</dcterms:created>
  <dcterms:modified xsi:type="dcterms:W3CDTF">2025-09-09T13:28:56Z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0x010100690FD4D937440C418D73E14211BF1D06</vt:lpwstr>
  </property>
</Properties>
</file>