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mc:AlternateContent xmlns:mc="http://schemas.openxmlformats.org/markup-compatibility/2006">
    <mc:Choice Requires="x15">
      <x15ac:absPath xmlns:x15ac="http://schemas.microsoft.com/office/spreadsheetml/2010/11/ac" url="C:\Users\vubal\Dropbox\UAH 2025\EPI 2025\Formatos excel result por carrera\FEN\"/>
    </mc:Choice>
  </mc:AlternateContent>
  <xr:revisionPtr revIDLastSave="177" documentId="13_ncr:1_{E31E4676-BC12-445F-B2BF-D4CB5735DB58}" xr6:coauthVersionLast="47" xr6:coauthVersionMax="47" xr10:uidLastSave="{982E05AF-4859-474A-97C7-810532921D9C}"/>
  <bookViews>
    <workbookView xWindow="-120" yWindow="-120" windowWidth="29040" windowHeight="15840" tabRatio="817" firstSheet="2" activeTab="2" xr2:uid="{00000000-000D-0000-FFFF-FFFF00000000}"/>
  </bookViews>
  <sheets>
    <sheet name="Rúbrica Resultados Globales" sheetId="1" r:id="rId1"/>
    <sheet name="Rúbrica situación evaluativa " sheetId="5" r:id="rId2"/>
    <sheet name="Resultados Individuales" sheetId="2" r:id="rId3"/>
    <sheet name="Resultados Grupales" sheetId="4" r:id="rId4"/>
    <sheet name="Validación datos NO BORRAR" sheetId="6" r:id="rId5"/>
    <sheet name="Acciones" sheetId="7" r:id="rId6"/>
    <sheet name="Hoja1" sheetId="3" state="hidden" r:id="rId7"/>
  </sheets>
  <definedNames>
    <definedName name="_xlnm._FilterDatabase" localSheetId="2" hidden="1">'Resultados Individuales'!$A$4:$U$4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 i="2" l="1"/>
  <c r="T5" i="2"/>
  <c r="S6" i="2"/>
  <c r="T6" i="2"/>
  <c r="S7" i="2"/>
  <c r="T7" i="2"/>
  <c r="S8" i="2"/>
  <c r="T8" i="2"/>
  <c r="S9" i="2"/>
  <c r="T9" i="2"/>
  <c r="S10" i="2"/>
  <c r="T10" i="2"/>
  <c r="S11" i="2"/>
  <c r="T11" i="2"/>
  <c r="S12" i="2"/>
  <c r="T12" i="2"/>
  <c r="S13" i="2"/>
  <c r="T13" i="2"/>
  <c r="S14" i="2"/>
  <c r="T14" i="2"/>
  <c r="S15" i="2"/>
  <c r="T15" i="2"/>
  <c r="S16" i="2"/>
  <c r="T16" i="2"/>
  <c r="S17" i="2"/>
  <c r="T17" i="2"/>
  <c r="S18" i="2"/>
  <c r="T18" i="2"/>
  <c r="S19" i="2"/>
  <c r="T19" i="2"/>
  <c r="S20" i="2"/>
  <c r="T20" i="2"/>
  <c r="S21" i="2"/>
  <c r="T21" i="2"/>
  <c r="S22" i="2"/>
  <c r="T22" i="2"/>
  <c r="S23" i="2"/>
  <c r="T23" i="2"/>
  <c r="S24" i="2"/>
  <c r="T24" i="2"/>
  <c r="S25" i="2"/>
  <c r="T25" i="2"/>
  <c r="S26" i="2"/>
  <c r="T26" i="2"/>
  <c r="S27" i="2"/>
  <c r="T27" i="2"/>
  <c r="S28" i="2"/>
  <c r="T28" i="2"/>
  <c r="S29" i="2"/>
  <c r="T29" i="2"/>
  <c r="S30" i="2"/>
  <c r="T30" i="2"/>
  <c r="S31" i="2"/>
  <c r="T31" i="2"/>
  <c r="S32" i="2"/>
  <c r="T32" i="2"/>
  <c r="S33" i="2"/>
  <c r="T33" i="2"/>
  <c r="S34" i="2"/>
  <c r="T34" i="2"/>
  <c r="S35" i="2"/>
  <c r="T35" i="2"/>
  <c r="S36" i="2"/>
  <c r="T36" i="2"/>
  <c r="S37" i="2"/>
  <c r="T37" i="2"/>
  <c r="S38" i="2"/>
  <c r="T38" i="2"/>
  <c r="S39" i="2"/>
  <c r="T39" i="2"/>
  <c r="S40" i="2"/>
  <c r="T40" i="2"/>
  <c r="S41" i="2"/>
  <c r="T41" i="2"/>
  <c r="S42" i="2"/>
  <c r="T42" i="2"/>
  <c r="S43" i="2"/>
  <c r="T43" i="2"/>
  <c r="S4" i="2"/>
  <c r="T4" i="2" s="1"/>
</calcChain>
</file>

<file path=xl/sharedStrings.xml><?xml version="1.0" encoding="utf-8"?>
<sst xmlns="http://schemas.openxmlformats.org/spreadsheetml/2006/main" count="382" uniqueCount="271">
  <si>
    <t>A)</t>
  </si>
  <si>
    <t>Definiciones a nivel micro (rúbrica)</t>
  </si>
  <si>
    <t xml:space="preserve">Nivel de logro </t>
  </si>
  <si>
    <t>Óptimo</t>
  </si>
  <si>
    <t>Satisfactorio</t>
  </si>
  <si>
    <t>Base</t>
  </si>
  <si>
    <t>Por Mejorar</t>
  </si>
  <si>
    <t>No observado</t>
  </si>
  <si>
    <t>(4 puntos)</t>
  </si>
  <si>
    <t>(3 puntos)</t>
  </si>
  <si>
    <t>(2 puntos)</t>
  </si>
  <si>
    <t>(1 punto)</t>
  </si>
  <si>
    <t>(0 punto)</t>
  </si>
  <si>
    <t>El desempeño descrito  se logra completamente</t>
  </si>
  <si>
    <t xml:space="preserve">El desempeño descrito  se logra, sin embargo, presenta algunas imprecisiones. </t>
  </si>
  <si>
    <t>El desempeño descrito se logra de forma mínima</t>
  </si>
  <si>
    <t>El desempeño descrito se presenta de forma errónea y/o no se ajusta a lo solicitado</t>
  </si>
  <si>
    <t>El desempeño descrito no es observado dada la ausencia de acciones o productos</t>
  </si>
  <si>
    <t xml:space="preserve">B) </t>
  </si>
  <si>
    <t>Definiciones a nivel macro (EPI)</t>
  </si>
  <si>
    <t xml:space="preserve">El presente documento tiene por objetivo especificar los criterios que dan origen a las definiciones del indicador global de EPI.
Entendemos que la EPI es una evaluación formativa, donde existe una diversidad de instrumentos y exigencias asociadas a ellos que responde a la especificidad de cada disciplina. Sin embargo, desde el nivel central el foco se sitúa fundamentalmente en detectar las necesidades de apoyo necesarias que requeriría el estudiantado para continuar su ciclo de profundización, y, en otro casos, para detectar los niveles de autonomía que presentan los/las estudiantes para transitar al ciclo de profundización. En este contexto, los términos utilizados la columna “Justificación” de la siguiente tabla, como; “buen nivel”, “apropiado”,” mínimo”, deben entenderse en el contexto específico y situado de cada evaluación.
                                                                                                                              </t>
  </si>
  <si>
    <t xml:space="preserve">Categorías </t>
  </si>
  <si>
    <t xml:space="preserve">Por Mejorar </t>
  </si>
  <si>
    <t xml:space="preserve">Porcentajes </t>
  </si>
  <si>
    <t>100%-85%</t>
  </si>
  <si>
    <t>84% - 65%</t>
  </si>
  <si>
    <t>64% - 50%</t>
  </si>
  <si>
    <t xml:space="preserve"> 0% - 49%</t>
  </si>
  <si>
    <t>Definiciones</t>
  </si>
  <si>
    <t>Los resultados obtenidos por el/la estudiante en la Evaluación de Perfil Intermedio evidencian que ha logrado los aprendizajes clave del Ciclo Básico de formación que le permiten  continuar con su trayectoria formativa en el Ciclo de Profundización y/ Especialización, con autonomía, avanzando en el desarrollo de los desempeños evidenciados.</t>
  </si>
  <si>
    <r>
      <t>Los resultados obtenidos por el/la estudiante en la Evaluación de Perfil Intermedio evidencian que ha logrado los aprendizajes clave del Ciclo Básico de formación que le permiten  continuar con su trayectoria formativa en el Ciclo de Profundización y/o Especialización, con autonomía.</t>
    </r>
    <r>
      <rPr>
        <sz val="11"/>
        <rFont val="Aptos Narrow"/>
        <family val="2"/>
        <scheme val="minor"/>
      </rPr>
      <t xml:space="preserve"> Sin embargo, se evidencian aspectos específicos y acotados en que es  necesario fortalecer los desempeños.</t>
    </r>
  </si>
  <si>
    <t>Los resultados obtenidos por el/la estudiante en la Evaluación de Perfil Intermedio evidencian que el logro de los aprendizajes clave del Ciclo Básico de formación se cumplen de manera mínimay requieren ser fortalecidos durante el Ciclo de Profundización y/o Especialización, para apoyar la continuidad de la trayectoria formativa.</t>
  </si>
  <si>
    <t>Los resultados obtenidos por el/la estudiante en la Evaluación de Perfil Intermedio evidencian que no se han logrado los aprendizajes clave del Ciclo Básico de formación  , requiriendo de acciones de apoyo  en el Ciclo de Profundización y/o Especialización que favorezcan el desarrollo de los desempeños evaluados y aseguren la continuidad de la trayectoria formativa.</t>
  </si>
  <si>
    <t xml:space="preserve">El/la estudiante en la Evaluación de Perfil Intermedio no presenta respuestas, lo que no permite evidenciar el logro de los aprendizajes clave del Ciclo Básico de formación. </t>
  </si>
  <si>
    <t>El/la estudiante avanza con autonomía al Ciclo de Profundización y/o Especialización.
Cuenta con desempeños relevantes para la continuidad de su trayectoria formativa</t>
  </si>
  <si>
    <t>El/la estudiante avanza al Ciclo de Profundización y/o Especialización con apoyos adicionales para desarrollar los aprendizajes prioritarios que permiten dar continuidad a su trayectoria formativa</t>
  </si>
  <si>
    <t>Acciones de fortalecimiento de las trayectorias formativas</t>
  </si>
  <si>
    <t>Justificación</t>
  </si>
  <si>
    <t xml:space="preserve">Dado el carácter formativo de esta evaluación, se define este nivel a partir del 85% ya que a partir de este porcentaje se evidencia con claridad un buen nivel de conocimientos teórico-disciplinares de los contenidos, así como un muy buen manejo metodológico/práctico de estos, sin necesitar apoyos especificos.  </t>
  </si>
  <si>
    <t>Dado el carácter formativo de esta evaluación, se define este nivel a partir del 65% y no del 70% en función del criterio de la autonomía para poder continuar hacia el ciclo de profundización, siendo el 65% un nivel de solidez suficiente para aquello, demostrando un conocimiento apropiado de los conocimientos teórico-disciplinares y un manejo apropiado metodológico/práctico de estos. 
Esto también obedece a la diversidad de EPIs existentes y a los distintos niveles de exigencia de los distintos instrumentos.</t>
  </si>
  <si>
    <t xml:space="preserve">
Dado el carácter formativo de la evaluación, se define este nivel a partir del 50% ya que el/la estudiante demuestra un conocimiento/manejo básico de los contenidos/habilidades esenciales, sin embargo el nivel de profundidad de este manejo es superficial/parcial/insuficiente. logrando solo a mitad del puntaje. El nivel de profundidad de los aprendizajes logrados y la consecuente necesidad de apoyos predominan para definir los porcentajes de logro de este nivel. </t>
  </si>
  <si>
    <t>Dado el carácter formativo de la evaluación, se define este nivel como porcentajes de logro menores al 50%, ya que el/la estudiante no alcanza un mínimo de conocimiento ni manejo de contenidos y habilidades esperadas, evidenciando la necesidad de apoyos para poder transitar al ciclo de profundización.</t>
  </si>
  <si>
    <t>DATOS DE ESTUDIANTES DE LA COHORTE</t>
  </si>
  <si>
    <r>
      <rPr>
        <b/>
        <sz val="12"/>
        <color theme="1"/>
        <rFont val="Aptos Narrow"/>
        <family val="2"/>
        <scheme val="minor"/>
      </rPr>
      <t>Actividad problema 1
AREA CONTABILIDAD</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Nivel de logro No observado: 0 punto                                
Nivel de logro Bajo: 1 puntos
Nivel del logro Medio: 2 puntos
Nivel de logro Satisfactorio: 3 puntos 
</t>
    </r>
  </si>
  <si>
    <r>
      <rPr>
        <b/>
        <sz val="12"/>
        <color theme="1"/>
        <rFont val="Aptos Narrow"/>
        <family val="2"/>
        <scheme val="minor"/>
      </rPr>
      <t>Actividad problema 2</t>
    </r>
    <r>
      <rPr>
        <b/>
        <u/>
        <sz val="12"/>
        <color theme="1"/>
        <rFont val="Aptos Narrow"/>
        <family val="2"/>
        <scheme val="minor"/>
      </rPr>
      <t xml:space="preserve">
</t>
    </r>
    <r>
      <rPr>
        <b/>
        <sz val="11"/>
        <color theme="1"/>
        <rFont val="Aptos Narrow"/>
        <family val="2"/>
        <scheme val="minor"/>
      </rPr>
      <t xml:space="preserve">AREA TRIBUTARIA
</t>
    </r>
    <r>
      <rPr>
        <sz val="12"/>
        <color theme="1"/>
        <rFont val="Aptos Narrow"/>
        <family val="2"/>
        <scheme val="minor"/>
      </rPr>
      <t xml:space="preserve">                 
</t>
    </r>
    <r>
      <rPr>
        <i/>
        <sz val="11"/>
        <color theme="1"/>
        <rFont val="Aptos Narrow"/>
        <family val="2"/>
        <scheme val="minor"/>
      </rPr>
      <t xml:space="preserve">Nivel de logro No observado: 0 punto                                
Nivel de logro Bajo: 1 puntos
Nivel del logro Medio: 2 puntos
Nivel de logro Satisfactorio: 3 puntos 
</t>
    </r>
  </si>
  <si>
    <t>Resultados General por Estudiante</t>
  </si>
  <si>
    <t>RUT ESTUDIANTE</t>
  </si>
  <si>
    <t>DV</t>
  </si>
  <si>
    <t>NOMBRE COMPLETO</t>
  </si>
  <si>
    <t>PRIMER APELLIDO
(Apellido paterno)</t>
  </si>
  <si>
    <t>SEGUNDO APELLIDO
(Apellido materno)</t>
  </si>
  <si>
    <t>NOMBRES</t>
  </si>
  <si>
    <t>ESTADO DE HABILITACIÓN PARA RENDIR</t>
  </si>
  <si>
    <t>ESTATUS DE RENDICIÓN</t>
  </si>
  <si>
    <t>FECHA DE RENDICIÓN</t>
  </si>
  <si>
    <t>JUSTIFICACIÓN  DE NO RENDICIÓN</t>
  </si>
  <si>
    <t>Expresión escrita en un contexto disciplinar</t>
  </si>
  <si>
    <t xml:space="preserve">Técnicas contables bajo normas IFRS (Normas Internacionales de Información Financiera) </t>
  </si>
  <si>
    <t xml:space="preserve">Relación entre variables exógenas del entrono </t>
  </si>
  <si>
    <t xml:space="preserve">Herramierntas transversales de pensamiento lógico-matemático y de comprensión oral y escrita, derivadas de las áreas de contabilidad, tributaria,   auditoria y tecnologías de la información. </t>
  </si>
  <si>
    <t>Normas legales chilenas relativas al derecho comercial y tributario  (D.L 824  D.L 825)</t>
  </si>
  <si>
    <t xml:space="preserve">Relación de variables exógenas del entorno macroeconómico, con las variables económicas de las organizaciones </t>
  </si>
  <si>
    <t>Herramierntas transversales de pensamiento lógico-matemático y de comprensión oral y escrita, derivadas de las áreas de Contabiliodad y Tributaria.</t>
  </si>
  <si>
    <t>PUNTAJE TOTAL ESTUDIANTE</t>
  </si>
  <si>
    <t>PORCENTAJE DE LOGRO</t>
  </si>
  <si>
    <t>CATEGORÍA RESULTADO GLOBAL DEL ESTUDIANTE</t>
  </si>
  <si>
    <t>VALENTINA ANEXIS SANTANDER WAIBEL</t>
  </si>
  <si>
    <t>SANTANDER</t>
  </si>
  <si>
    <t>WAIBEL</t>
  </si>
  <si>
    <t>VALENTINA ANEXIS</t>
  </si>
  <si>
    <t>Avance curricular suficiente o adecuado para evaluar ciclo básico</t>
  </si>
  <si>
    <t xml:space="preserve">Rendida </t>
  </si>
  <si>
    <t>BRYAN IGNACIO PEÑA VILLARREAL</t>
  </si>
  <si>
    <t>PEÑA</t>
  </si>
  <si>
    <t>VILLARREAL</t>
  </si>
  <si>
    <t>BRYAN IGNACIO</t>
  </si>
  <si>
    <t>CHRISTOPHER ALEXANDER GUTIÉRREZ GUTIÉRREZ</t>
  </si>
  <si>
    <t>GUTIÉRREZ</t>
  </si>
  <si>
    <t>CHRISTOPHER ALEXANDER</t>
  </si>
  <si>
    <t>JULIO   IGNACIO FUENZALIDA BUSTAMANTE</t>
  </si>
  <si>
    <t>FUENZALIDA</t>
  </si>
  <si>
    <t>BUSTAMANTE</t>
  </si>
  <si>
    <t>JULIO   IGNACIO</t>
  </si>
  <si>
    <t>VALENTINA ALEJANDRA VILLANUEVA LÓPEZ</t>
  </si>
  <si>
    <t>VILLANUEVA</t>
  </si>
  <si>
    <t>LÓPEZ</t>
  </si>
  <si>
    <t>VALENTINA ALEJANDRA</t>
  </si>
  <si>
    <t>TANIA JULISSA MARÍA MENDOZA JUANICO</t>
  </si>
  <si>
    <t>MENDOZA</t>
  </si>
  <si>
    <t>JUANICO</t>
  </si>
  <si>
    <t>TANIA JULISSA MARÍA</t>
  </si>
  <si>
    <t>K</t>
  </si>
  <si>
    <t>NICOLAS ALEJANDRO APARICIO MAZA</t>
  </si>
  <si>
    <t>APARICIO</t>
  </si>
  <si>
    <t>MAZA</t>
  </si>
  <si>
    <t>NICOLAS ALEJANDRO</t>
  </si>
  <si>
    <t>MARÍA IGNACIA MIÑO OYARCE</t>
  </si>
  <si>
    <t>MIÑO</t>
  </si>
  <si>
    <t>OYARCE</t>
  </si>
  <si>
    <t>MARÍA IGNACIA</t>
  </si>
  <si>
    <t>THOMAS FERNANDO CANCINO ALARCON</t>
  </si>
  <si>
    <t>CANCINO</t>
  </si>
  <si>
    <t>ALARCON</t>
  </si>
  <si>
    <t>THOMAS FERNANDO</t>
  </si>
  <si>
    <t>ANGEL NICOLÁS PÉREZ ACEVEDO</t>
  </si>
  <si>
    <t>PÉREZ</t>
  </si>
  <si>
    <t>ACEVEDO</t>
  </si>
  <si>
    <t>ANGEL NICOLÁS</t>
  </si>
  <si>
    <t>JAVIERA INÉS URRUTIA RUIZ</t>
  </si>
  <si>
    <t>URRUTIA</t>
  </si>
  <si>
    <t>RUIZ</t>
  </si>
  <si>
    <t>JAVIERA INÉS</t>
  </si>
  <si>
    <t>MARTINA HERNA SCHULTZ VERA</t>
  </si>
  <si>
    <t>SCHULTZ</t>
  </si>
  <si>
    <t>VERA</t>
  </si>
  <si>
    <t>MARTINA HERNA</t>
  </si>
  <si>
    <t>ISIDORA MARÍA VICTORINA ASTUDILLO CORTÉS</t>
  </si>
  <si>
    <t>ASTUDILLO</t>
  </si>
  <si>
    <t>CORTÉS</t>
  </si>
  <si>
    <t>ISIDORA MARÍA VICTORINA</t>
  </si>
  <si>
    <t>MIGUEL ANGEL VILLAYZAN CEPEDA</t>
  </si>
  <si>
    <t>VILLAYZAN</t>
  </si>
  <si>
    <t>CEPEDA</t>
  </si>
  <si>
    <t>MIGUEL ANGEL</t>
  </si>
  <si>
    <t>ANAÍS ANDREA CONTRERAS REBOLLEDO</t>
  </si>
  <si>
    <t>CONTRERAS</t>
  </si>
  <si>
    <t>REBOLLEDO</t>
  </si>
  <si>
    <t>ANAÍS ANDREA</t>
  </si>
  <si>
    <t>AMARO PABLO DONAIRE DONAIRE</t>
  </si>
  <si>
    <t>DONAIRE</t>
  </si>
  <si>
    <t>AMARO PABLO</t>
  </si>
  <si>
    <t>ALEJANDRA PAZ TORRES CASTRO</t>
  </si>
  <si>
    <t>TORRES</t>
  </si>
  <si>
    <t>CASTRO</t>
  </si>
  <si>
    <t>ALEJANDRA PAZ</t>
  </si>
  <si>
    <t>YERAL PABLO RAIPÁN ANTILLANCA</t>
  </si>
  <si>
    <t>RAIPÁN</t>
  </si>
  <si>
    <t>ANTILLANCA</t>
  </si>
  <si>
    <t>YERAL PABLO</t>
  </si>
  <si>
    <t>BENJAMÍN IGNACIO NÚÑEZ LAGOS</t>
  </si>
  <si>
    <t>NÚÑEZ</t>
  </si>
  <si>
    <t>LAGOS</t>
  </si>
  <si>
    <t>BENJAMÍN IGNACIO</t>
  </si>
  <si>
    <t>Interrupción voluntaria (no rinde EPI 2025)</t>
  </si>
  <si>
    <t>No rendida</t>
  </si>
  <si>
    <t>No justifica</t>
  </si>
  <si>
    <t>BENJAMÍN IGNACIO LAGOS CÁCERES</t>
  </si>
  <si>
    <t>CÁCERES</t>
  </si>
  <si>
    <t>BENJAMÍN ANDRÉS ARAVENA MONTECINO</t>
  </si>
  <si>
    <t>ARAVENA</t>
  </si>
  <si>
    <t>MONTECINO</t>
  </si>
  <si>
    <t>BENJAMÍN ANDRÉS</t>
  </si>
  <si>
    <t>BÁRBARA PALOMA ABDALA GUEVARA</t>
  </si>
  <si>
    <t>ABDALA</t>
  </si>
  <si>
    <t>GUEVARA</t>
  </si>
  <si>
    <t>BÁRBARA PALOMA</t>
  </si>
  <si>
    <t>FIDEL AMARO ZÚÑIGA PEÑA</t>
  </si>
  <si>
    <t>ZÚÑIGA</t>
  </si>
  <si>
    <t>FIDEL AMARO</t>
  </si>
  <si>
    <t>DIEGO GIULLIANO CASTILLO GONZALES</t>
  </si>
  <si>
    <t>CASTILLO</t>
  </si>
  <si>
    <t>GONZALES</t>
  </si>
  <si>
    <t>DIEGO GIULLIANO</t>
  </si>
  <si>
    <t>MARCELA CAROLINA VALDEBENITO FREIRE</t>
  </si>
  <si>
    <t>VALDEBENITO</t>
  </si>
  <si>
    <t>FREIRE</t>
  </si>
  <si>
    <t>MARCELA CAROLINA</t>
  </si>
  <si>
    <t>SEBASTIÁN IGNACIO ARCE MANCILLA</t>
  </si>
  <si>
    <t>ARCE</t>
  </si>
  <si>
    <t>MANCILLA</t>
  </si>
  <si>
    <t>SEBASTIÁN IGNACIO</t>
  </si>
  <si>
    <t>ANTONIA BELÉN MARTÍNEZ VERGARA</t>
  </si>
  <si>
    <t>MARTÍNEZ</t>
  </si>
  <si>
    <t>VERGARA</t>
  </si>
  <si>
    <t>ANTONIA BELÉN</t>
  </si>
  <si>
    <t>ANAÍS BAITIARE BASUALTO NÚÑEZ</t>
  </si>
  <si>
    <t>BASUALTO</t>
  </si>
  <si>
    <t>ANAÍS BAITIARE</t>
  </si>
  <si>
    <t>BENJAMÍN ESTEBAN VALLEJOS LEÓN</t>
  </si>
  <si>
    <t>VALLEJOS</t>
  </si>
  <si>
    <t>LEÓN</t>
  </si>
  <si>
    <t>BENJAMÍN ESTEBAN</t>
  </si>
  <si>
    <t>MICHELLE ANETTE CARREÑO CONTRERAS</t>
  </si>
  <si>
    <t>CARREÑO</t>
  </si>
  <si>
    <t>MICHELLE ANETTE</t>
  </si>
  <si>
    <t>ANGIELA JAVIERA BRIJIDA MOORE REYES</t>
  </si>
  <si>
    <t>MOORE</t>
  </si>
  <si>
    <t>REYES</t>
  </si>
  <si>
    <t>ANGIELA JAVIERA BRIJIDA</t>
  </si>
  <si>
    <t>NICOLAS IGNACIO ARIAS MERCADO</t>
  </si>
  <si>
    <t>ARIAS</t>
  </si>
  <si>
    <t>MERCADO</t>
  </si>
  <si>
    <t>NICOLAS IGNACIO</t>
  </si>
  <si>
    <t>SHERLYN GABRIELA FLORIAN HUAMAN</t>
  </si>
  <si>
    <t>FLORIAN</t>
  </si>
  <si>
    <t>HUAMAN</t>
  </si>
  <si>
    <t>SHERLYN GABRIELA</t>
  </si>
  <si>
    <t>BENJAMÍN IGNACIO ÁLVAREZ DONOSO</t>
  </si>
  <si>
    <t>ÁLVAREZ</t>
  </si>
  <si>
    <t>DONOSO</t>
  </si>
  <si>
    <t>DARÍO FABIÁN MERINO GUTIÉRREZ</t>
  </si>
  <si>
    <t>MERINO</t>
  </si>
  <si>
    <t>DARÍO FABIÁN</t>
  </si>
  <si>
    <t>ISIDORA ALEJANDRA MAC-NAMARA SALAZAR</t>
  </si>
  <si>
    <t>MAC-NAMARA</t>
  </si>
  <si>
    <t>SALAZAR</t>
  </si>
  <si>
    <t>ISIDORA ALEJANDRA</t>
  </si>
  <si>
    <t>PIA JAVIERA CONTRERAS SEPÚLVEDA</t>
  </si>
  <si>
    <t>SEPÚLVEDA</t>
  </si>
  <si>
    <t>PIA JAVIERA</t>
  </si>
  <si>
    <t>ANTONIA MAKARENNA MORENO CORTÉS</t>
  </si>
  <si>
    <t>MORENO</t>
  </si>
  <si>
    <t>ANTONIA MAKARENNA</t>
  </si>
  <si>
    <t>OSCAR ANDRES STHPANO ANICETO DIAZ</t>
  </si>
  <si>
    <t>ANICETO</t>
  </si>
  <si>
    <t>DIAZ</t>
  </si>
  <si>
    <t>OSCAR ANDRES STHPANO</t>
  </si>
  <si>
    <t>MARIA ANGELICA RODRIGUEZ BARBOZA</t>
  </si>
  <si>
    <t>RODRIGUEZ</t>
  </si>
  <si>
    <t>BARBOZA</t>
  </si>
  <si>
    <t>MARIA ANGELICA</t>
  </si>
  <si>
    <r>
      <rPr>
        <b/>
        <u/>
        <sz val="12"/>
        <color theme="1"/>
        <rFont val="Aptos Narrow"/>
        <family val="2"/>
        <scheme val="minor"/>
      </rPr>
      <t>Actividad problema 1</t>
    </r>
    <r>
      <rPr>
        <sz val="11"/>
        <color theme="1"/>
        <rFont val="Aptos Narrow"/>
        <family val="2"/>
        <scheme val="minor"/>
      </rPr>
      <t xml:space="preserve">
</t>
    </r>
    <r>
      <rPr>
        <sz val="12"/>
        <color theme="1"/>
        <rFont val="Aptos Narrow"/>
        <family val="2"/>
        <scheme val="minor"/>
      </rPr>
      <t xml:space="preserve">                 
</t>
    </r>
    <r>
      <rPr>
        <i/>
        <sz val="11"/>
        <color theme="1"/>
        <rFont val="Aptos Narrow"/>
        <family val="2"/>
        <scheme val="minor"/>
      </rPr>
      <t xml:space="preserve">Nivel de logro No observado: 0 punto                                
Nivel de logro Bajo: 1 puntos
Nivel del logro Medio: 2 puntos
Nivel de logro Satisfactorio: 3 puntos 
</t>
    </r>
  </si>
  <si>
    <t>Resultados Generales Cohorte</t>
  </si>
  <si>
    <t xml:space="preserve"> N Estudiantes habilitados para rendir</t>
  </si>
  <si>
    <t xml:space="preserve"> N Estudiantes que rindieron</t>
  </si>
  <si>
    <t xml:space="preserve">Porcentaje de cobertura EPI </t>
  </si>
  <si>
    <t>DIMENSIÓN 1</t>
  </si>
  <si>
    <t>DIMENSIÓN 2</t>
  </si>
  <si>
    <t>DIMENSIÓN 3</t>
  </si>
  <si>
    <t>DIMENSIÓN 4</t>
  </si>
  <si>
    <t>PORCENTAJE DE LOGRO EPI 2025</t>
  </si>
  <si>
    <t>CATEGORÍA RESULTADO GLOBAL</t>
  </si>
  <si>
    <t>C1</t>
  </si>
  <si>
    <t>Estado de Habilitación para rendir</t>
  </si>
  <si>
    <t>JUSTIFICATIVO DE NO RENDICIÓN</t>
  </si>
  <si>
    <t>D1</t>
  </si>
  <si>
    <t>Justifica</t>
  </si>
  <si>
    <t>Avance curricular insuficiente para evaluar ciclo básico (no rinde EPI 2025)</t>
  </si>
  <si>
    <t>EPI pendiente periodo anterior</t>
  </si>
  <si>
    <t>Rendida no válida</t>
  </si>
  <si>
    <t>No aplica</t>
  </si>
  <si>
    <t>Expulsión</t>
  </si>
  <si>
    <t>Retracto</t>
  </si>
  <si>
    <t>NOMBRE DE LA FACULTAD</t>
  </si>
  <si>
    <t xml:space="preserve">NOMBRE DEL PROGRAMA ACADÉMICO </t>
  </si>
  <si>
    <r>
      <t xml:space="preserve">PLAN DE ESTUDIO </t>
    </r>
    <r>
      <rPr>
        <b/>
        <sz val="11"/>
        <color rgb="FF0070C0"/>
        <rFont val="Aptos Narrow"/>
        <family val="2"/>
        <scheme val="minor"/>
      </rPr>
      <t>AÑO</t>
    </r>
  </si>
  <si>
    <t>Instrucciones: completar items en color azul. Se incorporan ejemplos que pueden se considerados por las unidades académicas para la elaboración de sus propuestas.</t>
  </si>
  <si>
    <t>ANÁLISIS Y TOMA DE DECISIONES BASADAS EN LA EVIDENCIA</t>
  </si>
  <si>
    <t xml:space="preserve">Se presentan, a continuación, las acciones planificadas considerando el análisis de los resultados de la aplicación EPI 2025. Estas acciones -consideradas para ser desarrolladas a corto, mediano y largo plazo- están orientadas a fortalecer el perfil intermedio intermedio del programa, teniendo a la vista las competencias con menores niveles de logro. </t>
  </si>
  <si>
    <t>N°</t>
  </si>
  <si>
    <t>TIPO DE ACCIÓN</t>
  </si>
  <si>
    <t>ACCIONES</t>
  </si>
  <si>
    <t>MEDIO DE VERIFICACIÓN</t>
  </si>
  <si>
    <t xml:space="preserve">I. </t>
  </si>
  <si>
    <t>CORTO PLAZO</t>
  </si>
  <si>
    <r>
      <t>Ejs. (acciones temporales que se realizan o buscan tener un impacto en el semestre consecutivo a la rendición de EPI)
- realizar tutorías personalizadas con estudiantes que obtuvieron bajos resultados.
- aplicar focus groups con estudiantes para indagar en variables que incidieron en los resultados (percepción sobre claridad de instrucciones, nivel de dificultad de las preguntas y nivel de preparación).
- llevar a cabo una revisión inmediata</t>
    </r>
    <r>
      <rPr>
        <i/>
        <sz val="11"/>
        <color theme="8" tint="0.39997558519241921"/>
        <rFont val="Aptos Narrow"/>
        <family val="2"/>
        <scheme val="minor"/>
      </rPr>
      <t xml:space="preserve"> </t>
    </r>
    <r>
      <rPr>
        <i/>
        <sz val="11"/>
        <color rgb="FF0070C0"/>
        <rFont val="Aptos Narrow"/>
        <family val="2"/>
        <scheme val="minor"/>
      </rPr>
      <t xml:space="preserve">de contenidos y metodologías </t>
    </r>
    <r>
      <rPr>
        <i/>
        <sz val="11"/>
        <color rgb="FF0070C0"/>
        <rFont val="Aptos Narrow"/>
        <family val="2"/>
        <scheme val="minor"/>
      </rPr>
      <t>programaciones d</t>
    </r>
    <r>
      <rPr>
        <i/>
        <sz val="11"/>
        <color rgb="FF0070C0"/>
        <rFont val="Aptos Narrow"/>
        <family val="2"/>
        <scheme val="minor"/>
      </rPr>
      <t xml:space="preserve">e las actividades curriculares del ciclo básico
-implementar evaluación diagnóstica durante ciclo básico, para detectar -de manera temprana- posibles dificultades que podrían interferir en el alcance del perfil intermedio.
</t>
    </r>
    <r>
      <rPr>
        <i/>
        <sz val="11"/>
        <color rgb="FF0070C0"/>
        <rFont val="Aptos Narrow"/>
        <family val="2"/>
        <scheme val="minor"/>
      </rPr>
      <t>-integrar en programaciones de actividades curriculares de 3er año, ajustes que favorezcan el desarrollo de las compentencias que evidenciaron un menor logro en EPI.
- ofrecer sesiones de refuerzo académico o tutorías personalizadas a estudiantes que han demostrado dificultades en la EPI, enfocándose en competencias en las que se hayan registrado debilidades.</t>
    </r>
  </si>
  <si>
    <t>Ejs. 
- listas de asistencia
- pauta preguntas focus gropu 
- acta sesión del comité curricular del programa académico</t>
  </si>
  <si>
    <t xml:space="preserve">II. </t>
  </si>
  <si>
    <t>MEDIANO PLAZO</t>
  </si>
  <si>
    <r>
      <t xml:space="preserve">Ejs. (acciones temporales que se realizan o buscan tener un impacto más allá de transcurrido un semestre de la rendición de EPI)
- desarrollar jornadas de trabajo con el equipo docente y directivo del programa académico para definir ajustes en las programaciones de las actividades curriculares </t>
    </r>
    <r>
      <rPr>
        <i/>
        <sz val="11"/>
        <color rgb="FF0070C0"/>
        <rFont val="Aptos Narrow"/>
        <family val="2"/>
        <scheme val="minor"/>
      </rPr>
      <t xml:space="preserve">del ciclo de profundización, </t>
    </r>
    <r>
      <rPr>
        <i/>
        <sz val="11"/>
        <color rgb="FF0070C0"/>
        <rFont val="Aptos Narrow"/>
        <family val="2"/>
        <scheme val="minor"/>
      </rPr>
      <t xml:space="preserve">particularmente en lo referido a metodologías y evaluaciones.
- incorporar, en programaciones del ciclo básico, actividades de aprendizaje y evaluaciones orientadas a favorecer las competencias más descendidas en la EPI.
</t>
    </r>
    <r>
      <rPr>
        <i/>
        <sz val="11"/>
        <color rgb="FF0070C0"/>
        <rFont val="Aptos Narrow"/>
        <family val="2"/>
        <scheme val="minor"/>
      </rPr>
      <t>- analizar comparativamente las calificaciones obtenidas en el ciclo básico con los resultados de EPI, para evaluar nudos críticos en la implementación del plan de estudio que puedan ser abordados con anticipación.</t>
    </r>
  </si>
  <si>
    <t>Ejs. 
- programaciones de las actividades curriculares XXXX; XXXX; XXXX</t>
  </si>
  <si>
    <t xml:space="preserve">III. </t>
  </si>
  <si>
    <t>LARGO PLAZO</t>
  </si>
  <si>
    <r>
      <t xml:space="preserve">Ejs. (acciones que buscan una implementación estable o permanente en el tiempo)
- elaborar una actividad curricular de formación complementaria (OFC) orientada a fortalecer competencias más descendidas 
- actualizar plan de estudio, ajustando programas de actividades curriculares, carga académica y ubicación de actividades curriculares en el ciclo básico.
- </t>
    </r>
    <r>
      <rPr>
        <i/>
        <sz val="11"/>
        <color rgb="FF0070C0"/>
        <rFont val="Aptos Narrow"/>
        <family val="2"/>
        <scheme val="minor"/>
      </rPr>
      <t>generar instancias para</t>
    </r>
    <r>
      <rPr>
        <i/>
        <sz val="11"/>
        <color rgb="FF0070C0"/>
        <rFont val="Aptos Narrow"/>
        <family val="2"/>
        <scheme val="minor"/>
      </rPr>
      <t xml:space="preserve"> la colaboración entre docentes para </t>
    </r>
    <r>
      <rPr>
        <i/>
        <sz val="11"/>
        <color rgb="FF0070C0"/>
        <rFont val="Aptos Narrow"/>
        <family val="2"/>
        <scheme val="minor"/>
      </rPr>
      <t>con el propósito de co</t>
    </r>
    <r>
      <rPr>
        <i/>
        <sz val="11"/>
        <color rgb="FF0070C0"/>
        <rFont val="Aptos Narrow"/>
        <family val="2"/>
        <scheme val="minor"/>
      </rPr>
      <t xml:space="preserve">mpartir mejores prácticas y desarrollar estrategias pedagógicas más coherentes y efectivas en el ciclo básico del plan de estudio
</t>
    </r>
  </si>
  <si>
    <t>Ejs. 
- programa OFC
- programas de actividades curriculares del ciclo básico, actualizadas</t>
  </si>
  <si>
    <t>POR MEJORAR</t>
  </si>
  <si>
    <t>RINDE</t>
  </si>
  <si>
    <t>SUFICIENTE</t>
  </si>
  <si>
    <t>NO RINDE</t>
  </si>
  <si>
    <t>SATISFACTORIO</t>
  </si>
  <si>
    <t>ÓPTIMO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</si>
</sst>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9"/>
      <name val="Aptos Narrow"/>
      <family val="2"/>
      <scheme val="minor"/>
    </font>
    <font>
      <b/>
      <sz val="10"/>
      <color theme="1"/>
      <name val="Aptos Narrow"/>
      <family val="2"/>
      <scheme val="minor"/>
    </font>
    <font>
      <sz val="12"/>
      <color theme="1"/>
      <name val="Aptos"/>
      <family val="2"/>
    </font>
    <font>
      <b/>
      <sz val="11"/>
      <color theme="1"/>
      <name val="Aptos Narrow"/>
      <family val="2"/>
      <scheme val="minor"/>
    </font>
    <font>
      <b/>
      <sz val="11"/>
      <color rgb="FF000000"/>
      <name val="Aptos Narrow"/>
      <family val="2"/>
      <scheme val="minor"/>
    </font>
    <font>
      <sz val="11"/>
      <name val="Aptos Narrow"/>
      <family val="2"/>
      <scheme val="minor"/>
    </font>
    <font>
      <sz val="11"/>
      <color rgb="FF242424"/>
      <name val="Aptos Narrow"/>
      <family val="2"/>
    </font>
    <font>
      <i/>
      <sz val="11"/>
      <color theme="1"/>
      <name val="Aptos Narrow"/>
      <family val="2"/>
      <scheme val="minor"/>
    </font>
    <font>
      <sz val="12"/>
      <color theme="1"/>
      <name val="Aptos Narrow"/>
      <family val="2"/>
      <scheme val="minor"/>
    </font>
    <font>
      <b/>
      <u/>
      <sz val="12"/>
      <color theme="1"/>
      <name val="Aptos Narrow"/>
      <family val="2"/>
      <scheme val="minor"/>
    </font>
    <font>
      <sz val="11"/>
      <color theme="1"/>
      <name val="Calibri"/>
      <family val="2"/>
    </font>
    <font>
      <sz val="8"/>
      <name val="Aptos Narrow"/>
      <family val="2"/>
      <scheme val="minor"/>
    </font>
    <font>
      <b/>
      <sz val="11"/>
      <color rgb="FF0070C0"/>
      <name val="Aptos Narrow"/>
      <family val="2"/>
      <scheme val="minor"/>
    </font>
    <font>
      <b/>
      <sz val="11"/>
      <name val="Aptos Narrow"/>
      <family val="2"/>
      <scheme val="minor"/>
    </font>
    <font>
      <i/>
      <sz val="11"/>
      <color rgb="FF0070C0"/>
      <name val="Aptos Narrow"/>
      <family val="2"/>
      <scheme val="minor"/>
    </font>
    <font>
      <i/>
      <sz val="11"/>
      <color theme="8" tint="0.39997558519241921"/>
      <name val="Aptos Narrow"/>
      <family val="2"/>
      <scheme val="minor"/>
    </font>
    <font>
      <b/>
      <sz val="12"/>
      <color theme="1"/>
      <name val="Aptos Narrow"/>
      <family val="2"/>
      <scheme val="minor"/>
    </font>
  </fonts>
  <fills count="10">
    <fill>
      <patternFill patternType="none"/>
    </fill>
    <fill>
      <patternFill patternType="gray125"/>
    </fill>
    <fill>
      <patternFill patternType="solid">
        <fgColor theme="9" tint="0.59999389629810485"/>
        <bgColor indexed="64"/>
      </patternFill>
    </fill>
    <fill>
      <patternFill patternType="solid">
        <fgColor rgb="FFDDEBF7"/>
        <bgColor rgb="FF000000"/>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59999389629810485"/>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indexed="64"/>
      </top>
      <bottom style="thin">
        <color indexed="64"/>
      </bottom>
      <diagonal/>
    </border>
    <border>
      <left/>
      <right/>
      <top style="thin">
        <color rgb="FF000000"/>
      </top>
      <bottom style="thin">
        <color rgb="FF000000"/>
      </bottom>
      <diagonal/>
    </border>
    <border>
      <left/>
      <right/>
      <top/>
      <bottom style="thin">
        <color indexed="64"/>
      </bottom>
      <diagonal/>
    </border>
    <border>
      <left style="thin">
        <color rgb="FF000000"/>
      </left>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26">
    <xf numFmtId="0" fontId="0" fillId="0" borderId="0" xfId="0"/>
    <xf numFmtId="0" fontId="0" fillId="0" borderId="1" xfId="0" applyBorder="1"/>
    <xf numFmtId="0" fontId="1" fillId="0" borderId="1" xfId="0" applyFont="1" applyBorder="1" applyAlignment="1">
      <alignment wrapText="1"/>
    </xf>
    <xf numFmtId="0" fontId="2" fillId="0" borderId="0" xfId="0" applyFont="1" applyAlignment="1">
      <alignment horizontal="center" wrapText="1"/>
    </xf>
    <xf numFmtId="0" fontId="3" fillId="0" borderId="0" xfId="0" applyFont="1" applyAlignment="1">
      <alignment vertical="center"/>
    </xf>
    <xf numFmtId="0" fontId="0" fillId="0" borderId="0" xfId="0" applyAlignment="1">
      <alignment horizontal="center" vertical="center"/>
    </xf>
    <xf numFmtId="0" fontId="5" fillId="3" borderId="7" xfId="0" applyFont="1" applyFill="1" applyBorder="1" applyAlignment="1">
      <alignment horizontal="center" wrapText="1"/>
    </xf>
    <xf numFmtId="0" fontId="5" fillId="3" borderId="8" xfId="0" applyFont="1" applyFill="1" applyBorder="1" applyAlignment="1">
      <alignment horizontal="center" wrapText="1"/>
    </xf>
    <xf numFmtId="0" fontId="5" fillId="3" borderId="9" xfId="0" applyFont="1" applyFill="1" applyBorder="1" applyAlignment="1">
      <alignment horizontal="center" wrapText="1"/>
    </xf>
    <xf numFmtId="0" fontId="5" fillId="3" borderId="10" xfId="0" applyFont="1" applyFill="1" applyBorder="1" applyAlignment="1">
      <alignment horizontal="center" wrapText="1"/>
    </xf>
    <xf numFmtId="0" fontId="5" fillId="3" borderId="11" xfId="0" applyFont="1" applyFill="1" applyBorder="1" applyAlignment="1">
      <alignment horizontal="center" wrapText="1"/>
    </xf>
    <xf numFmtId="0" fontId="5" fillId="3" borderId="12" xfId="0" applyFont="1" applyFill="1" applyBorder="1" applyAlignment="1">
      <alignment horizont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4" fillId="0" borderId="0" xfId="0" applyFont="1"/>
    <xf numFmtId="0" fontId="4" fillId="0" borderId="0" xfId="0" applyFont="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5" fillId="4" borderId="18" xfId="0" applyFont="1" applyFill="1" applyBorder="1" applyAlignment="1">
      <alignment horizontal="center" vertical="center" wrapText="1"/>
    </xf>
    <xf numFmtId="0" fontId="0" fillId="0" borderId="0" xfId="0" applyAlignment="1">
      <alignment vertical="center"/>
    </xf>
    <xf numFmtId="0" fontId="4" fillId="4" borderId="6" xfId="0" applyFont="1" applyFill="1" applyBorder="1" applyAlignment="1">
      <alignment vertical="center" wrapText="1"/>
    </xf>
    <xf numFmtId="0" fontId="4" fillId="4" borderId="20" xfId="0" applyFont="1" applyFill="1" applyBorder="1" applyAlignment="1">
      <alignment horizontal="center" vertical="center" wrapText="1"/>
    </xf>
    <xf numFmtId="9" fontId="4" fillId="4" borderId="21" xfId="0" applyNumberFormat="1" applyFont="1" applyFill="1" applyBorder="1" applyAlignment="1">
      <alignment horizontal="center" vertical="center"/>
    </xf>
    <xf numFmtId="0" fontId="4" fillId="4" borderId="21" xfId="0" applyFont="1" applyFill="1" applyBorder="1" applyAlignment="1">
      <alignment horizontal="center" vertical="center"/>
    </xf>
    <xf numFmtId="0" fontId="0" fillId="4" borderId="16" xfId="0" applyFill="1" applyBorder="1" applyAlignment="1">
      <alignment vertical="center" wrapText="1"/>
    </xf>
    <xf numFmtId="0" fontId="0" fillId="4" borderId="6" xfId="0" applyFill="1" applyBorder="1" applyAlignment="1">
      <alignment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2" fillId="2" borderId="2" xfId="0" applyFont="1" applyFill="1" applyBorder="1" applyAlignment="1">
      <alignment horizontal="center" vertical="center" wrapText="1"/>
    </xf>
    <xf numFmtId="0" fontId="0" fillId="0" borderId="16" xfId="0" applyBorder="1"/>
    <xf numFmtId="0" fontId="4" fillId="0" borderId="16" xfId="0" applyFont="1" applyBorder="1" applyAlignment="1">
      <alignment horizontal="center"/>
    </xf>
    <xf numFmtId="0" fontId="2" fillId="0" borderId="34" xfId="0" applyFont="1" applyBorder="1" applyAlignment="1">
      <alignment horizontal="center" vertical="center" wrapText="1"/>
    </xf>
    <xf numFmtId="0" fontId="0" fillId="0" borderId="1" xfId="0" applyBorder="1" applyAlignment="1">
      <alignment wrapText="1"/>
    </xf>
    <xf numFmtId="0" fontId="1" fillId="0" borderId="35" xfId="0" applyFont="1" applyBorder="1" applyAlignment="1">
      <alignment wrapText="1"/>
    </xf>
    <xf numFmtId="0" fontId="1" fillId="0" borderId="36" xfId="0" applyFont="1" applyBorder="1" applyAlignment="1">
      <alignment wrapText="1"/>
    </xf>
    <xf numFmtId="0" fontId="2" fillId="6" borderId="2" xfId="0" applyFont="1" applyFill="1" applyBorder="1" applyAlignment="1">
      <alignment horizontal="center" vertical="center" wrapText="1"/>
    </xf>
    <xf numFmtId="0" fontId="2" fillId="6" borderId="37" xfId="0" applyFont="1" applyFill="1" applyBorder="1" applyAlignment="1">
      <alignment horizontal="center" vertical="center" wrapText="1"/>
    </xf>
    <xf numFmtId="0" fontId="1" fillId="0" borderId="1" xfId="0" applyFont="1" applyBorder="1"/>
    <xf numFmtId="0" fontId="1" fillId="0" borderId="35" xfId="0" applyFont="1" applyBorder="1"/>
    <xf numFmtId="0" fontId="1" fillId="0" borderId="36" xfId="0" applyFont="1" applyBorder="1"/>
    <xf numFmtId="0" fontId="1" fillId="0" borderId="16" xfId="0" applyFont="1" applyBorder="1" applyAlignment="1">
      <alignment wrapText="1"/>
    </xf>
    <xf numFmtId="0" fontId="1" fillId="0" borderId="1" xfId="0" applyFont="1" applyBorder="1" applyAlignment="1">
      <alignment horizontal="center"/>
    </xf>
    <xf numFmtId="0" fontId="11" fillId="0" borderId="1" xfId="0" applyFont="1" applyBorder="1" applyAlignment="1">
      <alignment horizontal="center" vertical="top"/>
    </xf>
    <xf numFmtId="0" fontId="11" fillId="0" borderId="1" xfId="0" applyFont="1" applyBorder="1" applyAlignment="1">
      <alignment horizontal="left" vertical="top"/>
    </xf>
    <xf numFmtId="0" fontId="1" fillId="0" borderId="1" xfId="0" applyFont="1" applyBorder="1" applyAlignment="1">
      <alignment horizontal="left"/>
    </xf>
    <xf numFmtId="0" fontId="1" fillId="0" borderId="39" xfId="0" applyFont="1" applyBorder="1" applyAlignment="1">
      <alignment wrapText="1"/>
    </xf>
    <xf numFmtId="0" fontId="1" fillId="0" borderId="16" xfId="0" applyFont="1" applyBorder="1"/>
    <xf numFmtId="0" fontId="0" fillId="0" borderId="35" xfId="0" applyBorder="1"/>
    <xf numFmtId="0" fontId="0" fillId="0" borderId="39" xfId="0" applyBorder="1"/>
    <xf numFmtId="0" fontId="0" fillId="0" borderId="36" xfId="0" applyBorder="1"/>
    <xf numFmtId="0" fontId="0" fillId="0" borderId="35" xfId="0" applyBorder="1" applyAlignment="1">
      <alignment wrapText="1"/>
    </xf>
    <xf numFmtId="0" fontId="0" fillId="0" borderId="16" xfId="0" applyBorder="1" applyAlignment="1">
      <alignment wrapText="1"/>
    </xf>
    <xf numFmtId="0" fontId="0" fillId="0" borderId="36" xfId="0" applyBorder="1" applyAlignment="1">
      <alignment wrapText="1"/>
    </xf>
    <xf numFmtId="0" fontId="0" fillId="0" borderId="39" xfId="0" applyBorder="1" applyAlignment="1">
      <alignment wrapText="1"/>
    </xf>
    <xf numFmtId="0" fontId="2" fillId="0" borderId="16" xfId="0" applyFont="1" applyBorder="1" applyAlignment="1">
      <alignment horizontal="center" vertical="center" wrapText="1"/>
    </xf>
    <xf numFmtId="0" fontId="0" fillId="0" borderId="0" xfId="0" applyAlignment="1">
      <alignment horizontal="left" vertical="center"/>
    </xf>
    <xf numFmtId="0" fontId="4" fillId="7" borderId="16" xfId="0" applyFont="1" applyFill="1" applyBorder="1" applyAlignment="1">
      <alignment horizontal="center" vertical="center"/>
    </xf>
    <xf numFmtId="0" fontId="4" fillId="7" borderId="16" xfId="0" applyFont="1" applyFill="1" applyBorder="1" applyAlignment="1">
      <alignment horizontal="left" vertical="center"/>
    </xf>
    <xf numFmtId="0" fontId="15" fillId="0" borderId="16" xfId="0" applyFont="1" applyBorder="1" applyAlignment="1">
      <alignment horizontal="left" vertical="top" wrapText="1"/>
    </xf>
    <xf numFmtId="0" fontId="2" fillId="8" borderId="2" xfId="0" applyFont="1" applyFill="1" applyBorder="1" applyAlignment="1">
      <alignment horizontal="center" vertical="center" wrapText="1"/>
    </xf>
    <xf numFmtId="0" fontId="2" fillId="8" borderId="41" xfId="0" applyFont="1" applyFill="1" applyBorder="1" applyAlignment="1">
      <alignment horizontal="center" vertical="center" wrapText="1"/>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14" fontId="1" fillId="0" borderId="38" xfId="0" applyNumberFormat="1" applyFont="1" applyBorder="1" applyAlignment="1">
      <alignment wrapText="1"/>
    </xf>
    <xf numFmtId="0" fontId="0" fillId="0" borderId="1" xfId="0" applyBorder="1" applyAlignment="1">
      <alignment horizontal="center"/>
    </xf>
    <xf numFmtId="0" fontId="0" fillId="0" borderId="16" xfId="0" applyBorder="1" applyAlignment="1">
      <alignment horizontal="center" wrapText="1"/>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0" fillId="0" borderId="16" xfId="0" applyBorder="1" applyAlignment="1">
      <alignment horizontal="left" wrapText="1"/>
    </xf>
    <xf numFmtId="0" fontId="0" fillId="0" borderId="16" xfId="0" applyBorder="1" applyAlignment="1">
      <alignment horizontal="left"/>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21" xfId="0" applyFont="1" applyFill="1" applyBorder="1" applyAlignment="1">
      <alignment horizontal="center" vertical="center"/>
    </xf>
    <xf numFmtId="0" fontId="4" fillId="4" borderId="22" xfId="0" applyFont="1" applyFill="1" applyBorder="1" applyAlignment="1">
      <alignment horizontal="center" vertical="center"/>
    </xf>
    <xf numFmtId="0" fontId="4" fillId="4" borderId="23" xfId="0" applyFont="1" applyFill="1" applyBorder="1" applyAlignment="1">
      <alignment horizontal="left" vertical="center"/>
    </xf>
    <xf numFmtId="0" fontId="4" fillId="4" borderId="25" xfId="0" applyFont="1" applyFill="1" applyBorder="1" applyAlignment="1">
      <alignment horizontal="left" vertical="center"/>
    </xf>
    <xf numFmtId="0" fontId="4" fillId="4" borderId="26" xfId="0" applyFont="1" applyFill="1" applyBorder="1" applyAlignment="1">
      <alignment horizontal="left" vertical="center"/>
    </xf>
    <xf numFmtId="0" fontId="0" fillId="4" borderId="16" xfId="0" applyFill="1" applyBorder="1" applyAlignment="1">
      <alignment horizontal="left" vertical="center" wrapText="1"/>
    </xf>
    <xf numFmtId="0" fontId="0" fillId="4" borderId="24" xfId="0" applyFill="1" applyBorder="1" applyAlignment="1">
      <alignment horizontal="left" vertical="center" wrapText="1"/>
    </xf>
    <xf numFmtId="0" fontId="0" fillId="4" borderId="16" xfId="0" applyFill="1" applyBorder="1" applyAlignment="1">
      <alignment horizontal="center" vertical="center" wrapText="1"/>
    </xf>
    <xf numFmtId="0" fontId="0" fillId="4" borderId="24" xfId="0" applyFill="1" applyBorder="1" applyAlignment="1">
      <alignment horizontal="center" vertical="center" wrapText="1"/>
    </xf>
    <xf numFmtId="0" fontId="7" fillId="4" borderId="27" xfId="0" applyFont="1" applyFill="1" applyBorder="1" applyAlignment="1">
      <alignment horizontal="center" vertical="center"/>
    </xf>
    <xf numFmtId="0" fontId="7" fillId="4" borderId="28" xfId="0" applyFont="1" applyFill="1" applyBorder="1" applyAlignment="1">
      <alignment horizontal="center" vertical="center"/>
    </xf>
    <xf numFmtId="0" fontId="4" fillId="0" borderId="27" xfId="0" applyFont="1" applyBorder="1" applyAlignment="1">
      <alignment horizontal="center" vertical="center"/>
    </xf>
    <xf numFmtId="0" fontId="0" fillId="0" borderId="29" xfId="0" applyBorder="1" applyAlignment="1">
      <alignment horizontal="center" vertical="center"/>
    </xf>
    <xf numFmtId="0" fontId="0" fillId="0" borderId="21" xfId="0" applyBorder="1" applyAlignment="1">
      <alignment horizontal="center" vertical="center"/>
    </xf>
    <xf numFmtId="0" fontId="6"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4" fillId="6" borderId="8" xfId="0" applyFont="1" applyFill="1" applyBorder="1" applyAlignment="1">
      <alignment horizontal="center" vertical="center" wrapText="1"/>
    </xf>
    <xf numFmtId="0" fontId="4" fillId="6" borderId="30"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33" xfId="0" applyFont="1" applyFill="1" applyBorder="1" applyAlignment="1">
      <alignment horizontal="center" vertical="center" wrapText="1"/>
    </xf>
    <xf numFmtId="0" fontId="4" fillId="6" borderId="12"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11" xfId="0" applyFill="1" applyBorder="1" applyAlignment="1">
      <alignment horizontal="center" vertical="center" wrapText="1"/>
    </xf>
    <xf numFmtId="0" fontId="0" fillId="5" borderId="33" xfId="0" applyFill="1" applyBorder="1" applyAlignment="1">
      <alignment horizontal="center" vertical="center" wrapText="1"/>
    </xf>
    <xf numFmtId="0" fontId="0" fillId="9" borderId="8" xfId="0" applyFill="1" applyBorder="1" applyAlignment="1">
      <alignment horizontal="center" vertical="center" wrapText="1"/>
    </xf>
    <xf numFmtId="0" fontId="0" fillId="9" borderId="30" xfId="0" applyFill="1" applyBorder="1" applyAlignment="1">
      <alignment horizontal="center" vertical="center" wrapText="1"/>
    </xf>
    <xf numFmtId="0" fontId="0" fillId="9" borderId="11" xfId="0" applyFill="1" applyBorder="1" applyAlignment="1">
      <alignment horizontal="center" vertical="center" wrapText="1"/>
    </xf>
    <xf numFmtId="0" fontId="0" fillId="9" borderId="33" xfId="0" applyFill="1" applyBorder="1" applyAlignment="1">
      <alignment horizontal="center" vertical="center" wrapText="1"/>
    </xf>
    <xf numFmtId="0" fontId="4" fillId="0" borderId="8" xfId="0" applyFont="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0" borderId="31" xfId="0" applyBorder="1" applyAlignment="1">
      <alignment horizontal="center" vertical="center"/>
    </xf>
    <xf numFmtId="0" fontId="0" fillId="0" borderId="0" xfId="0" applyAlignment="1">
      <alignment horizontal="center" vertical="center"/>
    </xf>
    <xf numFmtId="0" fontId="0" fillId="0" borderId="32" xfId="0" applyBorder="1" applyAlignment="1">
      <alignment horizontal="center" vertical="center"/>
    </xf>
    <xf numFmtId="0" fontId="15" fillId="0" borderId="0" xfId="0" applyFont="1" applyAlignment="1">
      <alignment horizontal="left" vertical="center"/>
    </xf>
    <xf numFmtId="0" fontId="0" fillId="0" borderId="0" xfId="0" applyAlignment="1">
      <alignment horizontal="left"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16" xfId="0" applyFont="1" applyBorder="1" applyAlignment="1">
      <alignment horizontal="left" vertical="top" wrapText="1"/>
    </xf>
    <xf numFmtId="0" fontId="0" fillId="0" borderId="40" xfId="0" applyBorder="1" applyAlignment="1">
      <alignment horizontal="left" vertical="center"/>
    </xf>
    <xf numFmtId="0" fontId="4" fillId="7" borderId="16" xfId="0" applyFont="1" applyFill="1" applyBorder="1" applyAlignment="1">
      <alignment horizontal="center" vertical="center"/>
    </xf>
    <xf numFmtId="0" fontId="0" fillId="0" borderId="16" xfId="0" applyBorder="1" applyAlignment="1">
      <alignment horizontal="left" vertical="center" wrapText="1"/>
    </xf>
    <xf numFmtId="0" fontId="15" fillId="0" borderId="16" xfId="0" applyFont="1" applyBorder="1" applyAlignment="1">
      <alignment horizontal="lef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12</xdr:col>
      <xdr:colOff>160609</xdr:colOff>
      <xdr:row>23</xdr:row>
      <xdr:rowOff>153006</xdr:rowOff>
    </xdr:to>
    <xdr:pic>
      <xdr:nvPicPr>
        <xdr:cNvPr id="3" name="Imagen 2">
          <a:extLst>
            <a:ext uri="{FF2B5EF4-FFF2-40B4-BE49-F238E27FC236}">
              <a16:creationId xmlns:a16="http://schemas.microsoft.com/office/drawing/2014/main" id="{0FABEEDA-BEA0-CFD3-2109-A9A09D0E48C2}"/>
            </a:ext>
          </a:extLst>
        </xdr:cNvPr>
        <xdr:cNvPicPr>
          <a:picLocks noChangeAspect="1"/>
        </xdr:cNvPicPr>
      </xdr:nvPicPr>
      <xdr:blipFill>
        <a:blip xmlns:r="http://schemas.openxmlformats.org/officeDocument/2006/relationships" r:embed="rId1"/>
        <a:stretch>
          <a:fillRect/>
        </a:stretch>
      </xdr:blipFill>
      <xdr:spPr>
        <a:xfrm>
          <a:off x="762000" y="190500"/>
          <a:ext cx="9183382" cy="4344006"/>
        </a:xfrm>
        <a:prstGeom prst="rect">
          <a:avLst/>
        </a:prstGeom>
      </xdr:spPr>
    </xdr:pic>
    <xdr:clientData/>
  </xdr:twoCellAnchor>
  <xdr:twoCellAnchor editAs="oneCell">
    <xdr:from>
      <xdr:col>1</xdr:col>
      <xdr:colOff>103909</xdr:colOff>
      <xdr:row>22</xdr:row>
      <xdr:rowOff>155864</xdr:rowOff>
    </xdr:from>
    <xdr:to>
      <xdr:col>12</xdr:col>
      <xdr:colOff>159728</xdr:colOff>
      <xdr:row>37</xdr:row>
      <xdr:rowOff>137210</xdr:rowOff>
    </xdr:to>
    <xdr:pic>
      <xdr:nvPicPr>
        <xdr:cNvPr id="4" name="Imagen 3">
          <a:extLst>
            <a:ext uri="{FF2B5EF4-FFF2-40B4-BE49-F238E27FC236}">
              <a16:creationId xmlns:a16="http://schemas.microsoft.com/office/drawing/2014/main" id="{63704B7F-649B-2668-4736-E4FDA2014617}"/>
            </a:ext>
          </a:extLst>
        </xdr:cNvPr>
        <xdr:cNvPicPr>
          <a:picLocks noChangeAspect="1"/>
        </xdr:cNvPicPr>
      </xdr:nvPicPr>
      <xdr:blipFill>
        <a:blip xmlns:r="http://schemas.openxmlformats.org/officeDocument/2006/relationships" r:embed="rId2"/>
        <a:stretch>
          <a:fillRect/>
        </a:stretch>
      </xdr:blipFill>
      <xdr:spPr>
        <a:xfrm>
          <a:off x="865909" y="4346864"/>
          <a:ext cx="9078592" cy="2838846"/>
        </a:xfrm>
        <a:prstGeom prst="rect">
          <a:avLst/>
        </a:prstGeom>
      </xdr:spPr>
    </xdr:pic>
    <xdr:clientData/>
  </xdr:twoCellAnchor>
  <xdr:twoCellAnchor editAs="oneCell">
    <xdr:from>
      <xdr:col>1</xdr:col>
      <xdr:colOff>0</xdr:colOff>
      <xdr:row>39</xdr:row>
      <xdr:rowOff>0</xdr:rowOff>
    </xdr:from>
    <xdr:to>
      <xdr:col>12</xdr:col>
      <xdr:colOff>379714</xdr:colOff>
      <xdr:row>70</xdr:row>
      <xdr:rowOff>153246</xdr:rowOff>
    </xdr:to>
    <xdr:pic>
      <xdr:nvPicPr>
        <xdr:cNvPr id="5" name="Imagen 4">
          <a:extLst>
            <a:ext uri="{FF2B5EF4-FFF2-40B4-BE49-F238E27FC236}">
              <a16:creationId xmlns:a16="http://schemas.microsoft.com/office/drawing/2014/main" id="{24FB3E3B-5350-62BA-5247-E00B3BB8367F}"/>
            </a:ext>
          </a:extLst>
        </xdr:cNvPr>
        <xdr:cNvPicPr>
          <a:picLocks noChangeAspect="1"/>
        </xdr:cNvPicPr>
      </xdr:nvPicPr>
      <xdr:blipFill>
        <a:blip xmlns:r="http://schemas.openxmlformats.org/officeDocument/2006/relationships" r:embed="rId3"/>
        <a:stretch>
          <a:fillRect/>
        </a:stretch>
      </xdr:blipFill>
      <xdr:spPr>
        <a:xfrm>
          <a:off x="762000" y="7429500"/>
          <a:ext cx="9402487" cy="6058746"/>
        </a:xfrm>
        <a:prstGeom prst="rect">
          <a:avLst/>
        </a:prstGeom>
      </xdr:spPr>
    </xdr:pic>
    <xdr:clientData/>
  </xdr:twoCellAnchor>
  <xdr:twoCellAnchor editAs="oneCell">
    <xdr:from>
      <xdr:col>1</xdr:col>
      <xdr:colOff>103910</xdr:colOff>
      <xdr:row>69</xdr:row>
      <xdr:rowOff>155863</xdr:rowOff>
    </xdr:from>
    <xdr:to>
      <xdr:col>12</xdr:col>
      <xdr:colOff>378835</xdr:colOff>
      <xdr:row>82</xdr:row>
      <xdr:rowOff>3787</xdr:rowOff>
    </xdr:to>
    <xdr:pic>
      <xdr:nvPicPr>
        <xdr:cNvPr id="6" name="Imagen 5">
          <a:extLst>
            <a:ext uri="{FF2B5EF4-FFF2-40B4-BE49-F238E27FC236}">
              <a16:creationId xmlns:a16="http://schemas.microsoft.com/office/drawing/2014/main" id="{F21A1F44-2EDE-5BB1-CB3C-DDC60CABB8C0}"/>
            </a:ext>
          </a:extLst>
        </xdr:cNvPr>
        <xdr:cNvPicPr>
          <a:picLocks noChangeAspect="1"/>
        </xdr:cNvPicPr>
      </xdr:nvPicPr>
      <xdr:blipFill>
        <a:blip xmlns:r="http://schemas.openxmlformats.org/officeDocument/2006/relationships" r:embed="rId4"/>
        <a:stretch>
          <a:fillRect/>
        </a:stretch>
      </xdr:blipFill>
      <xdr:spPr>
        <a:xfrm>
          <a:off x="865910" y="13300363"/>
          <a:ext cx="9297698" cy="23244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0</xdr:rowOff>
    </xdr:from>
    <xdr:to>
      <xdr:col>10</xdr:col>
      <xdr:colOff>180975</xdr:colOff>
      <xdr:row>2</xdr:row>
      <xdr:rowOff>180975</xdr:rowOff>
    </xdr:to>
    <xdr:pic>
      <xdr:nvPicPr>
        <xdr:cNvPr id="2" name="Imagen 1" descr="C:\Users\Tere\Desktop\UAH_Marzo2020\DD\ImagenesDD\Logos\Docencia-01.jpg">
          <a:extLst>
            <a:ext uri="{FF2B5EF4-FFF2-40B4-BE49-F238E27FC236}">
              <a16:creationId xmlns:a16="http://schemas.microsoft.com/office/drawing/2014/main" id="{8F63581B-16C5-4867-BC41-2001B573297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5425" y="0"/>
          <a:ext cx="2028825" cy="56197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4"/>
  <sheetViews>
    <sheetView topLeftCell="D11" zoomScale="80" zoomScaleNormal="80" workbookViewId="0">
      <selection activeCell="O32" sqref="O32"/>
    </sheetView>
  </sheetViews>
  <sheetFormatPr defaultColWidth="11.42578125" defaultRowHeight="15"/>
  <cols>
    <col min="2" max="2" width="20.5703125" customWidth="1"/>
    <col min="3" max="3" width="34" customWidth="1"/>
    <col min="4" max="4" width="43.85546875" customWidth="1"/>
    <col min="5" max="5" width="34.85546875" customWidth="1"/>
    <col min="6" max="7" width="31.28515625" customWidth="1"/>
    <col min="8" max="8" width="31.42578125" customWidth="1"/>
  </cols>
  <sheetData>
    <row r="2" spans="1:8">
      <c r="A2" t="s">
        <v>0</v>
      </c>
      <c r="B2" t="s">
        <v>1</v>
      </c>
    </row>
    <row r="3" spans="1:8" ht="15.75" thickBot="1"/>
    <row r="4" spans="1:8" ht="15.75" thickBot="1">
      <c r="C4" s="70" t="s">
        <v>2</v>
      </c>
      <c r="D4" s="71"/>
      <c r="E4" s="71"/>
      <c r="F4" s="71"/>
      <c r="G4" s="72"/>
    </row>
    <row r="5" spans="1:8">
      <c r="C5" s="6" t="s">
        <v>3</v>
      </c>
      <c r="D5" s="6" t="s">
        <v>4</v>
      </c>
      <c r="E5" s="7" t="s">
        <v>5</v>
      </c>
      <c r="F5" s="6" t="s">
        <v>6</v>
      </c>
      <c r="G5" s="8" t="s">
        <v>7</v>
      </c>
    </row>
    <row r="6" spans="1:8" ht="15.75" thickBot="1">
      <c r="C6" s="9" t="s">
        <v>8</v>
      </c>
      <c r="D6" s="9" t="s">
        <v>9</v>
      </c>
      <c r="E6" s="10" t="s">
        <v>10</v>
      </c>
      <c r="F6" s="9" t="s">
        <v>11</v>
      </c>
      <c r="G6" s="11" t="s">
        <v>12</v>
      </c>
    </row>
    <row r="7" spans="1:8" ht="45.75" thickBot="1">
      <c r="C7" s="12" t="s">
        <v>13</v>
      </c>
      <c r="D7" s="13" t="s">
        <v>14</v>
      </c>
      <c r="E7" s="13" t="s">
        <v>15</v>
      </c>
      <c r="F7" s="13" t="s">
        <v>16</v>
      </c>
      <c r="G7" s="14" t="s">
        <v>17</v>
      </c>
    </row>
    <row r="8" spans="1:8">
      <c r="C8" s="15"/>
      <c r="D8" s="15"/>
      <c r="E8" s="15"/>
      <c r="F8" s="15"/>
      <c r="G8" s="16"/>
    </row>
    <row r="9" spans="1:8">
      <c r="A9" t="s">
        <v>18</v>
      </c>
      <c r="B9" s="17" t="s">
        <v>19</v>
      </c>
    </row>
    <row r="10" spans="1:8">
      <c r="B10" s="73" t="s">
        <v>20</v>
      </c>
      <c r="C10" s="74"/>
      <c r="D10" s="74"/>
      <c r="E10" s="74"/>
      <c r="F10" s="74"/>
      <c r="G10" s="74"/>
    </row>
    <row r="11" spans="1:8">
      <c r="B11" s="74"/>
      <c r="C11" s="74"/>
      <c r="D11" s="74"/>
      <c r="E11" s="74"/>
      <c r="F11" s="74"/>
      <c r="G11" s="74"/>
    </row>
    <row r="12" spans="1:8">
      <c r="B12" s="74"/>
      <c r="C12" s="74"/>
      <c r="D12" s="74"/>
      <c r="E12" s="74"/>
      <c r="F12" s="74"/>
      <c r="G12" s="74"/>
    </row>
    <row r="14" spans="1:8" ht="15.75" thickBot="1"/>
    <row r="15" spans="1:8" ht="15.75" thickBot="1">
      <c r="C15" s="70" t="s">
        <v>21</v>
      </c>
      <c r="D15" s="71"/>
      <c r="E15" s="71"/>
      <c r="F15" s="71"/>
      <c r="G15" s="72"/>
    </row>
    <row r="16" spans="1:8" ht="15.75" thickBot="1">
      <c r="B16" s="18"/>
      <c r="C16" s="19" t="s">
        <v>3</v>
      </c>
      <c r="D16" s="20" t="s">
        <v>4</v>
      </c>
      <c r="E16" s="21" t="s">
        <v>5</v>
      </c>
      <c r="F16" s="75" t="s">
        <v>22</v>
      </c>
      <c r="G16" s="76"/>
      <c r="H16" s="22"/>
    </row>
    <row r="17" spans="2:8" ht="15.75" thickBot="1">
      <c r="B17" s="23" t="s">
        <v>23</v>
      </c>
      <c r="C17" s="24" t="s">
        <v>24</v>
      </c>
      <c r="D17" s="25" t="s">
        <v>25</v>
      </c>
      <c r="E17" s="26" t="s">
        <v>26</v>
      </c>
      <c r="F17" s="77" t="s">
        <v>27</v>
      </c>
      <c r="G17" s="78"/>
      <c r="H17" s="22"/>
    </row>
    <row r="18" spans="2:8" ht="165.75" thickBot="1">
      <c r="B18" s="79" t="s">
        <v>28</v>
      </c>
      <c r="C18" s="27" t="s">
        <v>29</v>
      </c>
      <c r="D18" s="27" t="s">
        <v>30</v>
      </c>
      <c r="E18" s="27" t="s">
        <v>31</v>
      </c>
      <c r="F18" s="82" t="s">
        <v>32</v>
      </c>
      <c r="G18" s="83"/>
      <c r="H18" s="28" t="s">
        <v>33</v>
      </c>
    </row>
    <row r="19" spans="2:8">
      <c r="B19" s="80"/>
      <c r="C19" s="84" t="s">
        <v>34</v>
      </c>
      <c r="D19" s="84"/>
      <c r="E19" s="84" t="s">
        <v>35</v>
      </c>
      <c r="F19" s="84"/>
      <c r="G19" s="85"/>
      <c r="H19" s="22"/>
    </row>
    <row r="20" spans="2:8">
      <c r="B20" s="81"/>
      <c r="C20" s="86" t="s">
        <v>36</v>
      </c>
      <c r="D20" s="86"/>
      <c r="E20" s="86"/>
      <c r="F20" s="86"/>
      <c r="G20" s="87"/>
      <c r="H20" s="22"/>
    </row>
    <row r="21" spans="2:8" ht="15" customHeight="1">
      <c r="B21" s="88" t="s">
        <v>37</v>
      </c>
      <c r="C21" s="91" t="s">
        <v>38</v>
      </c>
      <c r="D21" s="92" t="s">
        <v>39</v>
      </c>
      <c r="E21" s="92" t="s">
        <v>40</v>
      </c>
      <c r="F21" s="95" t="s">
        <v>41</v>
      </c>
      <c r="G21" s="69"/>
    </row>
    <row r="22" spans="2:8">
      <c r="B22" s="89"/>
      <c r="C22" s="89"/>
      <c r="D22" s="89"/>
      <c r="E22" s="93"/>
      <c r="F22" s="96"/>
      <c r="G22" s="69"/>
    </row>
    <row r="23" spans="2:8">
      <c r="B23" s="89"/>
      <c r="C23" s="89"/>
      <c r="D23" s="89"/>
      <c r="E23" s="93"/>
      <c r="F23" s="96"/>
      <c r="G23" s="69"/>
    </row>
    <row r="24" spans="2:8">
      <c r="B24" s="89"/>
      <c r="C24" s="89"/>
      <c r="D24" s="89"/>
      <c r="E24" s="93"/>
      <c r="F24" s="96"/>
      <c r="G24" s="69"/>
    </row>
    <row r="25" spans="2:8">
      <c r="B25" s="89"/>
      <c r="C25" s="89"/>
      <c r="D25" s="89"/>
      <c r="E25" s="93"/>
      <c r="F25" s="96"/>
      <c r="G25" s="69"/>
    </row>
    <row r="26" spans="2:8">
      <c r="B26" s="89"/>
      <c r="C26" s="89"/>
      <c r="D26" s="89"/>
      <c r="E26" s="93"/>
      <c r="F26" s="96"/>
      <c r="G26" s="69"/>
    </row>
    <row r="27" spans="2:8">
      <c r="B27" s="89"/>
      <c r="C27" s="89"/>
      <c r="D27" s="89"/>
      <c r="E27" s="93"/>
      <c r="F27" s="96"/>
      <c r="G27" s="69"/>
    </row>
    <row r="28" spans="2:8">
      <c r="B28" s="89"/>
      <c r="C28" s="89"/>
      <c r="D28" s="89"/>
      <c r="E28" s="93"/>
      <c r="F28" s="96"/>
      <c r="G28" s="69"/>
    </row>
    <row r="29" spans="2:8">
      <c r="B29" s="89"/>
      <c r="C29" s="89"/>
      <c r="D29" s="89"/>
      <c r="E29" s="93"/>
      <c r="F29" s="96"/>
      <c r="G29" s="69"/>
    </row>
    <row r="30" spans="2:8">
      <c r="B30" s="89"/>
      <c r="C30" s="89"/>
      <c r="D30" s="89"/>
      <c r="E30" s="93"/>
      <c r="F30" s="96"/>
      <c r="G30" s="69"/>
    </row>
    <row r="31" spans="2:8">
      <c r="B31" s="89"/>
      <c r="C31" s="89"/>
      <c r="D31" s="89"/>
      <c r="E31" s="93"/>
      <c r="F31" s="96"/>
      <c r="G31" s="69"/>
    </row>
    <row r="32" spans="2:8">
      <c r="B32" s="89"/>
      <c r="C32" s="89"/>
      <c r="D32" s="89"/>
      <c r="E32" s="93"/>
      <c r="F32" s="96"/>
      <c r="G32" s="69"/>
    </row>
    <row r="33" spans="2:7">
      <c r="B33" s="89"/>
      <c r="C33" s="89"/>
      <c r="D33" s="89"/>
      <c r="E33" s="93"/>
      <c r="F33" s="96"/>
      <c r="G33" s="69"/>
    </row>
    <row r="34" spans="2:7">
      <c r="B34" s="90"/>
      <c r="C34" s="90"/>
      <c r="D34" s="90"/>
      <c r="E34" s="94"/>
      <c r="F34" s="96"/>
      <c r="G34" s="69"/>
    </row>
  </sheetData>
  <mergeCells count="16">
    <mergeCell ref="G21:G34"/>
    <mergeCell ref="C4:G4"/>
    <mergeCell ref="B10:G12"/>
    <mergeCell ref="C15:G15"/>
    <mergeCell ref="F16:G16"/>
    <mergeCell ref="F17:G17"/>
    <mergeCell ref="B18:B20"/>
    <mergeCell ref="F18:G18"/>
    <mergeCell ref="C19:D19"/>
    <mergeCell ref="E19:G19"/>
    <mergeCell ref="C20:G20"/>
    <mergeCell ref="B21:B34"/>
    <mergeCell ref="C21:C34"/>
    <mergeCell ref="D21:D34"/>
    <mergeCell ref="E21:E34"/>
    <mergeCell ref="F21: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516C-83A6-4386-A8A3-611A1045A914}">
  <dimension ref="A1"/>
  <sheetViews>
    <sheetView topLeftCell="N39" zoomScale="90" zoomScaleNormal="90" workbookViewId="0">
      <selection activeCell="N39" sqref="N39"/>
    </sheetView>
  </sheetViews>
  <sheetFormatPr defaultColWidth="11.42578125" defaultRowHeight="15"/>
  <cols>
    <col min="2" max="2" width="16.7109375" bestFit="1" customWidth="1"/>
    <col min="3" max="3" width="13.42578125" bestFit="1" customWidth="1"/>
    <col min="4" max="4" width="19.140625" bestFit="1" customWidth="1"/>
    <col min="5" max="5" width="9.28515625" bestFit="1" customWidth="1"/>
    <col min="6" max="6" width="8"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F2B4C-EC85-4CB8-B705-3F4642D8D0B0}">
  <dimension ref="A1:U120"/>
  <sheetViews>
    <sheetView tabSelected="1" zoomScale="115" zoomScaleNormal="115" workbookViewId="0">
      <selection activeCell="C10" sqref="C10"/>
    </sheetView>
  </sheetViews>
  <sheetFormatPr defaultColWidth="9.140625" defaultRowHeight="15"/>
  <cols>
    <col min="1" max="1" width="14.28515625" customWidth="1"/>
    <col min="2" max="2" width="11.42578125" customWidth="1"/>
    <col min="3" max="3" width="47.140625" customWidth="1"/>
    <col min="4" max="4" width="20.85546875" customWidth="1"/>
    <col min="5" max="5" width="23" customWidth="1"/>
    <col min="6" max="6" width="31.85546875" customWidth="1"/>
    <col min="7" max="7" width="52.28515625" customWidth="1"/>
    <col min="8" max="10" width="14.28515625" customWidth="1"/>
    <col min="11" max="11" width="15.5703125" customWidth="1"/>
    <col min="12" max="12" width="20" customWidth="1"/>
    <col min="13" max="13" width="16.85546875" customWidth="1"/>
    <col min="14" max="14" width="40.140625" customWidth="1"/>
    <col min="15" max="15" width="15.5703125" customWidth="1"/>
    <col min="16" max="16" width="17.5703125" customWidth="1"/>
    <col min="17" max="17" width="20.140625" customWidth="1"/>
    <col min="18" max="18" width="37.140625" customWidth="1"/>
    <col min="19" max="20" width="14.28515625" customWidth="1"/>
    <col min="21" max="21" width="17" customWidth="1"/>
  </cols>
  <sheetData>
    <row r="1" spans="1:21" s="5" customFormat="1" ht="93" customHeight="1">
      <c r="A1" s="97" t="s">
        <v>42</v>
      </c>
      <c r="B1" s="98"/>
      <c r="C1" s="98"/>
      <c r="D1" s="98"/>
      <c r="E1" s="98"/>
      <c r="F1" s="98"/>
      <c r="G1" s="98"/>
      <c r="H1" s="98"/>
      <c r="I1" s="98"/>
      <c r="J1" s="99"/>
      <c r="K1" s="103" t="s">
        <v>43</v>
      </c>
      <c r="L1" s="104"/>
      <c r="M1" s="104"/>
      <c r="N1" s="104"/>
      <c r="O1" s="107" t="s">
        <v>44</v>
      </c>
      <c r="P1" s="108"/>
      <c r="Q1" s="108"/>
      <c r="R1" s="108"/>
      <c r="S1" s="111" t="s">
        <v>45</v>
      </c>
      <c r="T1" s="112"/>
      <c r="U1" s="113"/>
    </row>
    <row r="2" spans="1:21" s="5" customFormat="1" ht="93" customHeight="1" thickBot="1">
      <c r="A2" s="100"/>
      <c r="B2" s="101"/>
      <c r="C2" s="101"/>
      <c r="D2" s="101"/>
      <c r="E2" s="101"/>
      <c r="F2" s="101"/>
      <c r="G2" s="101"/>
      <c r="H2" s="101"/>
      <c r="I2" s="101"/>
      <c r="J2" s="102"/>
      <c r="K2" s="105"/>
      <c r="L2" s="106"/>
      <c r="M2" s="106"/>
      <c r="N2" s="106"/>
      <c r="O2" s="109"/>
      <c r="P2" s="110"/>
      <c r="Q2" s="110"/>
      <c r="R2" s="110"/>
      <c r="S2" s="114"/>
      <c r="T2" s="115"/>
      <c r="U2" s="116"/>
    </row>
    <row r="3" spans="1:21" s="3" customFormat="1" ht="63">
      <c r="A3" s="38" t="s">
        <v>46</v>
      </c>
      <c r="B3" s="38" t="s">
        <v>47</v>
      </c>
      <c r="C3" s="38" t="s">
        <v>48</v>
      </c>
      <c r="D3" s="38" t="s">
        <v>49</v>
      </c>
      <c r="E3" s="38" t="s">
        <v>50</v>
      </c>
      <c r="F3" s="38" t="s">
        <v>51</v>
      </c>
      <c r="G3" s="38" t="s">
        <v>52</v>
      </c>
      <c r="H3" s="39" t="s">
        <v>53</v>
      </c>
      <c r="I3" s="39" t="s">
        <v>54</v>
      </c>
      <c r="J3" s="39" t="s">
        <v>55</v>
      </c>
      <c r="K3" s="31" t="s">
        <v>56</v>
      </c>
      <c r="L3" s="31" t="s">
        <v>57</v>
      </c>
      <c r="M3" s="31" t="s">
        <v>58</v>
      </c>
      <c r="N3" s="31" t="s">
        <v>59</v>
      </c>
      <c r="O3" s="62" t="s">
        <v>56</v>
      </c>
      <c r="P3" s="62" t="s">
        <v>60</v>
      </c>
      <c r="Q3" s="62" t="s">
        <v>61</v>
      </c>
      <c r="R3" s="63" t="s">
        <v>62</v>
      </c>
      <c r="S3" s="64" t="s">
        <v>63</v>
      </c>
      <c r="T3" s="65" t="s">
        <v>64</v>
      </c>
      <c r="U3" s="66" t="s">
        <v>65</v>
      </c>
    </row>
    <row r="4" spans="1:21">
      <c r="A4" s="40">
        <v>19783838</v>
      </c>
      <c r="B4" s="44">
        <v>8</v>
      </c>
      <c r="C4" s="68" t="s">
        <v>66</v>
      </c>
      <c r="D4" s="47" t="s">
        <v>67</v>
      </c>
      <c r="E4" s="47" t="s">
        <v>68</v>
      </c>
      <c r="F4" s="47" t="s">
        <v>69</v>
      </c>
      <c r="G4" s="41" t="s">
        <v>70</v>
      </c>
      <c r="H4" s="49" t="s">
        <v>71</v>
      </c>
      <c r="I4" s="67">
        <v>45756</v>
      </c>
      <c r="J4" s="49"/>
      <c r="K4" s="42">
        <v>1</v>
      </c>
      <c r="L4" s="40">
        <v>1</v>
      </c>
      <c r="M4" s="40">
        <v>1</v>
      </c>
      <c r="N4" s="40">
        <v>2</v>
      </c>
      <c r="O4" s="42">
        <v>1</v>
      </c>
      <c r="P4" s="40">
        <v>2</v>
      </c>
      <c r="Q4" s="40">
        <v>2</v>
      </c>
      <c r="R4" s="41">
        <v>2</v>
      </c>
      <c r="S4" s="32">
        <f>SUM(K4:R4)</f>
        <v>12</v>
      </c>
      <c r="T4" s="32">
        <f>S4/24</f>
        <v>0.5</v>
      </c>
      <c r="U4" s="32"/>
    </row>
    <row r="5" spans="1:21">
      <c r="A5" s="45">
        <v>20580318</v>
      </c>
      <c r="B5" s="45">
        <v>1</v>
      </c>
      <c r="C5" s="68" t="s">
        <v>72</v>
      </c>
      <c r="D5" s="46" t="s">
        <v>73</v>
      </c>
      <c r="E5" s="46" t="s">
        <v>74</v>
      </c>
      <c r="F5" s="46" t="s">
        <v>75</v>
      </c>
      <c r="G5" s="41" t="s">
        <v>70</v>
      </c>
      <c r="H5" s="43" t="s">
        <v>71</v>
      </c>
      <c r="I5" s="67">
        <v>45756</v>
      </c>
      <c r="J5" s="43"/>
      <c r="K5" s="37">
        <v>1</v>
      </c>
      <c r="L5" s="2">
        <v>1</v>
      </c>
      <c r="M5" s="2">
        <v>1</v>
      </c>
      <c r="N5" s="2">
        <v>1</v>
      </c>
      <c r="O5" s="37">
        <v>1</v>
      </c>
      <c r="P5" s="2">
        <v>1</v>
      </c>
      <c r="Q5" s="2">
        <v>1</v>
      </c>
      <c r="R5" s="36">
        <v>2</v>
      </c>
      <c r="S5" s="32">
        <f>SUM(K5:R5)</f>
        <v>9</v>
      </c>
      <c r="T5" s="32">
        <f>S5/24</f>
        <v>0.375</v>
      </c>
      <c r="U5" s="32"/>
    </row>
    <row r="6" spans="1:21">
      <c r="A6" s="45">
        <v>20673036</v>
      </c>
      <c r="B6" s="45">
        <v>6</v>
      </c>
      <c r="C6" s="68" t="s">
        <v>76</v>
      </c>
      <c r="D6" s="46" t="s">
        <v>77</v>
      </c>
      <c r="E6" s="46" t="s">
        <v>77</v>
      </c>
      <c r="F6" s="46" t="s">
        <v>78</v>
      </c>
      <c r="G6" s="41" t="s">
        <v>70</v>
      </c>
      <c r="H6" s="43" t="s">
        <v>71</v>
      </c>
      <c r="I6" s="67">
        <v>45756</v>
      </c>
      <c r="J6" s="43"/>
      <c r="K6" s="37">
        <v>1</v>
      </c>
      <c r="L6" s="2">
        <v>1</v>
      </c>
      <c r="M6" s="2">
        <v>1</v>
      </c>
      <c r="N6" s="2">
        <v>1</v>
      </c>
      <c r="O6" s="37">
        <v>1</v>
      </c>
      <c r="P6" s="2">
        <v>1</v>
      </c>
      <c r="Q6" s="2">
        <v>1</v>
      </c>
      <c r="R6" s="36">
        <v>1</v>
      </c>
      <c r="S6" s="32">
        <f>SUM(K6:R6)</f>
        <v>8</v>
      </c>
      <c r="T6" s="32">
        <f>S6/24</f>
        <v>0.33333333333333331</v>
      </c>
      <c r="U6" s="32"/>
    </row>
    <row r="7" spans="1:21">
      <c r="A7" s="45">
        <v>20828005</v>
      </c>
      <c r="B7" s="45">
        <v>8</v>
      </c>
      <c r="C7" s="68" t="s">
        <v>79</v>
      </c>
      <c r="D7" s="46" t="s">
        <v>80</v>
      </c>
      <c r="E7" s="46" t="s">
        <v>81</v>
      </c>
      <c r="F7" s="46" t="s">
        <v>82</v>
      </c>
      <c r="G7" s="41" t="s">
        <v>70</v>
      </c>
      <c r="H7" s="43" t="s">
        <v>71</v>
      </c>
      <c r="I7" s="67">
        <v>45756</v>
      </c>
      <c r="J7" s="54"/>
      <c r="K7" s="37">
        <v>1</v>
      </c>
      <c r="L7" s="2">
        <v>1</v>
      </c>
      <c r="M7" s="2">
        <v>1</v>
      </c>
      <c r="N7" s="2">
        <v>2</v>
      </c>
      <c r="O7" s="37">
        <v>1</v>
      </c>
      <c r="P7" s="2">
        <v>1</v>
      </c>
      <c r="Q7" s="2">
        <v>1</v>
      </c>
      <c r="R7" s="36">
        <v>1</v>
      </c>
      <c r="S7" s="32">
        <f>SUM(K7:R7)</f>
        <v>9</v>
      </c>
      <c r="T7" s="32">
        <f>S7/24</f>
        <v>0.375</v>
      </c>
      <c r="U7" s="32"/>
    </row>
    <row r="8" spans="1:21">
      <c r="A8" s="45">
        <v>20962922</v>
      </c>
      <c r="B8" s="45">
        <v>4</v>
      </c>
      <c r="C8" s="68" t="s">
        <v>83</v>
      </c>
      <c r="D8" s="46" t="s">
        <v>84</v>
      </c>
      <c r="E8" s="46" t="s">
        <v>85</v>
      </c>
      <c r="F8" s="46" t="s">
        <v>86</v>
      </c>
      <c r="G8" s="41" t="s">
        <v>70</v>
      </c>
      <c r="H8" s="43" t="s">
        <v>71</v>
      </c>
      <c r="I8" s="67">
        <v>45756</v>
      </c>
      <c r="J8" s="54"/>
      <c r="K8" s="37">
        <v>1</v>
      </c>
      <c r="L8" s="2">
        <v>2</v>
      </c>
      <c r="M8" s="2">
        <v>2</v>
      </c>
      <c r="N8" s="2">
        <v>2</v>
      </c>
      <c r="O8" s="2">
        <v>2</v>
      </c>
      <c r="P8" s="2">
        <v>2</v>
      </c>
      <c r="Q8" s="2">
        <v>2</v>
      </c>
      <c r="R8" s="36">
        <v>2</v>
      </c>
      <c r="S8" s="32">
        <f>SUM(K8:R8)</f>
        <v>15</v>
      </c>
      <c r="T8" s="32">
        <f>S8/24</f>
        <v>0.625</v>
      </c>
      <c r="U8" s="32"/>
    </row>
    <row r="9" spans="1:21">
      <c r="A9" s="45">
        <v>21042005</v>
      </c>
      <c r="B9" s="45">
        <v>3</v>
      </c>
      <c r="C9" s="68" t="s">
        <v>87</v>
      </c>
      <c r="D9" s="46" t="s">
        <v>88</v>
      </c>
      <c r="E9" s="46" t="s">
        <v>89</v>
      </c>
      <c r="F9" s="46" t="s">
        <v>90</v>
      </c>
      <c r="G9" s="41" t="s">
        <v>70</v>
      </c>
      <c r="H9" s="43" t="s">
        <v>71</v>
      </c>
      <c r="I9" s="67">
        <v>45756</v>
      </c>
      <c r="J9" s="54"/>
      <c r="K9" s="37">
        <v>1</v>
      </c>
      <c r="L9" s="2">
        <v>1</v>
      </c>
      <c r="M9" s="2">
        <v>1</v>
      </c>
      <c r="N9" s="2">
        <v>1</v>
      </c>
      <c r="O9" s="37">
        <v>1</v>
      </c>
      <c r="P9" s="2">
        <v>1</v>
      </c>
      <c r="Q9" s="2">
        <v>1</v>
      </c>
      <c r="R9" s="36">
        <v>1</v>
      </c>
      <c r="S9" s="32">
        <f>SUM(K9:R9)</f>
        <v>8</v>
      </c>
      <c r="T9" s="32">
        <f>S9/24</f>
        <v>0.33333333333333331</v>
      </c>
      <c r="U9" s="32"/>
    </row>
    <row r="10" spans="1:21">
      <c r="A10" s="45">
        <v>21120298</v>
      </c>
      <c r="B10" s="45" t="s">
        <v>91</v>
      </c>
      <c r="C10" s="68" t="s">
        <v>92</v>
      </c>
      <c r="D10" s="46" t="s">
        <v>93</v>
      </c>
      <c r="E10" s="46" t="s">
        <v>94</v>
      </c>
      <c r="F10" s="46" t="s">
        <v>95</v>
      </c>
      <c r="G10" s="41" t="s">
        <v>70</v>
      </c>
      <c r="H10" s="43" t="s">
        <v>71</v>
      </c>
      <c r="I10" s="67">
        <v>45756</v>
      </c>
      <c r="J10" s="54"/>
      <c r="K10" s="37">
        <v>1</v>
      </c>
      <c r="L10" s="2">
        <v>1</v>
      </c>
      <c r="M10" s="2">
        <v>1</v>
      </c>
      <c r="N10" s="2">
        <v>1</v>
      </c>
      <c r="O10" s="2">
        <v>2</v>
      </c>
      <c r="P10" s="2">
        <v>2</v>
      </c>
      <c r="Q10" s="2">
        <v>2</v>
      </c>
      <c r="R10" s="36">
        <v>2</v>
      </c>
      <c r="S10" s="32">
        <f>SUM(K10:R10)</f>
        <v>12</v>
      </c>
      <c r="T10" s="32">
        <f>S10/24</f>
        <v>0.5</v>
      </c>
      <c r="U10" s="32"/>
    </row>
    <row r="11" spans="1:21">
      <c r="A11" s="45">
        <v>21142441</v>
      </c>
      <c r="B11" s="45">
        <v>9</v>
      </c>
      <c r="C11" s="68" t="s">
        <v>96</v>
      </c>
      <c r="D11" s="46" t="s">
        <v>97</v>
      </c>
      <c r="E11" s="46" t="s">
        <v>98</v>
      </c>
      <c r="F11" s="46" t="s">
        <v>99</v>
      </c>
      <c r="G11" s="41" t="s">
        <v>70</v>
      </c>
      <c r="H11" s="43" t="s">
        <v>71</v>
      </c>
      <c r="I11" s="67">
        <v>45756</v>
      </c>
      <c r="J11" s="54"/>
      <c r="K11" s="37">
        <v>1</v>
      </c>
      <c r="L11" s="2">
        <v>1</v>
      </c>
      <c r="M11" s="2">
        <v>1</v>
      </c>
      <c r="N11" s="2">
        <v>1</v>
      </c>
      <c r="O11" s="37">
        <v>1</v>
      </c>
      <c r="P11" s="2">
        <v>1</v>
      </c>
      <c r="Q11" s="2">
        <v>1</v>
      </c>
      <c r="R11" s="36">
        <v>1</v>
      </c>
      <c r="S11" s="32">
        <f>SUM(K11:R11)</f>
        <v>8</v>
      </c>
      <c r="T11" s="32">
        <f>S11/24</f>
        <v>0.33333333333333331</v>
      </c>
      <c r="U11" s="32"/>
    </row>
    <row r="12" spans="1:21">
      <c r="A12" s="45">
        <v>21255610</v>
      </c>
      <c r="B12" s="45">
        <v>6</v>
      </c>
      <c r="C12" s="68" t="s">
        <v>100</v>
      </c>
      <c r="D12" s="46" t="s">
        <v>101</v>
      </c>
      <c r="E12" s="46" t="s">
        <v>102</v>
      </c>
      <c r="F12" s="46" t="s">
        <v>103</v>
      </c>
      <c r="G12" s="41" t="s">
        <v>70</v>
      </c>
      <c r="H12" s="43" t="s">
        <v>71</v>
      </c>
      <c r="I12" s="67">
        <v>45756</v>
      </c>
      <c r="J12" s="54"/>
      <c r="K12" s="37">
        <v>1</v>
      </c>
      <c r="L12" s="2">
        <v>1</v>
      </c>
      <c r="M12" s="2">
        <v>1</v>
      </c>
      <c r="N12" s="2">
        <v>1</v>
      </c>
      <c r="O12" s="37">
        <v>1</v>
      </c>
      <c r="P12" s="2">
        <v>1</v>
      </c>
      <c r="Q12" s="2">
        <v>1</v>
      </c>
      <c r="R12" s="36">
        <v>1</v>
      </c>
      <c r="S12" s="32">
        <f>SUM(K12:R12)</f>
        <v>8</v>
      </c>
      <c r="T12" s="32">
        <f>S12/24</f>
        <v>0.33333333333333331</v>
      </c>
      <c r="U12" s="32"/>
    </row>
    <row r="13" spans="1:21">
      <c r="A13" s="45">
        <v>21378252</v>
      </c>
      <c r="B13" s="45">
        <v>5</v>
      </c>
      <c r="C13" s="68" t="s">
        <v>104</v>
      </c>
      <c r="D13" s="46" t="s">
        <v>105</v>
      </c>
      <c r="E13" s="46" t="s">
        <v>106</v>
      </c>
      <c r="F13" s="46" t="s">
        <v>107</v>
      </c>
      <c r="G13" s="41" t="s">
        <v>70</v>
      </c>
      <c r="H13" s="43" t="s">
        <v>71</v>
      </c>
      <c r="I13" s="67">
        <v>45756</v>
      </c>
      <c r="J13" s="54"/>
      <c r="K13" s="37">
        <v>2</v>
      </c>
      <c r="L13" s="2">
        <v>2</v>
      </c>
      <c r="M13" s="2">
        <v>1</v>
      </c>
      <c r="N13" s="2">
        <v>1</v>
      </c>
      <c r="O13" s="37">
        <v>1</v>
      </c>
      <c r="P13" s="2">
        <v>1</v>
      </c>
      <c r="Q13" s="2">
        <v>1</v>
      </c>
      <c r="R13" s="36">
        <v>2</v>
      </c>
      <c r="S13" s="32">
        <f>SUM(K13:R13)</f>
        <v>11</v>
      </c>
      <c r="T13" s="32">
        <f>S13/24</f>
        <v>0.45833333333333331</v>
      </c>
      <c r="U13" s="32"/>
    </row>
    <row r="14" spans="1:21">
      <c r="A14" s="45">
        <v>21452663</v>
      </c>
      <c r="B14" s="45">
        <v>8</v>
      </c>
      <c r="C14" s="68" t="s">
        <v>108</v>
      </c>
      <c r="D14" s="46" t="s">
        <v>109</v>
      </c>
      <c r="E14" s="46" t="s">
        <v>110</v>
      </c>
      <c r="F14" s="46" t="s">
        <v>111</v>
      </c>
      <c r="G14" s="41" t="s">
        <v>70</v>
      </c>
      <c r="H14" s="43" t="s">
        <v>71</v>
      </c>
      <c r="I14" s="67">
        <v>45756</v>
      </c>
      <c r="J14" s="54"/>
      <c r="K14" s="37">
        <v>1</v>
      </c>
      <c r="L14" s="2">
        <v>1</v>
      </c>
      <c r="M14" s="2">
        <v>1</v>
      </c>
      <c r="N14" s="2">
        <v>1</v>
      </c>
      <c r="O14" s="37">
        <v>1</v>
      </c>
      <c r="P14" s="2">
        <v>1</v>
      </c>
      <c r="Q14" s="2">
        <v>1</v>
      </c>
      <c r="R14" s="36">
        <v>2</v>
      </c>
      <c r="S14" s="32">
        <f>SUM(K14:R14)</f>
        <v>9</v>
      </c>
      <c r="T14" s="32">
        <f>S14/24</f>
        <v>0.375</v>
      </c>
      <c r="U14" s="32"/>
    </row>
    <row r="15" spans="1:21">
      <c r="A15" s="45">
        <v>21454346</v>
      </c>
      <c r="B15" s="45" t="s">
        <v>91</v>
      </c>
      <c r="C15" s="68" t="s">
        <v>112</v>
      </c>
      <c r="D15" s="46" t="s">
        <v>113</v>
      </c>
      <c r="E15" s="46" t="s">
        <v>114</v>
      </c>
      <c r="F15" s="46" t="s">
        <v>115</v>
      </c>
      <c r="G15" s="41" t="s">
        <v>70</v>
      </c>
      <c r="H15" s="43" t="s">
        <v>71</v>
      </c>
      <c r="I15" s="67">
        <v>45756</v>
      </c>
      <c r="J15" s="54"/>
      <c r="K15" s="37">
        <v>1</v>
      </c>
      <c r="L15" s="2">
        <v>1</v>
      </c>
      <c r="M15" s="2">
        <v>1</v>
      </c>
      <c r="N15" s="2">
        <v>1</v>
      </c>
      <c r="O15" s="37">
        <v>1</v>
      </c>
      <c r="P15" s="2">
        <v>1</v>
      </c>
      <c r="Q15" s="2">
        <v>1</v>
      </c>
      <c r="R15" s="36">
        <v>2</v>
      </c>
      <c r="S15" s="32">
        <f>SUM(K15:R15)</f>
        <v>9</v>
      </c>
      <c r="T15" s="32">
        <f>S15/24</f>
        <v>0.375</v>
      </c>
      <c r="U15" s="32"/>
    </row>
    <row r="16" spans="1:21">
      <c r="A16" s="45">
        <v>21478101</v>
      </c>
      <c r="B16" s="45">
        <v>8</v>
      </c>
      <c r="C16" s="68" t="s">
        <v>116</v>
      </c>
      <c r="D16" s="46" t="s">
        <v>117</v>
      </c>
      <c r="E16" s="46" t="s">
        <v>118</v>
      </c>
      <c r="F16" s="46" t="s">
        <v>119</v>
      </c>
      <c r="G16" s="41" t="s">
        <v>70</v>
      </c>
      <c r="H16" s="43" t="s">
        <v>71</v>
      </c>
      <c r="I16" s="67">
        <v>45756</v>
      </c>
      <c r="J16" s="54"/>
      <c r="K16" s="37">
        <v>1</v>
      </c>
      <c r="L16" s="2">
        <v>1</v>
      </c>
      <c r="M16" s="2">
        <v>1</v>
      </c>
      <c r="N16" s="2">
        <v>1</v>
      </c>
      <c r="O16" s="37">
        <v>2</v>
      </c>
      <c r="P16" s="2">
        <v>1</v>
      </c>
      <c r="Q16" s="2">
        <v>1</v>
      </c>
      <c r="R16" s="36">
        <v>2</v>
      </c>
      <c r="S16" s="32">
        <f>SUM(K16:R16)</f>
        <v>10</v>
      </c>
      <c r="T16" s="32">
        <f>S16/24</f>
        <v>0.41666666666666669</v>
      </c>
      <c r="U16" s="32"/>
    </row>
    <row r="17" spans="1:21">
      <c r="A17" s="45">
        <v>21489553</v>
      </c>
      <c r="B17" s="45">
        <v>6</v>
      </c>
      <c r="C17" s="68" t="s">
        <v>120</v>
      </c>
      <c r="D17" s="46" t="s">
        <v>121</v>
      </c>
      <c r="E17" s="46" t="s">
        <v>122</v>
      </c>
      <c r="F17" s="46" t="s">
        <v>123</v>
      </c>
      <c r="G17" s="41" t="s">
        <v>70</v>
      </c>
      <c r="H17" s="43" t="s">
        <v>71</v>
      </c>
      <c r="I17" s="67">
        <v>45756</v>
      </c>
      <c r="J17" s="32"/>
      <c r="K17" s="37">
        <v>1</v>
      </c>
      <c r="L17" s="2">
        <v>1</v>
      </c>
      <c r="M17" s="2">
        <v>1</v>
      </c>
      <c r="N17" s="2">
        <v>1</v>
      </c>
      <c r="O17" s="37">
        <v>1</v>
      </c>
      <c r="P17" s="2">
        <v>0</v>
      </c>
      <c r="Q17" s="2">
        <v>1</v>
      </c>
      <c r="R17" s="36">
        <v>0</v>
      </c>
      <c r="S17" s="32">
        <f>SUM(K17:R17)</f>
        <v>6</v>
      </c>
      <c r="T17" s="32">
        <f>S17/24</f>
        <v>0.25</v>
      </c>
      <c r="U17" s="32"/>
    </row>
    <row r="18" spans="1:21">
      <c r="A18" s="45">
        <v>21521091</v>
      </c>
      <c r="B18" s="45" t="s">
        <v>91</v>
      </c>
      <c r="C18" s="68" t="s">
        <v>124</v>
      </c>
      <c r="D18" s="46" t="s">
        <v>125</v>
      </c>
      <c r="E18" s="46" t="s">
        <v>126</v>
      </c>
      <c r="F18" s="46" t="s">
        <v>127</v>
      </c>
      <c r="G18" s="41" t="s">
        <v>70</v>
      </c>
      <c r="H18" s="43" t="s">
        <v>71</v>
      </c>
      <c r="I18" s="67">
        <v>45756</v>
      </c>
      <c r="J18" s="54"/>
      <c r="K18" s="37">
        <v>1</v>
      </c>
      <c r="L18" s="2">
        <v>1</v>
      </c>
      <c r="M18" s="2">
        <v>1</v>
      </c>
      <c r="N18" s="2">
        <v>1</v>
      </c>
      <c r="O18" s="37">
        <v>1</v>
      </c>
      <c r="P18" s="2">
        <v>1</v>
      </c>
      <c r="Q18" s="2">
        <v>1</v>
      </c>
      <c r="R18" s="36">
        <v>2</v>
      </c>
      <c r="S18" s="32">
        <f>SUM(K18:R18)</f>
        <v>9</v>
      </c>
      <c r="T18" s="32">
        <f>S18/24</f>
        <v>0.375</v>
      </c>
      <c r="U18" s="32"/>
    </row>
    <row r="19" spans="1:21">
      <c r="A19" s="45">
        <v>21587172</v>
      </c>
      <c r="B19" s="45" t="s">
        <v>91</v>
      </c>
      <c r="C19" s="68" t="s">
        <v>128</v>
      </c>
      <c r="D19" s="46" t="s">
        <v>129</v>
      </c>
      <c r="E19" s="46" t="s">
        <v>129</v>
      </c>
      <c r="F19" s="46" t="s">
        <v>130</v>
      </c>
      <c r="G19" s="41" t="s">
        <v>70</v>
      </c>
      <c r="H19" s="43" t="s">
        <v>71</v>
      </c>
      <c r="I19" s="67">
        <v>45756</v>
      </c>
      <c r="J19" s="54"/>
      <c r="K19" s="37">
        <v>1</v>
      </c>
      <c r="L19" s="2">
        <v>1</v>
      </c>
      <c r="M19" s="2">
        <v>1</v>
      </c>
      <c r="N19" s="2">
        <v>1</v>
      </c>
      <c r="O19" s="37">
        <v>1</v>
      </c>
      <c r="P19" s="2">
        <v>1</v>
      </c>
      <c r="Q19" s="2">
        <v>1</v>
      </c>
      <c r="R19" s="36">
        <v>1</v>
      </c>
      <c r="S19" s="32">
        <f>SUM(K19:R19)</f>
        <v>8</v>
      </c>
      <c r="T19" s="32">
        <f>S19/24</f>
        <v>0.33333333333333331</v>
      </c>
      <c r="U19" s="32"/>
    </row>
    <row r="20" spans="1:21">
      <c r="A20" s="45">
        <v>21592249</v>
      </c>
      <c r="B20" s="45">
        <v>9</v>
      </c>
      <c r="C20" s="68" t="s">
        <v>131</v>
      </c>
      <c r="D20" s="46" t="s">
        <v>132</v>
      </c>
      <c r="E20" s="46" t="s">
        <v>133</v>
      </c>
      <c r="F20" s="46" t="s">
        <v>134</v>
      </c>
      <c r="G20" s="41" t="s">
        <v>70</v>
      </c>
      <c r="H20" s="43" t="s">
        <v>71</v>
      </c>
      <c r="I20" s="67">
        <v>45756</v>
      </c>
      <c r="J20" s="54"/>
      <c r="K20" s="37">
        <v>1</v>
      </c>
      <c r="L20" s="2">
        <v>1</v>
      </c>
      <c r="M20" s="2">
        <v>1</v>
      </c>
      <c r="N20" s="2">
        <v>1</v>
      </c>
      <c r="O20" s="37">
        <v>1</v>
      </c>
      <c r="P20" s="2">
        <v>1</v>
      </c>
      <c r="Q20" s="2">
        <v>1</v>
      </c>
      <c r="R20" s="36">
        <v>1</v>
      </c>
      <c r="S20" s="32">
        <f>SUM(K20:R20)</f>
        <v>8</v>
      </c>
      <c r="T20" s="32">
        <f>S20/24</f>
        <v>0.33333333333333331</v>
      </c>
      <c r="U20" s="32"/>
    </row>
    <row r="21" spans="1:21">
      <c r="A21" s="45">
        <v>21595359</v>
      </c>
      <c r="B21" s="45">
        <v>9</v>
      </c>
      <c r="C21" s="68" t="s">
        <v>135</v>
      </c>
      <c r="D21" s="46" t="s">
        <v>136</v>
      </c>
      <c r="E21" s="46" t="s">
        <v>137</v>
      </c>
      <c r="F21" s="46" t="s">
        <v>138</v>
      </c>
      <c r="G21" s="41" t="s">
        <v>70</v>
      </c>
      <c r="H21" s="43" t="s">
        <v>71</v>
      </c>
      <c r="I21" s="67">
        <v>45756</v>
      </c>
      <c r="J21" s="54"/>
      <c r="K21" s="37">
        <v>1</v>
      </c>
      <c r="L21" s="2">
        <v>1</v>
      </c>
      <c r="M21" s="2">
        <v>1</v>
      </c>
      <c r="N21" s="2">
        <v>1</v>
      </c>
      <c r="O21" s="37">
        <v>1</v>
      </c>
      <c r="P21" s="2">
        <v>1</v>
      </c>
      <c r="Q21" s="2">
        <v>1</v>
      </c>
      <c r="R21" s="36">
        <v>2</v>
      </c>
      <c r="S21" s="32">
        <f>SUM(K21:R21)</f>
        <v>9</v>
      </c>
      <c r="T21" s="32">
        <f>S21/24</f>
        <v>0.375</v>
      </c>
      <c r="U21" s="32"/>
    </row>
    <row r="22" spans="1:21">
      <c r="A22" s="45">
        <v>21607947</v>
      </c>
      <c r="B22" s="45">
        <v>7</v>
      </c>
      <c r="C22" s="68" t="s">
        <v>139</v>
      </c>
      <c r="D22" s="46" t="s">
        <v>140</v>
      </c>
      <c r="E22" s="46" t="s">
        <v>141</v>
      </c>
      <c r="F22" s="46" t="s">
        <v>142</v>
      </c>
      <c r="G22" s="53" t="s">
        <v>143</v>
      </c>
      <c r="H22" s="54" t="s">
        <v>144</v>
      </c>
      <c r="I22" s="67">
        <v>45756</v>
      </c>
      <c r="J22" s="54" t="s">
        <v>145</v>
      </c>
      <c r="K22" s="55"/>
      <c r="L22" s="2"/>
      <c r="M22" s="2"/>
      <c r="N22" s="2"/>
      <c r="O22" s="55"/>
      <c r="P22" s="2"/>
      <c r="Q22" s="2"/>
      <c r="R22" s="36"/>
      <c r="S22" s="32">
        <f>SUM(K22:R22)</f>
        <v>0</v>
      </c>
      <c r="T22" s="32">
        <f>S22/24</f>
        <v>0</v>
      </c>
      <c r="U22" s="32"/>
    </row>
    <row r="23" spans="1:21">
      <c r="A23" s="45">
        <v>21626303</v>
      </c>
      <c r="B23" s="45">
        <v>0</v>
      </c>
      <c r="C23" s="68" t="s">
        <v>146</v>
      </c>
      <c r="D23" s="46" t="s">
        <v>141</v>
      </c>
      <c r="E23" s="46" t="s">
        <v>147</v>
      </c>
      <c r="F23" s="46" t="s">
        <v>142</v>
      </c>
      <c r="G23" s="41" t="s">
        <v>70</v>
      </c>
      <c r="H23" s="43" t="s">
        <v>71</v>
      </c>
      <c r="I23" s="67">
        <v>45756</v>
      </c>
      <c r="J23" s="54"/>
      <c r="K23" s="37">
        <v>1</v>
      </c>
      <c r="L23" s="2">
        <v>1</v>
      </c>
      <c r="M23" s="2">
        <v>1</v>
      </c>
      <c r="N23" s="2">
        <v>1</v>
      </c>
      <c r="O23" s="37">
        <v>0</v>
      </c>
      <c r="P23" s="2">
        <v>0</v>
      </c>
      <c r="Q23" s="2">
        <v>1</v>
      </c>
      <c r="R23" s="36">
        <v>1</v>
      </c>
      <c r="S23" s="32">
        <f>SUM(K23:R23)</f>
        <v>6</v>
      </c>
      <c r="T23" s="32">
        <f>S23/24</f>
        <v>0.25</v>
      </c>
      <c r="U23" s="32"/>
    </row>
    <row r="24" spans="1:21">
      <c r="A24" s="45">
        <v>21626451</v>
      </c>
      <c r="B24" s="45">
        <v>7</v>
      </c>
      <c r="C24" s="68" t="s">
        <v>148</v>
      </c>
      <c r="D24" s="46" t="s">
        <v>149</v>
      </c>
      <c r="E24" s="46" t="s">
        <v>150</v>
      </c>
      <c r="F24" s="46" t="s">
        <v>151</v>
      </c>
      <c r="G24" s="41" t="s">
        <v>70</v>
      </c>
      <c r="H24" s="43" t="s">
        <v>71</v>
      </c>
      <c r="I24" s="67">
        <v>45756</v>
      </c>
      <c r="J24" s="54"/>
      <c r="K24" s="37">
        <v>1</v>
      </c>
      <c r="L24" s="2">
        <v>1</v>
      </c>
      <c r="M24" s="2">
        <v>1</v>
      </c>
      <c r="N24" s="2">
        <v>1</v>
      </c>
      <c r="O24" s="37">
        <v>1</v>
      </c>
      <c r="P24" s="2">
        <v>1</v>
      </c>
      <c r="Q24" s="2">
        <v>1</v>
      </c>
      <c r="R24" s="36">
        <v>2</v>
      </c>
      <c r="S24" s="32">
        <f>SUM(K24:R24)</f>
        <v>9</v>
      </c>
      <c r="T24" s="32">
        <f>S24/24</f>
        <v>0.375</v>
      </c>
      <c r="U24" s="32"/>
    </row>
    <row r="25" spans="1:21">
      <c r="A25" s="45">
        <v>21642779</v>
      </c>
      <c r="B25" s="45">
        <v>3</v>
      </c>
      <c r="C25" s="68" t="s">
        <v>152</v>
      </c>
      <c r="D25" s="46" t="s">
        <v>153</v>
      </c>
      <c r="E25" s="46" t="s">
        <v>154</v>
      </c>
      <c r="F25" s="46" t="s">
        <v>155</v>
      </c>
      <c r="G25" s="41" t="s">
        <v>70</v>
      </c>
      <c r="H25" s="43" t="s">
        <v>71</v>
      </c>
      <c r="I25" s="67">
        <v>45756</v>
      </c>
      <c r="J25" s="32"/>
      <c r="K25" s="37">
        <v>1</v>
      </c>
      <c r="L25" s="2">
        <v>1</v>
      </c>
      <c r="M25" s="2">
        <v>1</v>
      </c>
      <c r="N25" s="2">
        <v>1</v>
      </c>
      <c r="O25" s="37">
        <v>1</v>
      </c>
      <c r="P25" s="2">
        <v>1</v>
      </c>
      <c r="Q25" s="2">
        <v>1</v>
      </c>
      <c r="R25" s="36">
        <v>2</v>
      </c>
      <c r="S25" s="32">
        <f>SUM(K25:R25)</f>
        <v>9</v>
      </c>
      <c r="T25" s="32">
        <f>S25/24</f>
        <v>0.375</v>
      </c>
      <c r="U25" s="32"/>
    </row>
    <row r="26" spans="1:21">
      <c r="A26" s="45">
        <v>21647896</v>
      </c>
      <c r="B26" s="45">
        <v>7</v>
      </c>
      <c r="C26" s="68" t="s">
        <v>156</v>
      </c>
      <c r="D26" s="46" t="s">
        <v>157</v>
      </c>
      <c r="E26" s="46" t="s">
        <v>73</v>
      </c>
      <c r="F26" s="46" t="s">
        <v>158</v>
      </c>
      <c r="G26" s="41" t="s">
        <v>70</v>
      </c>
      <c r="H26" s="43" t="s">
        <v>71</v>
      </c>
      <c r="I26" s="67">
        <v>45756</v>
      </c>
      <c r="J26" s="32"/>
      <c r="K26" s="37">
        <v>1</v>
      </c>
      <c r="L26" s="2">
        <v>1</v>
      </c>
      <c r="M26" s="2">
        <v>2</v>
      </c>
      <c r="N26" s="2">
        <v>2</v>
      </c>
      <c r="O26" s="37">
        <v>1</v>
      </c>
      <c r="P26" s="2">
        <v>1</v>
      </c>
      <c r="Q26" s="2">
        <v>1</v>
      </c>
      <c r="R26" s="36">
        <v>1</v>
      </c>
      <c r="S26" s="32">
        <f>SUM(K26:R26)</f>
        <v>10</v>
      </c>
      <c r="T26" s="32">
        <f>S26/24</f>
        <v>0.41666666666666669</v>
      </c>
      <c r="U26" s="32"/>
    </row>
    <row r="27" spans="1:21">
      <c r="A27" s="45">
        <v>21663812</v>
      </c>
      <c r="B27" s="45">
        <v>3</v>
      </c>
      <c r="C27" s="68" t="s">
        <v>159</v>
      </c>
      <c r="D27" s="46" t="s">
        <v>160</v>
      </c>
      <c r="E27" s="46" t="s">
        <v>161</v>
      </c>
      <c r="F27" s="46" t="s">
        <v>162</v>
      </c>
      <c r="G27" s="41" t="s">
        <v>70</v>
      </c>
      <c r="H27" s="43" t="s">
        <v>71</v>
      </c>
      <c r="I27" s="67">
        <v>45756</v>
      </c>
      <c r="J27" s="54"/>
      <c r="K27" s="37">
        <v>0</v>
      </c>
      <c r="L27" s="2">
        <v>0</v>
      </c>
      <c r="M27" s="2">
        <v>0</v>
      </c>
      <c r="N27" s="2">
        <v>0</v>
      </c>
      <c r="O27" s="37">
        <v>0</v>
      </c>
      <c r="P27" s="2">
        <v>0</v>
      </c>
      <c r="Q27" s="2">
        <v>0</v>
      </c>
      <c r="R27" s="36">
        <v>0</v>
      </c>
      <c r="S27" s="32">
        <f>SUM(K27:R27)</f>
        <v>0</v>
      </c>
      <c r="T27" s="32">
        <f>S27/24</f>
        <v>0</v>
      </c>
      <c r="U27" s="32"/>
    </row>
    <row r="28" spans="1:21">
      <c r="A28" s="45">
        <v>21670448</v>
      </c>
      <c r="B28" s="45">
        <v>7</v>
      </c>
      <c r="C28" s="68" t="s">
        <v>163</v>
      </c>
      <c r="D28" s="46" t="s">
        <v>164</v>
      </c>
      <c r="E28" s="46" t="s">
        <v>165</v>
      </c>
      <c r="F28" s="46" t="s">
        <v>166</v>
      </c>
      <c r="G28" s="41" t="s">
        <v>70</v>
      </c>
      <c r="H28" s="43" t="s">
        <v>71</v>
      </c>
      <c r="I28" s="67">
        <v>45756</v>
      </c>
      <c r="J28" s="54"/>
      <c r="K28" s="37">
        <v>1</v>
      </c>
      <c r="L28" s="2">
        <v>1</v>
      </c>
      <c r="M28" s="2">
        <v>1</v>
      </c>
      <c r="N28" s="2">
        <v>2</v>
      </c>
      <c r="O28" s="37">
        <v>1</v>
      </c>
      <c r="P28" s="2">
        <v>1</v>
      </c>
      <c r="Q28" s="2">
        <v>1</v>
      </c>
      <c r="R28" s="36">
        <v>2</v>
      </c>
      <c r="S28" s="32">
        <f>SUM(K28:R28)</f>
        <v>10</v>
      </c>
      <c r="T28" s="32">
        <f>S28/24</f>
        <v>0.41666666666666669</v>
      </c>
      <c r="U28" s="32"/>
    </row>
    <row r="29" spans="1:21">
      <c r="A29" s="45">
        <v>21719347</v>
      </c>
      <c r="B29" s="45">
        <v>8</v>
      </c>
      <c r="C29" s="68" t="s">
        <v>167</v>
      </c>
      <c r="D29" s="46" t="s">
        <v>168</v>
      </c>
      <c r="E29" s="46" t="s">
        <v>169</v>
      </c>
      <c r="F29" s="46" t="s">
        <v>170</v>
      </c>
      <c r="G29" s="41" t="s">
        <v>70</v>
      </c>
      <c r="H29" s="43" t="s">
        <v>71</v>
      </c>
      <c r="I29" s="67">
        <v>45756</v>
      </c>
      <c r="J29" s="54"/>
      <c r="K29" s="37">
        <v>1</v>
      </c>
      <c r="L29" s="2">
        <v>1</v>
      </c>
      <c r="M29" s="2">
        <v>1</v>
      </c>
      <c r="N29" s="2">
        <v>1</v>
      </c>
      <c r="O29" s="37">
        <v>1</v>
      </c>
      <c r="P29" s="2">
        <v>1</v>
      </c>
      <c r="Q29" s="2">
        <v>1</v>
      </c>
      <c r="R29" s="36">
        <v>2</v>
      </c>
      <c r="S29" s="32">
        <f>SUM(K29:R29)</f>
        <v>9</v>
      </c>
      <c r="T29" s="32">
        <f>S29/24</f>
        <v>0.375</v>
      </c>
      <c r="U29" s="32"/>
    </row>
    <row r="30" spans="1:21">
      <c r="A30" s="45">
        <v>21720863</v>
      </c>
      <c r="B30" s="45">
        <v>7</v>
      </c>
      <c r="C30" s="68" t="s">
        <v>171</v>
      </c>
      <c r="D30" s="46" t="s">
        <v>172</v>
      </c>
      <c r="E30" s="46" t="s">
        <v>173</v>
      </c>
      <c r="F30" s="46" t="s">
        <v>174</v>
      </c>
      <c r="G30" s="53" t="s">
        <v>143</v>
      </c>
      <c r="H30" s="54" t="s">
        <v>144</v>
      </c>
      <c r="I30" s="67">
        <v>45756</v>
      </c>
      <c r="J30" s="54" t="s">
        <v>145</v>
      </c>
      <c r="K30" s="55"/>
      <c r="L30" s="2"/>
      <c r="M30" s="2"/>
      <c r="N30" s="2"/>
      <c r="O30" s="55"/>
      <c r="P30" s="2"/>
      <c r="Q30" s="2"/>
      <c r="R30" s="36"/>
      <c r="S30" s="32">
        <f>SUM(K30:R30)</f>
        <v>0</v>
      </c>
      <c r="T30" s="32">
        <f>S30/24</f>
        <v>0</v>
      </c>
      <c r="U30" s="32"/>
    </row>
    <row r="31" spans="1:21">
      <c r="A31" s="45">
        <v>21744744</v>
      </c>
      <c r="B31" s="45">
        <v>5</v>
      </c>
      <c r="C31" s="68" t="s">
        <v>175</v>
      </c>
      <c r="D31" s="46" t="s">
        <v>176</v>
      </c>
      <c r="E31" s="46" t="s">
        <v>140</v>
      </c>
      <c r="F31" s="46" t="s">
        <v>177</v>
      </c>
      <c r="G31" s="41" t="s">
        <v>70</v>
      </c>
      <c r="H31" s="43" t="s">
        <v>71</v>
      </c>
      <c r="I31" s="67">
        <v>45756</v>
      </c>
      <c r="J31" s="54"/>
      <c r="K31" s="37">
        <v>1</v>
      </c>
      <c r="L31" s="2">
        <v>1</v>
      </c>
      <c r="M31" s="2">
        <v>2</v>
      </c>
      <c r="N31" s="2">
        <v>2</v>
      </c>
      <c r="O31" s="37">
        <v>0</v>
      </c>
      <c r="P31" s="2">
        <v>0</v>
      </c>
      <c r="Q31" s="2">
        <v>0</v>
      </c>
      <c r="R31" s="36">
        <v>0</v>
      </c>
      <c r="S31" s="32">
        <f>SUM(K31:R31)</f>
        <v>6</v>
      </c>
      <c r="T31" s="32">
        <f>S31/24</f>
        <v>0.25</v>
      </c>
      <c r="U31" s="32"/>
    </row>
    <row r="32" spans="1:21">
      <c r="A32" s="45">
        <v>21746155</v>
      </c>
      <c r="B32" s="45">
        <v>3</v>
      </c>
      <c r="C32" s="68" t="s">
        <v>178</v>
      </c>
      <c r="D32" s="46" t="s">
        <v>179</v>
      </c>
      <c r="E32" s="46" t="s">
        <v>180</v>
      </c>
      <c r="F32" s="46" t="s">
        <v>181</v>
      </c>
      <c r="G32" s="41" t="s">
        <v>70</v>
      </c>
      <c r="H32" s="43" t="s">
        <v>71</v>
      </c>
      <c r="I32" s="67">
        <v>45756</v>
      </c>
      <c r="J32" s="54"/>
      <c r="K32" s="37">
        <v>1</v>
      </c>
      <c r="L32" s="2">
        <v>1</v>
      </c>
      <c r="M32" s="2">
        <v>1</v>
      </c>
      <c r="N32" s="2">
        <v>1</v>
      </c>
      <c r="O32" s="37">
        <v>1</v>
      </c>
      <c r="P32" s="2">
        <v>1</v>
      </c>
      <c r="Q32" s="2">
        <v>1</v>
      </c>
      <c r="R32" s="36">
        <v>1</v>
      </c>
      <c r="S32" s="32">
        <f>SUM(K32:R32)</f>
        <v>8</v>
      </c>
      <c r="T32" s="32">
        <f>S32/24</f>
        <v>0.33333333333333331</v>
      </c>
      <c r="U32" s="32"/>
    </row>
    <row r="33" spans="1:21">
      <c r="A33" s="45">
        <v>21761605</v>
      </c>
      <c r="B33" s="45">
        <v>0</v>
      </c>
      <c r="C33" s="68" t="s">
        <v>182</v>
      </c>
      <c r="D33" s="46" t="s">
        <v>183</v>
      </c>
      <c r="E33" s="46" t="s">
        <v>125</v>
      </c>
      <c r="F33" s="46" t="s">
        <v>184</v>
      </c>
      <c r="G33" s="41" t="s">
        <v>70</v>
      </c>
      <c r="H33" s="43" t="s">
        <v>71</v>
      </c>
      <c r="I33" s="67">
        <v>45756</v>
      </c>
      <c r="J33" s="54"/>
      <c r="K33" s="37">
        <v>1</v>
      </c>
      <c r="L33" s="2">
        <v>1</v>
      </c>
      <c r="M33" s="2">
        <v>1</v>
      </c>
      <c r="N33" s="2">
        <v>1</v>
      </c>
      <c r="O33" s="37">
        <v>1</v>
      </c>
      <c r="P33" s="2">
        <v>1</v>
      </c>
      <c r="Q33" s="2">
        <v>1</v>
      </c>
      <c r="R33" s="36">
        <v>2</v>
      </c>
      <c r="S33" s="32">
        <f>SUM(K33:R33)</f>
        <v>9</v>
      </c>
      <c r="T33" s="32">
        <f>S33/24</f>
        <v>0.375</v>
      </c>
      <c r="U33" s="32"/>
    </row>
    <row r="34" spans="1:21">
      <c r="A34" s="45">
        <v>21762032</v>
      </c>
      <c r="B34" s="45">
        <v>5</v>
      </c>
      <c r="C34" s="68" t="s">
        <v>185</v>
      </c>
      <c r="D34" s="46" t="s">
        <v>186</v>
      </c>
      <c r="E34" s="46" t="s">
        <v>187</v>
      </c>
      <c r="F34" s="46" t="s">
        <v>188</v>
      </c>
      <c r="G34" s="41" t="s">
        <v>70</v>
      </c>
      <c r="H34" s="43" t="s">
        <v>71</v>
      </c>
      <c r="I34" s="67">
        <v>45756</v>
      </c>
      <c r="J34" s="54"/>
      <c r="K34" s="37">
        <v>1</v>
      </c>
      <c r="L34" s="2">
        <v>1</v>
      </c>
      <c r="M34" s="2">
        <v>1</v>
      </c>
      <c r="N34" s="2">
        <v>2</v>
      </c>
      <c r="O34" s="37">
        <v>1</v>
      </c>
      <c r="P34" s="2">
        <v>1</v>
      </c>
      <c r="Q34" s="2">
        <v>1</v>
      </c>
      <c r="R34" s="36">
        <v>2</v>
      </c>
      <c r="S34" s="32">
        <f>SUM(K34:R34)</f>
        <v>10</v>
      </c>
      <c r="T34" s="32">
        <f>S34/24</f>
        <v>0.41666666666666669</v>
      </c>
      <c r="U34" s="32"/>
    </row>
    <row r="35" spans="1:21">
      <c r="A35" s="45">
        <v>21766744</v>
      </c>
      <c r="B35" s="45">
        <v>5</v>
      </c>
      <c r="C35" s="68" t="s">
        <v>189</v>
      </c>
      <c r="D35" s="46" t="s">
        <v>190</v>
      </c>
      <c r="E35" s="46" t="s">
        <v>191</v>
      </c>
      <c r="F35" s="46" t="s">
        <v>192</v>
      </c>
      <c r="G35" s="41" t="s">
        <v>70</v>
      </c>
      <c r="H35" s="43" t="s">
        <v>71</v>
      </c>
      <c r="I35" s="67">
        <v>45756</v>
      </c>
      <c r="J35" s="54"/>
      <c r="K35" s="37">
        <v>1</v>
      </c>
      <c r="L35" s="2">
        <v>1</v>
      </c>
      <c r="M35" s="2">
        <v>1</v>
      </c>
      <c r="N35" s="2">
        <v>1</v>
      </c>
      <c r="O35" s="37">
        <v>1</v>
      </c>
      <c r="P35" s="2">
        <v>1</v>
      </c>
      <c r="Q35" s="2">
        <v>1</v>
      </c>
      <c r="R35" s="36">
        <v>1</v>
      </c>
      <c r="S35" s="32">
        <f>SUM(K35:R35)</f>
        <v>8</v>
      </c>
      <c r="T35" s="32">
        <f>S35/24</f>
        <v>0.33333333333333331</v>
      </c>
      <c r="U35" s="32"/>
    </row>
    <row r="36" spans="1:21">
      <c r="A36" s="45">
        <v>21767752</v>
      </c>
      <c r="B36" s="45">
        <v>1</v>
      </c>
      <c r="C36" s="68" t="s">
        <v>193</v>
      </c>
      <c r="D36" s="46" t="s">
        <v>194</v>
      </c>
      <c r="E36" s="46" t="s">
        <v>195</v>
      </c>
      <c r="F36" s="46" t="s">
        <v>196</v>
      </c>
      <c r="G36" s="41" t="s">
        <v>70</v>
      </c>
      <c r="H36" s="43" t="s">
        <v>71</v>
      </c>
      <c r="I36" s="67">
        <v>45756</v>
      </c>
      <c r="J36" s="54"/>
      <c r="K36" s="37">
        <v>1</v>
      </c>
      <c r="L36" s="2">
        <v>1</v>
      </c>
      <c r="M36" s="2">
        <v>1</v>
      </c>
      <c r="N36" s="2">
        <v>1</v>
      </c>
      <c r="O36" s="37">
        <v>1</v>
      </c>
      <c r="P36" s="2">
        <v>1</v>
      </c>
      <c r="Q36" s="2">
        <v>1</v>
      </c>
      <c r="R36" s="36">
        <v>2</v>
      </c>
      <c r="S36" s="32">
        <f>SUM(K36:R36)</f>
        <v>9</v>
      </c>
      <c r="T36" s="32">
        <f>S36/24</f>
        <v>0.375</v>
      </c>
      <c r="U36" s="32"/>
    </row>
    <row r="37" spans="1:21">
      <c r="A37" s="45">
        <v>21768026</v>
      </c>
      <c r="B37" s="45">
        <v>3</v>
      </c>
      <c r="C37" s="68" t="s">
        <v>197</v>
      </c>
      <c r="D37" s="46" t="s">
        <v>198</v>
      </c>
      <c r="E37" s="46" t="s">
        <v>199</v>
      </c>
      <c r="F37" s="46" t="s">
        <v>142</v>
      </c>
      <c r="G37" s="41" t="s">
        <v>70</v>
      </c>
      <c r="H37" s="43" t="s">
        <v>71</v>
      </c>
      <c r="I37" s="67">
        <v>45756</v>
      </c>
      <c r="J37" s="54"/>
      <c r="K37" s="37">
        <v>1</v>
      </c>
      <c r="L37" s="2">
        <v>1</v>
      </c>
      <c r="M37" s="2">
        <v>1</v>
      </c>
      <c r="N37" s="2">
        <v>2</v>
      </c>
      <c r="O37" s="37">
        <v>1</v>
      </c>
      <c r="P37" s="2">
        <v>1</v>
      </c>
      <c r="Q37" s="2">
        <v>1</v>
      </c>
      <c r="R37" s="36">
        <v>1</v>
      </c>
      <c r="S37" s="32">
        <f>SUM(K37:R37)</f>
        <v>9</v>
      </c>
      <c r="T37" s="32">
        <f>S37/24</f>
        <v>0.375</v>
      </c>
      <c r="U37" s="32"/>
    </row>
    <row r="38" spans="1:21">
      <c r="A38" s="45">
        <v>21768349</v>
      </c>
      <c r="B38" s="45">
        <v>1</v>
      </c>
      <c r="C38" s="68" t="s">
        <v>200</v>
      </c>
      <c r="D38" s="46" t="s">
        <v>201</v>
      </c>
      <c r="E38" s="46" t="s">
        <v>77</v>
      </c>
      <c r="F38" s="46" t="s">
        <v>202</v>
      </c>
      <c r="G38" s="41" t="s">
        <v>70</v>
      </c>
      <c r="H38" s="43" t="s">
        <v>71</v>
      </c>
      <c r="I38" s="67">
        <v>45756</v>
      </c>
      <c r="J38" s="54"/>
      <c r="K38" s="37">
        <v>1</v>
      </c>
      <c r="L38" s="2">
        <v>1</v>
      </c>
      <c r="M38" s="2">
        <v>1</v>
      </c>
      <c r="N38" s="2">
        <v>1</v>
      </c>
      <c r="O38" s="37">
        <v>1</v>
      </c>
      <c r="P38" s="2">
        <v>1</v>
      </c>
      <c r="Q38" s="2">
        <v>1</v>
      </c>
      <c r="R38" s="36">
        <v>2</v>
      </c>
      <c r="S38" s="32">
        <f>SUM(K38:R38)</f>
        <v>9</v>
      </c>
      <c r="T38" s="32">
        <f>S38/24</f>
        <v>0.375</v>
      </c>
      <c r="U38" s="32"/>
    </row>
    <row r="39" spans="1:21">
      <c r="A39" s="45">
        <v>21769138</v>
      </c>
      <c r="B39" s="45">
        <v>9</v>
      </c>
      <c r="C39" s="68" t="s">
        <v>203</v>
      </c>
      <c r="D39" s="46" t="s">
        <v>204</v>
      </c>
      <c r="E39" s="46" t="s">
        <v>205</v>
      </c>
      <c r="F39" s="46" t="s">
        <v>206</v>
      </c>
      <c r="G39" s="41" t="s">
        <v>70</v>
      </c>
      <c r="H39" s="43" t="s">
        <v>71</v>
      </c>
      <c r="I39" s="67">
        <v>45756</v>
      </c>
      <c r="J39" s="54"/>
      <c r="K39" s="37">
        <v>2</v>
      </c>
      <c r="L39" s="2">
        <v>2</v>
      </c>
      <c r="M39" s="2">
        <v>2</v>
      </c>
      <c r="N39" s="2">
        <v>2</v>
      </c>
      <c r="O39" s="37">
        <v>2</v>
      </c>
      <c r="P39" s="2">
        <v>2</v>
      </c>
      <c r="Q39" s="2">
        <v>2</v>
      </c>
      <c r="R39" s="36">
        <v>2</v>
      </c>
      <c r="S39" s="32">
        <f>SUM(K39:R39)</f>
        <v>16</v>
      </c>
      <c r="T39" s="32">
        <f>S39/24</f>
        <v>0.66666666666666663</v>
      </c>
      <c r="U39" s="32"/>
    </row>
    <row r="40" spans="1:21">
      <c r="A40" s="45">
        <v>21786451</v>
      </c>
      <c r="B40" s="45">
        <v>8</v>
      </c>
      <c r="C40" s="68" t="s">
        <v>207</v>
      </c>
      <c r="D40" s="46" t="s">
        <v>125</v>
      </c>
      <c r="E40" s="46" t="s">
        <v>208</v>
      </c>
      <c r="F40" s="46" t="s">
        <v>209</v>
      </c>
      <c r="G40" s="41" t="s">
        <v>70</v>
      </c>
      <c r="H40" s="43" t="s">
        <v>71</v>
      </c>
      <c r="I40" s="67">
        <v>45756</v>
      </c>
      <c r="J40" s="32"/>
      <c r="K40" s="37">
        <v>1</v>
      </c>
      <c r="L40" s="2">
        <v>1</v>
      </c>
      <c r="M40" s="2">
        <v>1</v>
      </c>
      <c r="N40" s="2">
        <v>1</v>
      </c>
      <c r="O40" s="37">
        <v>1</v>
      </c>
      <c r="P40" s="2">
        <v>1</v>
      </c>
      <c r="Q40" s="2">
        <v>1</v>
      </c>
      <c r="R40" s="36">
        <v>1</v>
      </c>
      <c r="S40" s="32">
        <f>SUM(K40:R40)</f>
        <v>8</v>
      </c>
      <c r="T40" s="32">
        <f>S40/24</f>
        <v>0.33333333333333331</v>
      </c>
      <c r="U40" s="32"/>
    </row>
    <row r="41" spans="1:21">
      <c r="A41" s="45">
        <v>21873423</v>
      </c>
      <c r="B41" s="45">
        <v>5</v>
      </c>
      <c r="C41" s="68" t="s">
        <v>210</v>
      </c>
      <c r="D41" s="46" t="s">
        <v>211</v>
      </c>
      <c r="E41" s="46" t="s">
        <v>118</v>
      </c>
      <c r="F41" s="46" t="s">
        <v>212</v>
      </c>
      <c r="G41" s="41" t="s">
        <v>70</v>
      </c>
      <c r="H41" s="43" t="s">
        <v>71</v>
      </c>
      <c r="I41" s="67">
        <v>45756</v>
      </c>
      <c r="J41" s="54"/>
      <c r="K41" s="37">
        <v>1</v>
      </c>
      <c r="L41" s="2">
        <v>1</v>
      </c>
      <c r="M41" s="2">
        <v>1</v>
      </c>
      <c r="N41" s="2">
        <v>1</v>
      </c>
      <c r="O41" s="37">
        <v>1</v>
      </c>
      <c r="P41" s="2">
        <v>1</v>
      </c>
      <c r="Q41" s="2">
        <v>1</v>
      </c>
      <c r="R41" s="36">
        <v>1</v>
      </c>
      <c r="S41" s="32">
        <f>SUM(K41:R41)</f>
        <v>8</v>
      </c>
      <c r="T41" s="32">
        <f>S41/24</f>
        <v>0.33333333333333331</v>
      </c>
      <c r="U41" s="32"/>
    </row>
    <row r="42" spans="1:21">
      <c r="A42" s="45">
        <v>23252563</v>
      </c>
      <c r="B42" s="45">
        <v>0</v>
      </c>
      <c r="C42" s="68" t="s">
        <v>213</v>
      </c>
      <c r="D42" s="46" t="s">
        <v>214</v>
      </c>
      <c r="E42" s="46" t="s">
        <v>215</v>
      </c>
      <c r="F42" s="46" t="s">
        <v>216</v>
      </c>
      <c r="G42" s="41" t="s">
        <v>70</v>
      </c>
      <c r="H42" s="43" t="s">
        <v>71</v>
      </c>
      <c r="I42" s="67">
        <v>45756</v>
      </c>
      <c r="J42" s="54"/>
      <c r="K42" s="37">
        <v>2</v>
      </c>
      <c r="L42" s="2">
        <v>1</v>
      </c>
      <c r="M42" s="2">
        <v>1</v>
      </c>
      <c r="N42" s="2">
        <v>1</v>
      </c>
      <c r="O42" s="37">
        <v>1</v>
      </c>
      <c r="P42" s="2">
        <v>1</v>
      </c>
      <c r="Q42" s="2">
        <v>2</v>
      </c>
      <c r="R42" s="36">
        <v>1</v>
      </c>
      <c r="S42" s="32">
        <f>SUM(K42:R42)</f>
        <v>10</v>
      </c>
      <c r="T42" s="32">
        <f>S42/24</f>
        <v>0.41666666666666669</v>
      </c>
      <c r="U42" s="32"/>
    </row>
    <row r="43" spans="1:21">
      <c r="A43" s="45">
        <v>23943824</v>
      </c>
      <c r="B43" s="45">
        <v>5</v>
      </c>
      <c r="C43" s="68" t="s">
        <v>217</v>
      </c>
      <c r="D43" s="46" t="s">
        <v>218</v>
      </c>
      <c r="E43" s="46" t="s">
        <v>219</v>
      </c>
      <c r="F43" s="46" t="s">
        <v>220</v>
      </c>
      <c r="G43" s="41" t="s">
        <v>70</v>
      </c>
      <c r="H43" s="43" t="s">
        <v>71</v>
      </c>
      <c r="I43" s="67">
        <v>45756</v>
      </c>
      <c r="J43" s="54"/>
      <c r="K43" s="37">
        <v>0</v>
      </c>
      <c r="L43" s="2">
        <v>0</v>
      </c>
      <c r="M43" s="2">
        <v>0</v>
      </c>
      <c r="N43" s="2">
        <v>0</v>
      </c>
      <c r="O43" s="37">
        <v>0</v>
      </c>
      <c r="P43" s="2">
        <v>0</v>
      </c>
      <c r="Q43" s="2">
        <v>0</v>
      </c>
      <c r="R43" s="36">
        <v>0</v>
      </c>
      <c r="S43" s="32">
        <f>SUM(K43:R43)</f>
        <v>0</v>
      </c>
      <c r="T43" s="32">
        <f>S43/24</f>
        <v>0</v>
      </c>
      <c r="U43" s="32"/>
    </row>
    <row r="44" spans="1:21">
      <c r="A44" s="45"/>
      <c r="B44" s="45"/>
      <c r="C44" s="45"/>
      <c r="D44" s="46"/>
      <c r="E44" s="46"/>
      <c r="F44" s="46"/>
      <c r="G44" s="53"/>
      <c r="H44" s="54"/>
      <c r="I44" s="56"/>
      <c r="J44" s="54"/>
      <c r="K44" s="55"/>
      <c r="L44" s="2"/>
      <c r="M44" s="2"/>
      <c r="N44" s="2"/>
      <c r="O44" s="55"/>
      <c r="P44" s="2"/>
      <c r="Q44" s="2"/>
      <c r="R44" s="36"/>
      <c r="S44" s="32"/>
      <c r="T44" s="32"/>
      <c r="U44" s="32"/>
    </row>
    <row r="45" spans="1:21">
      <c r="A45" s="45"/>
      <c r="B45" s="45"/>
      <c r="C45" s="45"/>
      <c r="D45" s="46"/>
      <c r="E45" s="46"/>
      <c r="F45" s="46"/>
      <c r="G45" s="53"/>
      <c r="H45" s="54"/>
      <c r="I45" s="56"/>
      <c r="J45" s="54"/>
      <c r="K45" s="55"/>
      <c r="L45" s="2"/>
      <c r="M45" s="2"/>
      <c r="N45" s="2"/>
      <c r="O45" s="55"/>
      <c r="P45" s="2"/>
      <c r="Q45" s="2"/>
      <c r="R45" s="36"/>
      <c r="S45" s="32"/>
      <c r="T45" s="32"/>
      <c r="U45" s="32"/>
    </row>
    <row r="46" spans="1:21">
      <c r="A46" s="45"/>
      <c r="B46" s="45"/>
      <c r="C46" s="45"/>
      <c r="D46" s="46"/>
      <c r="E46" s="46"/>
      <c r="F46" s="46"/>
      <c r="G46" s="53"/>
      <c r="H46" s="54"/>
      <c r="I46" s="56"/>
      <c r="J46" s="54"/>
      <c r="K46" s="55"/>
      <c r="L46" s="2"/>
      <c r="M46" s="2"/>
      <c r="N46" s="2"/>
      <c r="O46" s="55"/>
      <c r="P46" s="2"/>
      <c r="Q46" s="2"/>
      <c r="R46" s="36"/>
      <c r="S46" s="32"/>
      <c r="T46" s="32"/>
      <c r="U46" s="32"/>
    </row>
    <row r="47" spans="1:21">
      <c r="A47" s="45"/>
      <c r="B47" s="45"/>
      <c r="C47" s="45"/>
      <c r="D47" s="46"/>
      <c r="E47" s="46"/>
      <c r="F47" s="46"/>
      <c r="G47" s="53"/>
      <c r="H47" s="54"/>
      <c r="I47" s="56"/>
      <c r="J47" s="54"/>
      <c r="K47" s="55"/>
      <c r="L47" s="2"/>
      <c r="M47" s="2"/>
      <c r="N47" s="2"/>
      <c r="O47" s="55"/>
      <c r="P47" s="2"/>
      <c r="Q47" s="2"/>
      <c r="R47" s="36"/>
      <c r="S47" s="32"/>
      <c r="T47" s="32"/>
      <c r="U47" s="32"/>
    </row>
    <row r="48" spans="1:21">
      <c r="A48" s="45"/>
      <c r="B48" s="45"/>
      <c r="C48" s="45"/>
      <c r="D48" s="46"/>
      <c r="E48" s="46"/>
      <c r="F48" s="46"/>
      <c r="G48" s="50"/>
      <c r="H48" s="32"/>
      <c r="I48" s="51"/>
      <c r="J48" s="32"/>
      <c r="K48" s="52"/>
      <c r="L48" s="1"/>
      <c r="M48" s="1"/>
      <c r="N48" s="1"/>
      <c r="O48" s="52"/>
      <c r="P48" s="1"/>
      <c r="Q48" s="1"/>
      <c r="R48" s="50"/>
      <c r="S48" s="32"/>
      <c r="T48" s="32"/>
      <c r="U48" s="32"/>
    </row>
    <row r="49" spans="1:21">
      <c r="A49" s="45"/>
      <c r="B49" s="45"/>
      <c r="C49" s="45"/>
      <c r="D49" s="46"/>
      <c r="E49" s="46"/>
      <c r="F49" s="46"/>
      <c r="G49" s="53"/>
      <c r="H49" s="54"/>
      <c r="I49" s="56"/>
      <c r="J49" s="54"/>
      <c r="K49" s="55"/>
      <c r="L49" s="2"/>
      <c r="M49" s="2"/>
      <c r="N49" s="2"/>
      <c r="O49" s="55"/>
      <c r="P49" s="2"/>
      <c r="Q49" s="2"/>
      <c r="R49" s="36"/>
      <c r="S49" s="32"/>
      <c r="T49" s="32"/>
      <c r="U49" s="32"/>
    </row>
    <row r="50" spans="1:21">
      <c r="A50" s="45"/>
      <c r="B50" s="45"/>
      <c r="C50" s="45"/>
      <c r="D50" s="46"/>
      <c r="E50" s="46"/>
      <c r="F50" s="46"/>
      <c r="G50" s="53"/>
      <c r="H50" s="54"/>
      <c r="I50" s="56"/>
      <c r="J50" s="54"/>
      <c r="K50" s="55"/>
      <c r="L50" s="2"/>
      <c r="M50" s="2"/>
      <c r="N50" s="2"/>
      <c r="O50" s="55"/>
      <c r="P50" s="2"/>
      <c r="Q50" s="2"/>
      <c r="R50" s="36"/>
      <c r="S50" s="32"/>
      <c r="T50" s="32"/>
      <c r="U50" s="32"/>
    </row>
    <row r="51" spans="1:21">
      <c r="A51" s="45"/>
      <c r="B51" s="45"/>
      <c r="C51" s="45"/>
      <c r="D51" s="46"/>
      <c r="E51" s="46"/>
      <c r="F51" s="46"/>
      <c r="G51" s="53"/>
      <c r="H51" s="54"/>
      <c r="I51" s="56"/>
      <c r="J51" s="54"/>
      <c r="K51" s="55"/>
      <c r="L51" s="2"/>
      <c r="M51" s="2"/>
      <c r="N51" s="2"/>
      <c r="O51" s="55"/>
      <c r="P51" s="2"/>
      <c r="Q51" s="2"/>
      <c r="R51" s="36"/>
      <c r="S51" s="32"/>
      <c r="T51" s="32"/>
      <c r="U51" s="32"/>
    </row>
    <row r="52" spans="1:21">
      <c r="A52" s="45"/>
      <c r="B52" s="45"/>
      <c r="C52" s="45"/>
      <c r="D52" s="46"/>
      <c r="E52" s="46"/>
      <c r="F52" s="46"/>
      <c r="G52" s="53"/>
      <c r="H52" s="54"/>
      <c r="I52" s="56"/>
      <c r="J52" s="54"/>
      <c r="K52" s="55"/>
      <c r="L52" s="2"/>
      <c r="M52" s="2"/>
      <c r="N52" s="2"/>
      <c r="O52" s="55"/>
      <c r="P52" s="2"/>
      <c r="Q52" s="2"/>
      <c r="R52" s="36"/>
      <c r="S52" s="32"/>
      <c r="T52" s="32"/>
      <c r="U52" s="32"/>
    </row>
    <row r="53" spans="1:21">
      <c r="A53" s="45"/>
      <c r="B53" s="45"/>
      <c r="C53" s="45"/>
      <c r="D53" s="46"/>
      <c r="E53" s="46"/>
      <c r="F53" s="46"/>
      <c r="G53" s="53"/>
      <c r="H53" s="54"/>
      <c r="I53" s="56"/>
      <c r="J53" s="54"/>
      <c r="K53" s="55"/>
      <c r="L53" s="2"/>
      <c r="M53" s="2"/>
      <c r="N53" s="2"/>
      <c r="O53" s="55"/>
      <c r="P53" s="2"/>
      <c r="Q53" s="2"/>
      <c r="R53" s="36"/>
      <c r="S53" s="32"/>
      <c r="T53" s="32"/>
      <c r="U53" s="32"/>
    </row>
    <row r="54" spans="1:21">
      <c r="A54" s="45"/>
      <c r="B54" s="45"/>
      <c r="C54" s="45"/>
      <c r="D54" s="46"/>
      <c r="E54" s="46"/>
      <c r="F54" s="46"/>
      <c r="G54" s="53"/>
      <c r="H54" s="54"/>
      <c r="I54" s="56"/>
      <c r="J54" s="54"/>
      <c r="K54" s="55"/>
      <c r="L54" s="2"/>
      <c r="M54" s="2"/>
      <c r="N54" s="2"/>
      <c r="O54" s="55"/>
      <c r="P54" s="2"/>
      <c r="Q54" s="2"/>
      <c r="R54" s="36"/>
      <c r="S54" s="32"/>
      <c r="T54" s="32"/>
      <c r="U54" s="32"/>
    </row>
    <row r="55" spans="1:21">
      <c r="A55" s="45"/>
      <c r="B55" s="45"/>
      <c r="C55" s="45"/>
      <c r="D55" s="46"/>
      <c r="E55" s="46"/>
      <c r="F55" s="46"/>
      <c r="G55" s="50"/>
      <c r="H55" s="32"/>
      <c r="I55" s="51"/>
      <c r="J55" s="32"/>
      <c r="K55" s="52"/>
      <c r="L55" s="1"/>
      <c r="M55" s="1"/>
      <c r="N55" s="1"/>
      <c r="O55" s="52"/>
      <c r="P55" s="1"/>
      <c r="Q55" s="1"/>
      <c r="R55" s="50"/>
      <c r="S55" s="32"/>
      <c r="T55" s="32"/>
      <c r="U55" s="32"/>
    </row>
    <row r="56" spans="1:21">
      <c r="A56" s="45"/>
      <c r="B56" s="45"/>
      <c r="C56" s="45"/>
      <c r="D56" s="46"/>
      <c r="E56" s="46"/>
      <c r="F56" s="46"/>
      <c r="G56" s="50"/>
      <c r="H56" s="32"/>
      <c r="I56" s="51"/>
      <c r="J56" s="32"/>
      <c r="K56" s="52"/>
      <c r="L56" s="1"/>
      <c r="M56" s="1"/>
      <c r="N56" s="1"/>
      <c r="O56" s="52"/>
      <c r="P56" s="1"/>
      <c r="Q56" s="1"/>
      <c r="R56" s="50"/>
      <c r="S56" s="32"/>
      <c r="T56" s="32"/>
      <c r="U56" s="32"/>
    </row>
    <row r="57" spans="1:21">
      <c r="A57" s="45"/>
      <c r="B57" s="45"/>
      <c r="C57" s="45"/>
      <c r="D57" s="46"/>
      <c r="E57" s="46"/>
      <c r="F57" s="46"/>
      <c r="G57" s="53"/>
      <c r="H57" s="54"/>
      <c r="I57" s="56"/>
      <c r="J57" s="54"/>
      <c r="K57" s="55"/>
      <c r="L57" s="2"/>
      <c r="M57" s="2"/>
      <c r="N57" s="2"/>
      <c r="O57" s="55"/>
      <c r="P57" s="2"/>
      <c r="Q57" s="2"/>
      <c r="R57" s="36"/>
      <c r="S57" s="32"/>
      <c r="T57" s="32"/>
      <c r="U57" s="32"/>
    </row>
    <row r="58" spans="1:21">
      <c r="A58" s="45"/>
      <c r="B58" s="45"/>
      <c r="C58" s="45"/>
      <c r="D58" s="46"/>
      <c r="E58" s="46"/>
      <c r="F58" s="46"/>
      <c r="G58" s="53"/>
      <c r="H58" s="54"/>
      <c r="I58" s="56"/>
      <c r="J58" s="54"/>
      <c r="K58" s="55"/>
      <c r="L58" s="2"/>
      <c r="M58" s="2"/>
      <c r="N58" s="2"/>
      <c r="O58" s="55"/>
      <c r="P58" s="2"/>
      <c r="Q58" s="2"/>
      <c r="R58" s="36"/>
      <c r="S58" s="32"/>
      <c r="T58" s="32"/>
      <c r="U58" s="32"/>
    </row>
    <row r="59" spans="1:21">
      <c r="A59" s="45"/>
      <c r="B59" s="45"/>
      <c r="C59" s="45"/>
      <c r="D59" s="46"/>
      <c r="E59" s="46"/>
      <c r="F59" s="46"/>
      <c r="G59" s="53"/>
      <c r="H59" s="54"/>
      <c r="I59" s="56"/>
      <c r="J59" s="54"/>
      <c r="K59" s="55"/>
      <c r="L59" s="2"/>
      <c r="M59" s="2"/>
      <c r="N59" s="2"/>
      <c r="O59" s="55"/>
      <c r="P59" s="2"/>
      <c r="Q59" s="2"/>
      <c r="R59" s="36"/>
      <c r="S59" s="32"/>
      <c r="T59" s="32"/>
      <c r="U59" s="32"/>
    </row>
    <row r="60" spans="1:21">
      <c r="A60" s="45"/>
      <c r="B60" s="45"/>
      <c r="C60" s="45"/>
      <c r="D60" s="46"/>
      <c r="E60" s="46"/>
      <c r="F60" s="46"/>
      <c r="G60" s="53"/>
      <c r="H60" s="32"/>
      <c r="I60" s="51"/>
      <c r="J60" s="54"/>
      <c r="K60" s="55"/>
      <c r="L60" s="2"/>
      <c r="M60" s="2"/>
      <c r="N60" s="2"/>
      <c r="O60" s="55"/>
      <c r="P60" s="2"/>
      <c r="Q60" s="2"/>
      <c r="R60" s="36"/>
      <c r="S60" s="32"/>
      <c r="T60" s="32"/>
      <c r="U60" s="32"/>
    </row>
    <row r="61" spans="1:21">
      <c r="A61" s="45"/>
      <c r="B61" s="45"/>
      <c r="C61" s="45"/>
      <c r="D61" s="46"/>
      <c r="E61" s="46"/>
      <c r="F61" s="46"/>
      <c r="G61" s="53"/>
      <c r="H61" s="54"/>
      <c r="I61" s="56"/>
      <c r="J61" s="54"/>
      <c r="K61" s="55"/>
      <c r="L61" s="2"/>
      <c r="M61" s="2"/>
      <c r="N61" s="2"/>
      <c r="O61" s="55"/>
      <c r="P61" s="2"/>
      <c r="Q61" s="2"/>
      <c r="R61" s="36"/>
      <c r="S61" s="32"/>
      <c r="T61" s="32"/>
      <c r="U61" s="32"/>
    </row>
    <row r="62" spans="1:21">
      <c r="A62" s="45"/>
      <c r="B62" s="45"/>
      <c r="C62" s="45"/>
      <c r="D62" s="46"/>
      <c r="E62" s="46"/>
      <c r="F62" s="46"/>
      <c r="G62" s="53"/>
      <c r="H62" s="54"/>
      <c r="I62" s="56"/>
      <c r="J62" s="54"/>
      <c r="K62" s="55"/>
      <c r="L62" s="2"/>
      <c r="M62" s="2"/>
      <c r="N62" s="2"/>
      <c r="O62" s="55"/>
      <c r="P62" s="2"/>
      <c r="Q62" s="2"/>
      <c r="R62" s="36"/>
      <c r="S62" s="32"/>
      <c r="T62" s="32"/>
      <c r="U62" s="32"/>
    </row>
    <row r="63" spans="1:21">
      <c r="A63" s="45"/>
      <c r="B63" s="45"/>
      <c r="C63" s="45"/>
      <c r="D63" s="46"/>
      <c r="E63" s="46"/>
      <c r="F63" s="46"/>
      <c r="G63" s="53"/>
      <c r="H63" s="54"/>
      <c r="I63" s="56"/>
      <c r="J63" s="54"/>
      <c r="K63" s="55"/>
      <c r="L63" s="2"/>
      <c r="M63" s="2"/>
      <c r="N63" s="2"/>
      <c r="O63" s="55"/>
      <c r="P63" s="2"/>
      <c r="Q63" s="2"/>
      <c r="R63" s="36"/>
      <c r="S63" s="32"/>
      <c r="T63" s="32"/>
      <c r="U63" s="32"/>
    </row>
    <row r="64" spans="1:21">
      <c r="A64" s="45"/>
      <c r="B64" s="45"/>
      <c r="C64" s="45"/>
      <c r="D64" s="46"/>
      <c r="E64" s="46"/>
      <c r="F64" s="46"/>
      <c r="G64" s="53"/>
      <c r="H64" s="54"/>
      <c r="I64" s="56"/>
      <c r="J64" s="54"/>
      <c r="K64" s="55"/>
      <c r="L64" s="2"/>
      <c r="M64" s="2"/>
      <c r="N64" s="2"/>
      <c r="O64" s="55"/>
      <c r="P64" s="2"/>
      <c r="Q64" s="2"/>
      <c r="R64" s="36"/>
      <c r="S64" s="32"/>
      <c r="T64" s="32"/>
      <c r="U64" s="32"/>
    </row>
    <row r="65" spans="1:21">
      <c r="A65" s="45"/>
      <c r="B65" s="45"/>
      <c r="C65" s="45"/>
      <c r="D65" s="46"/>
      <c r="E65" s="46"/>
      <c r="F65" s="46"/>
      <c r="G65" s="53"/>
      <c r="H65" s="54"/>
      <c r="I65" s="56"/>
      <c r="J65" s="54"/>
      <c r="K65" s="55"/>
      <c r="L65" s="2"/>
      <c r="M65" s="2"/>
      <c r="N65" s="2"/>
      <c r="O65" s="55"/>
      <c r="P65" s="2"/>
      <c r="Q65" s="2"/>
      <c r="R65" s="36"/>
      <c r="S65" s="32"/>
      <c r="T65" s="32"/>
      <c r="U65" s="32"/>
    </row>
    <row r="66" spans="1:21">
      <c r="A66" s="45"/>
      <c r="B66" s="45"/>
      <c r="C66" s="45"/>
      <c r="D66" s="46"/>
      <c r="E66" s="46"/>
      <c r="F66" s="46"/>
      <c r="G66" s="53"/>
      <c r="H66" s="54"/>
      <c r="I66" s="56"/>
      <c r="J66" s="54"/>
      <c r="K66" s="55"/>
      <c r="L66" s="2"/>
      <c r="M66" s="2"/>
      <c r="N66" s="2"/>
      <c r="O66" s="55"/>
      <c r="P66" s="2"/>
      <c r="Q66" s="2"/>
      <c r="R66" s="36"/>
      <c r="S66" s="32"/>
      <c r="T66" s="32"/>
      <c r="U66" s="32"/>
    </row>
    <row r="67" spans="1:21">
      <c r="A67" s="45"/>
      <c r="B67" s="45"/>
      <c r="C67" s="45"/>
      <c r="D67" s="46"/>
      <c r="E67" s="46"/>
      <c r="F67" s="46"/>
      <c r="G67" s="53"/>
      <c r="H67" s="54"/>
      <c r="I67" s="56"/>
      <c r="J67" s="54"/>
      <c r="K67" s="55"/>
      <c r="L67" s="2"/>
      <c r="M67" s="2"/>
      <c r="N67" s="2"/>
      <c r="O67" s="55"/>
      <c r="P67" s="2"/>
      <c r="Q67" s="2"/>
      <c r="R67" s="36"/>
      <c r="S67" s="32"/>
      <c r="T67" s="32"/>
      <c r="U67" s="32"/>
    </row>
    <row r="68" spans="1:21">
      <c r="A68" s="45"/>
      <c r="B68" s="45"/>
      <c r="C68" s="45"/>
      <c r="D68" s="46"/>
      <c r="E68" s="46"/>
      <c r="F68" s="46"/>
      <c r="G68" s="53"/>
      <c r="H68" s="54"/>
      <c r="I68" s="56"/>
      <c r="J68" s="54"/>
      <c r="K68" s="55"/>
      <c r="L68" s="2"/>
      <c r="M68" s="2"/>
      <c r="N68" s="2"/>
      <c r="O68" s="55"/>
      <c r="P68" s="2"/>
      <c r="Q68" s="2"/>
      <c r="R68" s="36"/>
      <c r="S68" s="32"/>
      <c r="T68" s="32"/>
      <c r="U68" s="32"/>
    </row>
    <row r="69" spans="1:21">
      <c r="A69" s="45"/>
      <c r="B69" s="45"/>
      <c r="C69" s="45"/>
      <c r="D69" s="46"/>
      <c r="E69" s="46"/>
      <c r="F69" s="46"/>
      <c r="G69" s="50"/>
      <c r="H69" s="32"/>
      <c r="I69" s="51"/>
      <c r="J69" s="32"/>
      <c r="K69" s="52"/>
      <c r="L69" s="1"/>
      <c r="M69" s="1"/>
      <c r="N69" s="1"/>
      <c r="O69" s="52"/>
      <c r="P69" s="1"/>
      <c r="Q69" s="1"/>
      <c r="R69" s="50"/>
      <c r="S69" s="32"/>
      <c r="T69" s="32"/>
      <c r="U69" s="32"/>
    </row>
    <row r="70" spans="1:21">
      <c r="A70" s="45"/>
      <c r="B70" s="45"/>
      <c r="C70" s="45"/>
      <c r="D70" s="46"/>
      <c r="E70" s="46"/>
      <c r="F70" s="46"/>
      <c r="G70" s="53"/>
      <c r="H70" s="54"/>
      <c r="I70" s="56"/>
      <c r="J70" s="54"/>
      <c r="K70" s="55"/>
      <c r="L70" s="2"/>
      <c r="M70" s="2"/>
      <c r="N70" s="2"/>
      <c r="O70" s="55"/>
      <c r="P70" s="2"/>
      <c r="Q70" s="2"/>
      <c r="R70" s="36"/>
      <c r="S70" s="32"/>
      <c r="T70" s="32"/>
      <c r="U70" s="32"/>
    </row>
    <row r="71" spans="1:21">
      <c r="A71" s="45"/>
      <c r="B71" s="45"/>
      <c r="C71" s="45"/>
      <c r="D71" s="46"/>
      <c r="E71" s="46"/>
      <c r="F71" s="46"/>
      <c r="G71" s="53"/>
      <c r="H71" s="54"/>
      <c r="I71" s="56"/>
      <c r="J71" s="54"/>
      <c r="K71" s="55"/>
      <c r="L71" s="2"/>
      <c r="M71" s="2"/>
      <c r="N71" s="2"/>
      <c r="O71" s="55"/>
      <c r="P71" s="2"/>
      <c r="Q71" s="2"/>
      <c r="R71" s="36"/>
      <c r="S71" s="32"/>
      <c r="T71" s="32"/>
      <c r="U71" s="32"/>
    </row>
    <row r="72" spans="1:21">
      <c r="A72" s="45"/>
      <c r="B72" s="45"/>
      <c r="C72" s="45"/>
      <c r="D72" s="46"/>
      <c r="E72" s="46"/>
      <c r="F72" s="46"/>
      <c r="G72" s="36"/>
      <c r="H72" s="43"/>
      <c r="I72" s="48"/>
      <c r="J72" s="43"/>
      <c r="K72" s="37"/>
      <c r="L72" s="2"/>
      <c r="M72" s="2"/>
      <c r="N72" s="2"/>
      <c r="O72" s="37"/>
      <c r="P72" s="2"/>
      <c r="Q72" s="2"/>
      <c r="R72" s="36"/>
      <c r="S72" s="32"/>
      <c r="T72" s="32"/>
      <c r="U72" s="32"/>
    </row>
    <row r="73" spans="1:21">
      <c r="A73" s="45"/>
      <c r="B73" s="45"/>
      <c r="C73" s="45"/>
      <c r="D73" s="46"/>
      <c r="E73" s="46"/>
      <c r="F73" s="46"/>
      <c r="G73" s="36"/>
      <c r="H73" s="43"/>
      <c r="I73" s="48"/>
      <c r="J73" s="43"/>
      <c r="K73" s="37"/>
      <c r="L73" s="2"/>
      <c r="M73" s="2"/>
      <c r="N73" s="2"/>
      <c r="O73" s="37"/>
      <c r="P73" s="2"/>
      <c r="Q73" s="2"/>
      <c r="R73" s="36"/>
      <c r="S73" s="32"/>
      <c r="T73" s="32"/>
      <c r="U73" s="32"/>
    </row>
    <row r="74" spans="1:21">
      <c r="A74" s="45"/>
      <c r="B74" s="45"/>
      <c r="C74" s="45"/>
      <c r="D74" s="46"/>
      <c r="E74" s="46"/>
      <c r="F74" s="46"/>
      <c r="G74" s="36"/>
      <c r="H74" s="43"/>
      <c r="I74" s="48"/>
      <c r="J74" s="43"/>
      <c r="K74" s="37"/>
      <c r="L74" s="2"/>
      <c r="M74" s="2"/>
      <c r="N74" s="2"/>
      <c r="O74" s="37"/>
      <c r="P74" s="2"/>
      <c r="Q74" s="2"/>
      <c r="R74" s="36"/>
      <c r="S74" s="32"/>
      <c r="T74" s="32"/>
      <c r="U74" s="32"/>
    </row>
    <row r="75" spans="1:21">
      <c r="A75" s="45"/>
      <c r="B75" s="45"/>
      <c r="C75" s="45"/>
      <c r="D75" s="46"/>
      <c r="E75" s="46"/>
      <c r="F75" s="46"/>
      <c r="G75" s="36"/>
      <c r="H75" s="43"/>
      <c r="I75" s="48"/>
      <c r="J75" s="43"/>
      <c r="K75" s="37"/>
      <c r="L75" s="2"/>
      <c r="M75" s="2"/>
      <c r="N75" s="2"/>
      <c r="O75" s="37"/>
      <c r="P75" s="2"/>
      <c r="Q75" s="2"/>
      <c r="R75" s="36"/>
      <c r="S75" s="32"/>
      <c r="T75" s="32"/>
      <c r="U75" s="32"/>
    </row>
    <row r="76" spans="1:21">
      <c r="A76" s="45"/>
      <c r="B76" s="45"/>
      <c r="C76" s="45"/>
      <c r="D76" s="46"/>
      <c r="E76" s="46"/>
      <c r="F76" s="46"/>
      <c r="G76" s="50"/>
      <c r="H76" s="32"/>
      <c r="I76" s="51"/>
      <c r="J76" s="32"/>
      <c r="K76" s="52"/>
      <c r="L76" s="1"/>
      <c r="M76" s="1"/>
      <c r="N76" s="1"/>
      <c r="O76" s="52"/>
      <c r="P76" s="1"/>
      <c r="Q76" s="1"/>
      <c r="R76" s="50"/>
      <c r="S76" s="32"/>
      <c r="T76" s="32"/>
      <c r="U76" s="32"/>
    </row>
    <row r="77" spans="1:21">
      <c r="A77" s="45"/>
      <c r="B77" s="45"/>
      <c r="C77" s="45"/>
      <c r="D77" s="46"/>
      <c r="E77" s="46"/>
      <c r="F77" s="46"/>
      <c r="G77" s="50"/>
      <c r="H77" s="32"/>
      <c r="I77" s="51"/>
      <c r="J77" s="32"/>
      <c r="K77" s="52"/>
      <c r="L77" s="1"/>
      <c r="M77" s="1"/>
      <c r="N77" s="1"/>
      <c r="O77" s="52"/>
      <c r="P77" s="1"/>
      <c r="Q77" s="1"/>
      <c r="R77" s="50"/>
      <c r="S77" s="32"/>
      <c r="T77" s="32"/>
      <c r="U77" s="32"/>
    </row>
    <row r="78" spans="1:21">
      <c r="A78" s="45"/>
      <c r="B78" s="45"/>
      <c r="C78" s="45"/>
      <c r="D78" s="46"/>
      <c r="E78" s="46"/>
      <c r="F78" s="46"/>
      <c r="G78" s="36"/>
      <c r="H78" s="43"/>
      <c r="I78" s="48"/>
      <c r="J78" s="43"/>
      <c r="K78" s="37"/>
      <c r="L78" s="2"/>
      <c r="M78" s="2"/>
      <c r="N78" s="2"/>
      <c r="O78" s="37"/>
      <c r="P78" s="2"/>
      <c r="Q78" s="2"/>
      <c r="R78" s="36"/>
      <c r="S78" s="32"/>
      <c r="T78" s="32"/>
      <c r="U78" s="32"/>
    </row>
    <row r="79" spans="1:21">
      <c r="A79" s="45"/>
      <c r="B79" s="45"/>
      <c r="C79" s="45"/>
      <c r="D79" s="46"/>
      <c r="E79" s="46"/>
      <c r="F79" s="46"/>
      <c r="G79" s="36"/>
      <c r="H79" s="43"/>
      <c r="I79" s="48"/>
      <c r="J79" s="43"/>
      <c r="K79" s="37"/>
      <c r="L79" s="2"/>
      <c r="M79" s="2"/>
      <c r="N79" s="2"/>
      <c r="O79" s="37"/>
      <c r="P79" s="2"/>
      <c r="Q79" s="2"/>
      <c r="R79" s="36"/>
      <c r="S79" s="32"/>
      <c r="T79" s="32"/>
      <c r="U79" s="32"/>
    </row>
    <row r="80" spans="1:21">
      <c r="A80" s="45"/>
      <c r="B80" s="45"/>
      <c r="C80" s="45"/>
      <c r="D80" s="46"/>
      <c r="E80" s="46"/>
      <c r="F80" s="46"/>
      <c r="G80" s="36"/>
      <c r="H80" s="43"/>
      <c r="I80" s="48"/>
      <c r="J80" s="43"/>
      <c r="K80" s="37"/>
      <c r="L80" s="2"/>
      <c r="M80" s="2"/>
      <c r="N80" s="2"/>
      <c r="O80" s="37"/>
      <c r="P80" s="2"/>
      <c r="Q80" s="2"/>
      <c r="R80" s="36"/>
      <c r="S80" s="32"/>
      <c r="T80" s="32"/>
      <c r="U80" s="32"/>
    </row>
    <row r="81" spans="1:21">
      <c r="A81" s="45"/>
      <c r="B81" s="45"/>
      <c r="C81" s="45"/>
      <c r="D81" s="46"/>
      <c r="E81" s="46"/>
      <c r="F81" s="46"/>
      <c r="G81" s="36"/>
      <c r="H81" s="43"/>
      <c r="I81" s="48"/>
      <c r="J81" s="43"/>
      <c r="K81" s="37"/>
      <c r="L81" s="2"/>
      <c r="M81" s="2"/>
      <c r="N81" s="2"/>
      <c r="O81" s="37"/>
      <c r="P81" s="2"/>
      <c r="Q81" s="2"/>
      <c r="R81" s="36"/>
      <c r="S81" s="32"/>
      <c r="T81" s="32"/>
      <c r="U81" s="32"/>
    </row>
    <row r="82" spans="1:21">
      <c r="A82" s="45"/>
      <c r="B82" s="45"/>
      <c r="C82" s="45"/>
      <c r="D82" s="46"/>
      <c r="E82" s="46"/>
      <c r="F82" s="46"/>
      <c r="G82" s="36"/>
      <c r="H82" s="43"/>
      <c r="I82" s="48"/>
      <c r="J82" s="43"/>
      <c r="K82" s="37"/>
      <c r="L82" s="2"/>
      <c r="M82" s="2"/>
      <c r="N82" s="2"/>
      <c r="O82" s="37"/>
      <c r="P82" s="2"/>
      <c r="Q82" s="2"/>
      <c r="R82" s="36"/>
      <c r="S82" s="32"/>
      <c r="T82" s="32"/>
      <c r="U82" s="32"/>
    </row>
    <row r="83" spans="1:21">
      <c r="A83" s="45"/>
      <c r="B83" s="45"/>
      <c r="C83" s="45"/>
      <c r="D83" s="46"/>
      <c r="E83" s="46"/>
      <c r="F83" s="46"/>
      <c r="G83" s="36"/>
      <c r="H83" s="43"/>
      <c r="I83" s="48"/>
      <c r="J83" s="43"/>
      <c r="K83" s="37"/>
      <c r="L83" s="2"/>
      <c r="M83" s="2"/>
      <c r="N83" s="2"/>
      <c r="O83" s="37"/>
      <c r="P83" s="2"/>
      <c r="Q83" s="2"/>
      <c r="R83" s="36"/>
      <c r="S83" s="32"/>
      <c r="T83" s="32"/>
      <c r="U83" s="32"/>
    </row>
    <row r="84" spans="1:21">
      <c r="A84" s="45"/>
      <c r="B84" s="45"/>
      <c r="C84" s="45"/>
      <c r="D84" s="46"/>
      <c r="E84" s="46"/>
      <c r="F84" s="46"/>
      <c r="G84" s="36"/>
      <c r="H84" s="43"/>
      <c r="I84" s="48"/>
      <c r="J84" s="43"/>
      <c r="K84" s="37"/>
      <c r="L84" s="2"/>
      <c r="M84" s="2"/>
      <c r="N84" s="2"/>
      <c r="O84" s="37"/>
      <c r="P84" s="2"/>
      <c r="Q84" s="2"/>
      <c r="R84" s="36"/>
      <c r="S84" s="32"/>
      <c r="T84" s="32"/>
      <c r="U84" s="32"/>
    </row>
    <row r="85" spans="1:21">
      <c r="A85" s="45"/>
      <c r="B85" s="45"/>
      <c r="C85" s="45"/>
      <c r="D85" s="46"/>
      <c r="E85" s="46"/>
      <c r="F85" s="46"/>
      <c r="G85" s="36"/>
      <c r="H85" s="43"/>
      <c r="I85" s="48"/>
      <c r="J85" s="43"/>
      <c r="K85" s="37"/>
      <c r="L85" s="2"/>
      <c r="M85" s="2"/>
      <c r="N85" s="2"/>
      <c r="O85" s="37"/>
      <c r="P85" s="2"/>
      <c r="Q85" s="2"/>
      <c r="R85" s="36"/>
      <c r="S85" s="32"/>
      <c r="T85" s="32"/>
      <c r="U85" s="32"/>
    </row>
    <row r="86" spans="1:21">
      <c r="A86" s="45"/>
      <c r="B86" s="45"/>
      <c r="C86" s="45"/>
      <c r="D86" s="46"/>
      <c r="E86" s="46"/>
      <c r="F86" s="46"/>
      <c r="G86" s="36"/>
      <c r="H86" s="43"/>
      <c r="I86" s="48"/>
      <c r="J86" s="43"/>
      <c r="K86" s="37"/>
      <c r="L86" s="2"/>
      <c r="M86" s="2"/>
      <c r="N86" s="2"/>
      <c r="O86" s="37"/>
      <c r="P86" s="2"/>
      <c r="Q86" s="2"/>
      <c r="R86" s="36"/>
      <c r="S86" s="32"/>
      <c r="T86" s="32"/>
      <c r="U86" s="32"/>
    </row>
    <row r="87" spans="1:21">
      <c r="A87" s="45"/>
      <c r="B87" s="45"/>
      <c r="C87" s="45"/>
      <c r="D87" s="46"/>
      <c r="E87" s="46"/>
      <c r="F87" s="46"/>
      <c r="G87" s="50"/>
      <c r="H87" s="32"/>
      <c r="I87" s="51"/>
      <c r="J87" s="32"/>
      <c r="K87" s="52"/>
      <c r="L87" s="1"/>
      <c r="M87" s="1"/>
      <c r="N87" s="1"/>
      <c r="O87" s="52"/>
      <c r="P87" s="1"/>
      <c r="Q87" s="1"/>
      <c r="R87" s="50"/>
      <c r="S87" s="32"/>
      <c r="T87" s="32"/>
      <c r="U87" s="32"/>
    </row>
    <row r="88" spans="1:21">
      <c r="A88" s="45"/>
      <c r="B88" s="45"/>
      <c r="C88" s="45"/>
      <c r="D88" s="46"/>
      <c r="E88" s="46"/>
      <c r="F88" s="46"/>
      <c r="G88" s="36"/>
      <c r="H88" s="32"/>
      <c r="I88" s="51"/>
      <c r="J88" s="43"/>
      <c r="K88" s="37"/>
      <c r="L88" s="2"/>
      <c r="M88" s="2"/>
      <c r="N88" s="2"/>
      <c r="O88" s="37"/>
      <c r="P88" s="2"/>
      <c r="Q88" s="2"/>
      <c r="R88" s="36"/>
      <c r="S88" s="32"/>
      <c r="T88" s="32"/>
      <c r="U88" s="32"/>
    </row>
    <row r="89" spans="1:21">
      <c r="A89" s="45"/>
      <c r="B89" s="45"/>
      <c r="C89" s="45"/>
      <c r="D89" s="46"/>
      <c r="E89" s="46"/>
      <c r="F89" s="46"/>
      <c r="G89" s="36"/>
      <c r="H89" s="43"/>
      <c r="I89" s="48"/>
      <c r="J89" s="43"/>
      <c r="K89" s="37"/>
      <c r="L89" s="2"/>
      <c r="M89" s="2"/>
      <c r="N89" s="2"/>
      <c r="O89" s="37"/>
      <c r="P89" s="2"/>
      <c r="Q89" s="2"/>
      <c r="R89" s="36"/>
      <c r="S89" s="32"/>
      <c r="T89" s="32"/>
      <c r="U89" s="32"/>
    </row>
    <row r="90" spans="1:21">
      <c r="A90" s="45"/>
      <c r="B90" s="45"/>
      <c r="C90" s="45"/>
      <c r="D90" s="46"/>
      <c r="E90" s="46"/>
      <c r="F90" s="46"/>
      <c r="G90" s="50"/>
      <c r="H90" s="32"/>
      <c r="I90" s="51"/>
      <c r="J90" s="32"/>
      <c r="K90" s="52"/>
      <c r="L90" s="1"/>
      <c r="M90" s="1"/>
      <c r="N90" s="1"/>
      <c r="O90" s="52"/>
      <c r="P90" s="1"/>
      <c r="Q90" s="1"/>
      <c r="R90" s="50"/>
      <c r="S90" s="32"/>
      <c r="T90" s="32"/>
      <c r="U90" s="32"/>
    </row>
    <row r="91" spans="1:21">
      <c r="A91" s="45"/>
      <c r="B91" s="45"/>
      <c r="C91" s="45"/>
      <c r="D91" s="46"/>
      <c r="E91" s="46"/>
      <c r="F91" s="46"/>
      <c r="G91" s="36"/>
      <c r="H91" s="43"/>
      <c r="I91" s="48"/>
      <c r="J91" s="43"/>
      <c r="K91" s="37"/>
      <c r="L91" s="2"/>
      <c r="M91" s="2"/>
      <c r="N91" s="2"/>
      <c r="O91" s="37"/>
      <c r="P91" s="2"/>
      <c r="Q91" s="2"/>
      <c r="R91" s="36"/>
      <c r="S91" s="32"/>
      <c r="T91" s="32"/>
      <c r="U91" s="32"/>
    </row>
    <row r="92" spans="1:21">
      <c r="A92" s="45"/>
      <c r="B92" s="45"/>
      <c r="C92" s="45"/>
      <c r="D92" s="46"/>
      <c r="E92" s="46"/>
      <c r="F92" s="46"/>
      <c r="G92" s="36"/>
      <c r="H92" s="43"/>
      <c r="I92" s="48"/>
      <c r="J92" s="43"/>
      <c r="K92" s="37"/>
      <c r="L92" s="2"/>
      <c r="M92" s="2"/>
      <c r="N92" s="2"/>
      <c r="O92" s="37"/>
      <c r="P92" s="2"/>
      <c r="Q92" s="2"/>
      <c r="R92" s="36"/>
      <c r="S92" s="32"/>
      <c r="T92" s="32"/>
      <c r="U92" s="32"/>
    </row>
    <row r="93" spans="1:21">
      <c r="A93" s="45"/>
      <c r="B93" s="45"/>
      <c r="C93" s="45"/>
      <c r="D93" s="46"/>
      <c r="E93" s="46"/>
      <c r="F93" s="46"/>
      <c r="G93" s="36"/>
      <c r="H93" s="43"/>
      <c r="I93" s="48"/>
      <c r="J93" s="43"/>
      <c r="K93" s="37"/>
      <c r="L93" s="2"/>
      <c r="M93" s="2"/>
      <c r="N93" s="2"/>
      <c r="O93" s="37"/>
      <c r="P93" s="2"/>
      <c r="Q93" s="2"/>
      <c r="R93" s="36"/>
      <c r="S93" s="32"/>
      <c r="T93" s="32"/>
      <c r="U93" s="32"/>
    </row>
    <row r="94" spans="1:21">
      <c r="A94" s="45"/>
      <c r="B94" s="45"/>
      <c r="C94" s="45"/>
      <c r="D94" s="46"/>
      <c r="E94" s="46"/>
      <c r="F94" s="46"/>
      <c r="G94" s="36"/>
      <c r="H94" s="43"/>
      <c r="I94" s="48"/>
      <c r="J94" s="43"/>
      <c r="K94" s="37"/>
      <c r="L94" s="2"/>
      <c r="M94" s="2"/>
      <c r="N94" s="2"/>
      <c r="O94" s="37"/>
      <c r="P94" s="2"/>
      <c r="Q94" s="2"/>
      <c r="R94" s="36"/>
      <c r="S94" s="32"/>
      <c r="T94" s="32"/>
      <c r="U94" s="32"/>
    </row>
    <row r="95" spans="1:21">
      <c r="A95" s="45"/>
      <c r="B95" s="45"/>
      <c r="C95" s="45"/>
      <c r="D95" s="46"/>
      <c r="E95" s="46"/>
      <c r="F95" s="46"/>
      <c r="G95" s="36"/>
      <c r="H95" s="43"/>
      <c r="I95" s="48"/>
      <c r="J95" s="43"/>
      <c r="K95" s="37"/>
      <c r="L95" s="2"/>
      <c r="M95" s="2"/>
      <c r="N95" s="2"/>
      <c r="O95" s="37"/>
      <c r="P95" s="2"/>
      <c r="Q95" s="2"/>
      <c r="R95" s="36"/>
      <c r="S95" s="32"/>
      <c r="T95" s="32"/>
      <c r="U95" s="32"/>
    </row>
    <row r="96" spans="1:21">
      <c r="A96" s="45"/>
      <c r="B96" s="45"/>
      <c r="C96" s="45"/>
      <c r="D96" s="46"/>
      <c r="E96" s="46"/>
      <c r="F96" s="46"/>
      <c r="G96" s="36"/>
      <c r="H96" s="43"/>
      <c r="I96" s="48"/>
      <c r="J96" s="43"/>
      <c r="K96" s="37"/>
      <c r="L96" s="2"/>
      <c r="M96" s="2"/>
      <c r="N96" s="2"/>
      <c r="O96" s="37"/>
      <c r="P96" s="2"/>
      <c r="Q96" s="2"/>
      <c r="R96" s="36"/>
      <c r="S96" s="32"/>
      <c r="T96" s="32"/>
      <c r="U96" s="32"/>
    </row>
    <row r="97" spans="1:21">
      <c r="A97" s="45"/>
      <c r="B97" s="45"/>
      <c r="C97" s="45"/>
      <c r="D97" s="46"/>
      <c r="E97" s="46"/>
      <c r="F97" s="46"/>
      <c r="G97" s="36"/>
      <c r="H97" s="43"/>
      <c r="I97" s="48"/>
      <c r="J97" s="43"/>
      <c r="K97" s="37"/>
      <c r="L97" s="2"/>
      <c r="M97" s="2"/>
      <c r="N97" s="2"/>
      <c r="O97" s="37"/>
      <c r="P97" s="2"/>
      <c r="Q97" s="2"/>
      <c r="R97" s="36"/>
      <c r="S97" s="32"/>
      <c r="T97" s="32"/>
      <c r="U97" s="32"/>
    </row>
    <row r="98" spans="1:21">
      <c r="A98" s="45"/>
      <c r="B98" s="45"/>
      <c r="C98" s="45"/>
      <c r="D98" s="46"/>
      <c r="E98" s="46"/>
      <c r="F98" s="46"/>
      <c r="G98" s="36"/>
      <c r="H98" s="43"/>
      <c r="I98" s="48"/>
      <c r="J98" s="43"/>
      <c r="K98" s="37"/>
      <c r="L98" s="2"/>
      <c r="M98" s="2"/>
      <c r="N98" s="2"/>
      <c r="O98" s="37"/>
      <c r="P98" s="2"/>
      <c r="Q98" s="2"/>
      <c r="R98" s="36"/>
      <c r="S98" s="32"/>
      <c r="T98" s="32"/>
      <c r="U98" s="32"/>
    </row>
    <row r="99" spans="1:21">
      <c r="A99" s="45"/>
      <c r="B99" s="45"/>
      <c r="C99" s="45"/>
      <c r="D99" s="46"/>
      <c r="E99" s="46"/>
      <c r="F99" s="46"/>
      <c r="G99" s="36"/>
      <c r="H99" s="43"/>
      <c r="I99" s="48"/>
      <c r="J99" s="43"/>
      <c r="K99" s="37"/>
      <c r="L99" s="2"/>
      <c r="M99" s="2"/>
      <c r="N99" s="2"/>
      <c r="O99" s="37"/>
      <c r="P99" s="2"/>
      <c r="Q99" s="2"/>
      <c r="R99" s="36"/>
      <c r="S99" s="32"/>
      <c r="T99" s="32"/>
      <c r="U99" s="32"/>
    </row>
    <row r="100" spans="1:21">
      <c r="A100" s="45"/>
      <c r="B100" s="45"/>
      <c r="C100" s="45"/>
      <c r="D100" s="46"/>
      <c r="E100" s="46"/>
      <c r="F100" s="46"/>
      <c r="G100" s="36"/>
      <c r="H100" s="43"/>
      <c r="I100" s="48"/>
      <c r="J100" s="43"/>
      <c r="K100" s="37"/>
      <c r="L100" s="2"/>
      <c r="M100" s="2"/>
      <c r="N100" s="2"/>
      <c r="O100" s="37"/>
      <c r="P100" s="2"/>
      <c r="Q100" s="2"/>
      <c r="R100" s="36"/>
      <c r="S100" s="32"/>
      <c r="T100" s="32"/>
      <c r="U100" s="32"/>
    </row>
    <row r="101" spans="1:21">
      <c r="A101" s="45"/>
      <c r="B101" s="45"/>
      <c r="C101" s="45"/>
      <c r="D101" s="46"/>
      <c r="E101" s="46"/>
      <c r="F101" s="46"/>
      <c r="G101" s="36"/>
      <c r="H101" s="43"/>
      <c r="I101" s="48"/>
      <c r="J101" s="43"/>
      <c r="K101" s="37"/>
      <c r="L101" s="2"/>
      <c r="M101" s="2"/>
      <c r="N101" s="2"/>
      <c r="O101" s="37"/>
      <c r="P101" s="2"/>
      <c r="Q101" s="2"/>
      <c r="R101" s="36"/>
      <c r="S101" s="32"/>
      <c r="T101" s="32"/>
      <c r="U101" s="32"/>
    </row>
    <row r="102" spans="1:21">
      <c r="A102" s="45"/>
      <c r="B102" s="45"/>
      <c r="C102" s="45"/>
      <c r="D102" s="46"/>
      <c r="E102" s="46"/>
      <c r="F102" s="46"/>
      <c r="G102" s="50"/>
      <c r="H102" s="32"/>
      <c r="I102" s="51"/>
      <c r="J102" s="32"/>
      <c r="K102" s="52"/>
      <c r="L102" s="1"/>
      <c r="M102" s="1"/>
      <c r="N102" s="1"/>
      <c r="O102" s="52"/>
      <c r="P102" s="1"/>
      <c r="Q102" s="1"/>
      <c r="R102" s="50"/>
      <c r="S102" s="32"/>
      <c r="T102" s="32"/>
      <c r="U102" s="32"/>
    </row>
    <row r="103" spans="1:21">
      <c r="A103" s="45"/>
      <c r="B103" s="45"/>
      <c r="C103" s="45"/>
      <c r="D103" s="46"/>
      <c r="E103" s="46"/>
      <c r="F103" s="46"/>
      <c r="G103" s="50"/>
      <c r="H103" s="32"/>
      <c r="I103" s="51"/>
      <c r="J103" s="32"/>
      <c r="K103" s="52"/>
      <c r="L103" s="1"/>
      <c r="M103" s="1"/>
      <c r="N103" s="1"/>
      <c r="O103" s="52"/>
      <c r="P103" s="1"/>
      <c r="Q103" s="1"/>
      <c r="R103" s="50"/>
      <c r="S103" s="32"/>
      <c r="T103" s="32"/>
      <c r="U103" s="32"/>
    </row>
    <row r="104" spans="1:21">
      <c r="A104" s="45"/>
      <c r="B104" s="45"/>
      <c r="C104" s="45"/>
      <c r="D104" s="46"/>
      <c r="E104" s="46"/>
      <c r="F104" s="46"/>
      <c r="G104" s="50"/>
      <c r="H104" s="32"/>
      <c r="I104" s="51"/>
      <c r="J104" s="32"/>
      <c r="K104" s="52"/>
      <c r="L104" s="1"/>
      <c r="M104" s="1"/>
      <c r="N104" s="1"/>
      <c r="O104" s="52"/>
      <c r="P104" s="1"/>
      <c r="Q104" s="1"/>
      <c r="R104" s="50"/>
      <c r="S104" s="32"/>
      <c r="T104" s="32"/>
      <c r="U104" s="32"/>
    </row>
    <row r="105" spans="1:21">
      <c r="A105" s="45"/>
      <c r="B105" s="45"/>
      <c r="C105" s="45"/>
      <c r="D105" s="46"/>
      <c r="E105" s="46"/>
      <c r="F105" s="46"/>
      <c r="G105" s="50"/>
      <c r="H105" s="32"/>
      <c r="I105" s="51"/>
      <c r="J105" s="32"/>
      <c r="K105" s="52"/>
      <c r="L105" s="1"/>
      <c r="M105" s="1"/>
      <c r="N105" s="1"/>
      <c r="O105" s="52"/>
      <c r="P105" s="1"/>
      <c r="Q105" s="1"/>
      <c r="R105" s="50"/>
      <c r="S105" s="32"/>
      <c r="T105" s="32"/>
      <c r="U105" s="32"/>
    </row>
    <row r="106" spans="1:21">
      <c r="A106" s="45"/>
      <c r="B106" s="45"/>
      <c r="C106" s="45"/>
      <c r="D106" s="46"/>
      <c r="E106" s="46"/>
      <c r="F106" s="46"/>
      <c r="G106" s="50"/>
      <c r="H106" s="32"/>
      <c r="I106" s="51"/>
      <c r="J106" s="32"/>
      <c r="K106" s="52"/>
      <c r="L106" s="1"/>
      <c r="M106" s="1"/>
      <c r="N106" s="1"/>
      <c r="O106" s="52"/>
      <c r="P106" s="1"/>
      <c r="Q106" s="1"/>
      <c r="R106" s="50"/>
      <c r="S106" s="32"/>
      <c r="T106" s="32"/>
      <c r="U106" s="32"/>
    </row>
    <row r="107" spans="1:21">
      <c r="A107" s="45"/>
      <c r="B107" s="45"/>
      <c r="C107" s="45"/>
      <c r="D107" s="46"/>
      <c r="E107" s="46"/>
      <c r="F107" s="46"/>
      <c r="G107" s="50"/>
      <c r="H107" s="32"/>
      <c r="I107" s="51"/>
      <c r="J107" s="32"/>
      <c r="K107" s="52"/>
      <c r="L107" s="1"/>
      <c r="M107" s="1"/>
      <c r="N107" s="1"/>
      <c r="O107" s="52"/>
      <c r="P107" s="1"/>
      <c r="Q107" s="1"/>
      <c r="R107" s="50"/>
      <c r="S107" s="32"/>
      <c r="T107" s="32"/>
      <c r="U107" s="32"/>
    </row>
    <row r="108" spans="1:21">
      <c r="A108" s="45"/>
      <c r="B108" s="45"/>
      <c r="C108" s="45"/>
      <c r="D108" s="46"/>
      <c r="E108" s="46"/>
      <c r="F108" s="46"/>
      <c r="G108" s="50"/>
      <c r="H108" s="32"/>
      <c r="I108" s="51"/>
      <c r="J108" s="32"/>
      <c r="K108" s="52"/>
      <c r="L108" s="1"/>
      <c r="M108" s="1"/>
      <c r="N108" s="1"/>
      <c r="O108" s="52"/>
      <c r="P108" s="1"/>
      <c r="Q108" s="1"/>
      <c r="R108" s="50"/>
      <c r="S108" s="32"/>
      <c r="T108" s="32"/>
      <c r="U108" s="32"/>
    </row>
    <row r="109" spans="1:21">
      <c r="A109" s="45"/>
      <c r="B109" s="45"/>
      <c r="C109" s="45"/>
      <c r="D109" s="46"/>
      <c r="E109" s="46"/>
      <c r="F109" s="46"/>
      <c r="G109" s="50"/>
      <c r="H109" s="32"/>
      <c r="I109" s="51"/>
      <c r="J109" s="32"/>
      <c r="K109" s="52"/>
      <c r="L109" s="1"/>
      <c r="M109" s="1"/>
      <c r="N109" s="1"/>
      <c r="O109" s="52"/>
      <c r="P109" s="1"/>
      <c r="Q109" s="1"/>
      <c r="R109" s="50"/>
      <c r="S109" s="32"/>
      <c r="T109" s="32"/>
      <c r="U109" s="32"/>
    </row>
    <row r="110" spans="1:21">
      <c r="A110" s="45"/>
      <c r="B110" s="45"/>
      <c r="C110" s="45"/>
      <c r="D110" s="46"/>
      <c r="E110" s="46"/>
      <c r="F110" s="46"/>
      <c r="G110" s="50"/>
      <c r="H110" s="32"/>
      <c r="I110" s="51"/>
      <c r="J110" s="32"/>
      <c r="K110" s="52"/>
      <c r="L110" s="1"/>
      <c r="M110" s="1"/>
      <c r="N110" s="1"/>
      <c r="O110" s="52"/>
      <c r="P110" s="1"/>
      <c r="Q110" s="1"/>
      <c r="R110" s="50"/>
      <c r="S110" s="32"/>
      <c r="T110" s="32"/>
      <c r="U110" s="32"/>
    </row>
    <row r="111" spans="1:21">
      <c r="A111" s="45"/>
      <c r="B111" s="45"/>
      <c r="C111" s="45"/>
      <c r="D111" s="46"/>
      <c r="E111" s="46"/>
      <c r="F111" s="46"/>
      <c r="G111" s="50"/>
      <c r="H111" s="32"/>
      <c r="I111" s="51"/>
      <c r="J111" s="32"/>
      <c r="K111" s="52"/>
      <c r="L111" s="1"/>
      <c r="M111" s="1"/>
      <c r="N111" s="1"/>
      <c r="O111" s="52"/>
      <c r="P111" s="1"/>
      <c r="Q111" s="1"/>
      <c r="R111" s="50"/>
      <c r="S111" s="32"/>
      <c r="T111" s="32"/>
      <c r="U111" s="32"/>
    </row>
    <row r="112" spans="1:21">
      <c r="A112" s="45"/>
      <c r="B112" s="45"/>
      <c r="C112" s="45"/>
      <c r="D112" s="46"/>
      <c r="E112" s="46"/>
      <c r="F112" s="46"/>
      <c r="G112" s="50"/>
      <c r="H112" s="32"/>
      <c r="I112" s="51"/>
      <c r="J112" s="32"/>
      <c r="K112" s="52"/>
      <c r="L112" s="1"/>
      <c r="M112" s="1"/>
      <c r="N112" s="1"/>
      <c r="O112" s="52"/>
      <c r="P112" s="1"/>
      <c r="Q112" s="1"/>
      <c r="R112" s="50"/>
      <c r="S112" s="32"/>
      <c r="T112" s="32"/>
      <c r="U112" s="32"/>
    </row>
    <row r="113" spans="1:21">
      <c r="A113" s="45"/>
      <c r="B113" s="45"/>
      <c r="C113" s="45"/>
      <c r="D113" s="46"/>
      <c r="E113" s="46"/>
      <c r="F113" s="46"/>
      <c r="G113" s="50"/>
      <c r="H113" s="32"/>
      <c r="I113" s="51"/>
      <c r="J113" s="32"/>
      <c r="K113" s="52"/>
      <c r="L113" s="1"/>
      <c r="M113" s="1"/>
      <c r="N113" s="1"/>
      <c r="O113" s="52"/>
      <c r="P113" s="1"/>
      <c r="Q113" s="1"/>
      <c r="R113" s="50"/>
      <c r="S113" s="32"/>
      <c r="T113" s="32"/>
      <c r="U113" s="32"/>
    </row>
    <row r="114" spans="1:21">
      <c r="A114" s="45"/>
      <c r="B114" s="45"/>
      <c r="C114" s="45"/>
      <c r="D114" s="46"/>
      <c r="E114" s="46"/>
      <c r="F114" s="46"/>
      <c r="G114" s="50"/>
      <c r="H114" s="32"/>
      <c r="I114" s="51"/>
      <c r="J114" s="32"/>
      <c r="K114" s="52"/>
      <c r="L114" s="1"/>
      <c r="M114" s="1"/>
      <c r="N114" s="1"/>
      <c r="O114" s="52"/>
      <c r="P114" s="1"/>
      <c r="Q114" s="1"/>
      <c r="R114" s="50"/>
      <c r="S114" s="32"/>
      <c r="T114" s="32"/>
      <c r="U114" s="32"/>
    </row>
    <row r="115" spans="1:21">
      <c r="A115" s="45"/>
      <c r="B115" s="45"/>
      <c r="C115" s="45"/>
      <c r="D115" s="46"/>
      <c r="E115" s="46"/>
      <c r="F115" s="46"/>
      <c r="G115" s="50"/>
      <c r="H115" s="32"/>
      <c r="I115" s="51"/>
      <c r="J115" s="32"/>
      <c r="K115" s="52"/>
      <c r="L115" s="1"/>
      <c r="M115" s="1"/>
      <c r="N115" s="1"/>
      <c r="O115" s="52"/>
      <c r="P115" s="1"/>
      <c r="Q115" s="1"/>
      <c r="R115" s="50"/>
      <c r="S115" s="32"/>
      <c r="T115" s="32"/>
      <c r="U115" s="32"/>
    </row>
    <row r="116" spans="1:21">
      <c r="A116" s="45"/>
      <c r="B116" s="45"/>
      <c r="C116" s="45"/>
      <c r="D116" s="46"/>
      <c r="E116" s="46"/>
      <c r="F116" s="46"/>
      <c r="G116" s="50"/>
      <c r="H116" s="32"/>
      <c r="I116" s="51"/>
      <c r="J116" s="32"/>
      <c r="K116" s="52"/>
      <c r="L116" s="1"/>
      <c r="M116" s="1"/>
      <c r="N116" s="1"/>
      <c r="O116" s="52"/>
      <c r="P116" s="1"/>
      <c r="Q116" s="1"/>
      <c r="R116" s="50"/>
      <c r="S116" s="32"/>
      <c r="T116" s="32"/>
      <c r="U116" s="32"/>
    </row>
    <row r="117" spans="1:21">
      <c r="A117" s="45"/>
      <c r="B117" s="45"/>
      <c r="C117" s="45"/>
      <c r="D117" s="46"/>
      <c r="E117" s="46"/>
      <c r="F117" s="46"/>
      <c r="G117" s="50"/>
      <c r="H117" s="32"/>
      <c r="I117" s="51"/>
      <c r="J117" s="32"/>
      <c r="K117" s="52"/>
      <c r="L117" s="1"/>
      <c r="M117" s="1"/>
      <c r="N117" s="1"/>
      <c r="O117" s="52"/>
      <c r="P117" s="1"/>
      <c r="Q117" s="1"/>
      <c r="R117" s="50"/>
      <c r="S117" s="32"/>
      <c r="T117" s="32"/>
      <c r="U117" s="32"/>
    </row>
    <row r="118" spans="1:21">
      <c r="A118" s="45"/>
      <c r="B118" s="45"/>
      <c r="C118" s="45"/>
      <c r="D118" s="46"/>
      <c r="E118" s="46"/>
      <c r="F118" s="46"/>
      <c r="G118" s="50"/>
      <c r="H118" s="32"/>
      <c r="I118" s="51"/>
      <c r="J118" s="32"/>
      <c r="K118" s="52"/>
      <c r="L118" s="1"/>
      <c r="M118" s="1"/>
      <c r="N118" s="1"/>
      <c r="O118" s="52"/>
      <c r="P118" s="1"/>
      <c r="Q118" s="1"/>
      <c r="R118" s="50"/>
      <c r="S118" s="32"/>
      <c r="T118" s="32"/>
      <c r="U118" s="32"/>
    </row>
    <row r="119" spans="1:21">
      <c r="A119" s="45"/>
      <c r="B119" s="45"/>
      <c r="C119" s="45"/>
      <c r="D119" s="46"/>
      <c r="E119" s="46"/>
      <c r="F119" s="46"/>
      <c r="G119" s="50"/>
      <c r="H119" s="32"/>
      <c r="I119" s="51"/>
      <c r="J119" s="32"/>
      <c r="K119" s="52"/>
      <c r="L119" s="1"/>
      <c r="M119" s="1"/>
      <c r="N119" s="1"/>
      <c r="O119" s="52"/>
      <c r="P119" s="1"/>
      <c r="Q119" s="1"/>
      <c r="R119" s="50"/>
      <c r="S119" s="32"/>
      <c r="T119" s="32"/>
      <c r="U119" s="32"/>
    </row>
    <row r="120" spans="1:21">
      <c r="A120" s="45"/>
      <c r="B120" s="45"/>
      <c r="C120" s="45"/>
      <c r="D120" s="46"/>
      <c r="E120" s="46"/>
      <c r="F120" s="46"/>
      <c r="G120" s="50"/>
      <c r="H120" s="32"/>
      <c r="I120" s="51"/>
      <c r="J120" s="32"/>
      <c r="K120" s="52"/>
      <c r="L120" s="1"/>
      <c r="M120" s="1"/>
      <c r="N120" s="1"/>
      <c r="O120" s="52"/>
      <c r="P120" s="1"/>
      <c r="Q120" s="1"/>
      <c r="R120" s="50"/>
      <c r="S120" s="32"/>
      <c r="T120" s="32"/>
      <c r="U120" s="32"/>
    </row>
  </sheetData>
  <mergeCells count="4">
    <mergeCell ref="A1:J2"/>
    <mergeCell ref="K1:N2"/>
    <mergeCell ref="O1:R2"/>
    <mergeCell ref="S1:U2"/>
  </mergeCells>
  <phoneticPr fontId="12" type="noConversion"/>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80E4FF3-F04B-424A-9E02-87A32A990A2A}">
          <x14:formula1>
            <xm:f>'Validación datos NO BORRAR'!$E$4:$E$9</xm:f>
          </x14:formula1>
          <xm:sqref>G4:G120</xm:sqref>
        </x14:dataValidation>
        <x14:dataValidation type="list" allowBlank="1" showInputMessage="1" showErrorMessage="1" xr:uid="{814046D8-0D01-4803-92BA-E5A904CCFC14}">
          <x14:formula1>
            <xm:f>'Validación datos NO BORRAR'!$F$4:$F$7</xm:f>
          </x14:formula1>
          <xm:sqref>H4:H120</xm:sqref>
        </x14:dataValidation>
        <x14:dataValidation type="list" allowBlank="1" showInputMessage="1" showErrorMessage="1" xr:uid="{EEE5D106-6DEF-4A5D-9A4C-E1CD814D0053}">
          <x14:formula1>
            <xm:f>'Validación datos NO BORRAR'!$G$4:$G$6</xm:f>
          </x14:formula1>
          <xm:sqref>J4:J120</xm:sqref>
        </x14:dataValidation>
        <x14:dataValidation type="list" allowBlank="1" showInputMessage="1" showErrorMessage="1" xr:uid="{02475E91-629E-4FD0-893D-FBEA06FFE40C}">
          <x14:formula1>
            <xm:f>'Validación datos NO BORRAR'!$H$4:$H$7</xm:f>
          </x14:formula1>
          <xm:sqref>K4:R120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A8E9D-2360-4E40-A1FD-817EBA16C544}">
  <dimension ref="A1:J4"/>
  <sheetViews>
    <sheetView zoomScale="70" zoomScaleNormal="70" workbookViewId="0">
      <selection activeCell="D4" sqref="D4"/>
    </sheetView>
  </sheetViews>
  <sheetFormatPr defaultColWidth="11.42578125" defaultRowHeight="15"/>
  <cols>
    <col min="1" max="1" width="18.85546875" customWidth="1"/>
    <col min="2" max="3" width="28.140625" customWidth="1"/>
    <col min="4" max="10" width="24" customWidth="1"/>
  </cols>
  <sheetData>
    <row r="1" spans="1:10" ht="15" customHeight="1">
      <c r="D1" s="103" t="s">
        <v>221</v>
      </c>
      <c r="E1" s="104"/>
      <c r="F1" s="104"/>
      <c r="G1" s="104"/>
      <c r="H1" s="111" t="s">
        <v>222</v>
      </c>
      <c r="I1" s="112"/>
      <c r="J1" s="113"/>
    </row>
    <row r="2" spans="1:10" ht="197.25" customHeight="1" thickBot="1">
      <c r="D2" s="105"/>
      <c r="E2" s="106"/>
      <c r="F2" s="106"/>
      <c r="G2" s="106"/>
      <c r="H2" s="114"/>
      <c r="I2" s="115"/>
      <c r="J2" s="116"/>
    </row>
    <row r="3" spans="1:10" ht="105.75" customHeight="1">
      <c r="A3" s="29" t="s">
        <v>223</v>
      </c>
      <c r="B3" s="30" t="s">
        <v>224</v>
      </c>
      <c r="C3" s="30" t="s">
        <v>225</v>
      </c>
      <c r="D3" s="31" t="s">
        <v>226</v>
      </c>
      <c r="E3" s="31" t="s">
        <v>227</v>
      </c>
      <c r="F3" s="31" t="s">
        <v>228</v>
      </c>
      <c r="G3" s="31" t="s">
        <v>229</v>
      </c>
      <c r="H3" s="57" t="s">
        <v>63</v>
      </c>
      <c r="I3" s="57" t="s">
        <v>230</v>
      </c>
      <c r="J3" s="57" t="s">
        <v>231</v>
      </c>
    </row>
    <row r="4" spans="1:10">
      <c r="A4" s="32">
        <v>40</v>
      </c>
      <c r="B4" s="32">
        <v>38</v>
      </c>
      <c r="C4" s="32"/>
      <c r="D4" s="32"/>
      <c r="E4" s="32"/>
      <c r="F4" s="32"/>
      <c r="G4" s="32"/>
      <c r="H4" s="32"/>
      <c r="I4" s="32"/>
      <c r="J4" s="32"/>
    </row>
  </sheetData>
  <mergeCells count="2">
    <mergeCell ref="D1:G2"/>
    <mergeCell ref="H1: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A242E-9ED8-434F-A954-D62908371136}">
  <dimension ref="E2:L17"/>
  <sheetViews>
    <sheetView workbookViewId="0">
      <selection activeCell="I16" sqref="I16"/>
    </sheetView>
  </sheetViews>
  <sheetFormatPr defaultColWidth="11.42578125" defaultRowHeight="15"/>
  <cols>
    <col min="5" max="5" width="71" customWidth="1"/>
    <col min="6" max="6" width="20.140625" customWidth="1"/>
    <col min="7" max="7" width="31.7109375" customWidth="1"/>
    <col min="8" max="8" width="16.28515625" customWidth="1"/>
    <col min="12" max="12" width="13.42578125" customWidth="1"/>
    <col min="13" max="13" width="15.28515625" customWidth="1"/>
    <col min="14" max="14" width="16.28515625" customWidth="1"/>
    <col min="15" max="15" width="13.85546875" customWidth="1"/>
    <col min="16" max="16" width="14.42578125" customWidth="1"/>
    <col min="17" max="17" width="16" customWidth="1"/>
    <col min="18" max="18" width="17.140625" customWidth="1"/>
    <col min="19" max="19" width="15.5703125" customWidth="1"/>
    <col min="20" max="20" width="16" customWidth="1"/>
    <col min="21" max="21" width="15" customWidth="1"/>
  </cols>
  <sheetData>
    <row r="2" spans="5:12" ht="64.5" customHeight="1">
      <c r="H2" t="s">
        <v>232</v>
      </c>
    </row>
    <row r="3" spans="5:12">
      <c r="E3" s="33" t="s">
        <v>233</v>
      </c>
      <c r="F3" s="34" t="s">
        <v>53</v>
      </c>
      <c r="G3" s="34" t="s">
        <v>234</v>
      </c>
      <c r="H3" t="s">
        <v>235</v>
      </c>
      <c r="I3" t="s">
        <v>3</v>
      </c>
      <c r="J3" t="s">
        <v>4</v>
      </c>
      <c r="K3" t="s">
        <v>5</v>
      </c>
      <c r="L3" t="s">
        <v>22</v>
      </c>
    </row>
    <row r="4" spans="5:12">
      <c r="E4" s="32" t="s">
        <v>70</v>
      </c>
      <c r="F4" s="35" t="s">
        <v>71</v>
      </c>
      <c r="G4" s="32" t="s">
        <v>236</v>
      </c>
      <c r="H4">
        <v>0</v>
      </c>
      <c r="I4" t="s">
        <v>24</v>
      </c>
      <c r="J4" t="s">
        <v>25</v>
      </c>
      <c r="K4" t="s">
        <v>26</v>
      </c>
      <c r="L4" t="s">
        <v>27</v>
      </c>
    </row>
    <row r="5" spans="5:12">
      <c r="E5" s="32" t="s">
        <v>237</v>
      </c>
      <c r="F5" s="35" t="s">
        <v>144</v>
      </c>
      <c r="G5" s="32" t="s">
        <v>145</v>
      </c>
      <c r="H5">
        <v>1</v>
      </c>
    </row>
    <row r="6" spans="5:12">
      <c r="E6" s="32" t="s">
        <v>238</v>
      </c>
      <c r="F6" s="35" t="s">
        <v>239</v>
      </c>
      <c r="G6" s="32" t="s">
        <v>240</v>
      </c>
      <c r="H6">
        <v>2</v>
      </c>
    </row>
    <row r="7" spans="5:12">
      <c r="E7" s="32" t="s">
        <v>143</v>
      </c>
      <c r="F7" s="32" t="s">
        <v>240</v>
      </c>
      <c r="G7" s="32"/>
      <c r="H7">
        <v>3</v>
      </c>
    </row>
    <row r="8" spans="5:12">
      <c r="E8" s="32" t="s">
        <v>241</v>
      </c>
      <c r="F8" s="32"/>
      <c r="G8" s="32"/>
    </row>
    <row r="9" spans="5:12">
      <c r="E9" s="32" t="s">
        <v>242</v>
      </c>
      <c r="F9" s="32"/>
      <c r="G9" s="32"/>
    </row>
    <row r="10" spans="5:12">
      <c r="E10" s="32"/>
      <c r="F10" s="32"/>
      <c r="G10" s="32"/>
    </row>
    <row r="11" spans="5:12">
      <c r="E11" s="32"/>
      <c r="F11" s="32"/>
      <c r="G11" s="32"/>
    </row>
    <row r="12" spans="5:12">
      <c r="E12" s="32"/>
      <c r="F12" s="32"/>
      <c r="G12" s="32"/>
    </row>
    <row r="13" spans="5:12">
      <c r="E13" s="32"/>
      <c r="F13" s="32"/>
      <c r="G13" s="32"/>
    </row>
    <row r="14" spans="5:12">
      <c r="E14" s="32"/>
      <c r="F14" s="32"/>
      <c r="G14" s="32"/>
    </row>
    <row r="15" spans="5:12">
      <c r="E15" s="32"/>
      <c r="F15" s="32"/>
      <c r="G15" s="32"/>
    </row>
    <row r="16" spans="5:12">
      <c r="E16" s="32"/>
      <c r="F16" s="32"/>
      <c r="G16" s="32"/>
    </row>
    <row r="17" spans="5:7">
      <c r="E17" s="32"/>
      <c r="F17" s="32"/>
      <c r="G17" s="3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4C86-237A-43D3-B492-EBECFA89AE70}">
  <dimension ref="B1:L13"/>
  <sheetViews>
    <sheetView workbookViewId="0">
      <selection activeCell="L21" sqref="L21"/>
    </sheetView>
  </sheetViews>
  <sheetFormatPr defaultColWidth="11.42578125" defaultRowHeight="15"/>
  <cols>
    <col min="1" max="1" width="4.28515625" style="58" customWidth="1"/>
    <col min="2" max="2" width="5.28515625" style="58" customWidth="1"/>
    <col min="3" max="3" width="17.7109375" style="58" customWidth="1"/>
    <col min="4" max="10" width="11.42578125" style="58"/>
    <col min="11" max="11" width="38.42578125" style="58" customWidth="1"/>
    <col min="12" max="12" width="75.42578125" style="58" customWidth="1"/>
    <col min="13" max="16384" width="11.42578125" style="58"/>
  </cols>
  <sheetData>
    <row r="1" spans="2:12" ht="48.75" customHeight="1">
      <c r="B1" s="118"/>
      <c r="C1" s="118"/>
      <c r="D1" s="118"/>
      <c r="E1" s="118"/>
      <c r="F1" s="118"/>
      <c r="G1" s="118"/>
      <c r="H1" s="118"/>
      <c r="I1" s="118"/>
      <c r="J1" s="118"/>
      <c r="K1" s="118"/>
      <c r="L1" s="118"/>
    </row>
    <row r="2" spans="2:12" ht="13.5" customHeight="1">
      <c r="B2" s="119" t="s">
        <v>243</v>
      </c>
      <c r="C2" s="119"/>
      <c r="D2" s="119"/>
      <c r="E2" s="119"/>
      <c r="F2" s="119"/>
      <c r="G2" s="119"/>
      <c r="H2" s="119"/>
      <c r="I2" s="119"/>
      <c r="J2" s="119"/>
      <c r="K2" s="119"/>
      <c r="L2" s="119"/>
    </row>
    <row r="3" spans="2:12" ht="15" customHeight="1">
      <c r="B3" s="119" t="s">
        <v>244</v>
      </c>
      <c r="C3" s="119"/>
      <c r="D3" s="119"/>
      <c r="E3" s="119"/>
      <c r="F3" s="119"/>
      <c r="G3" s="119"/>
      <c r="H3" s="119"/>
      <c r="I3" s="119"/>
      <c r="J3" s="119"/>
      <c r="K3" s="119"/>
      <c r="L3" s="119"/>
    </row>
    <row r="4" spans="2:12" ht="15" customHeight="1">
      <c r="B4" s="120" t="s">
        <v>245</v>
      </c>
      <c r="C4" s="120"/>
      <c r="D4" s="120"/>
      <c r="E4" s="120"/>
      <c r="F4" s="120"/>
      <c r="G4" s="120"/>
      <c r="H4" s="120"/>
      <c r="I4" s="120"/>
      <c r="J4" s="120"/>
      <c r="K4" s="120"/>
      <c r="L4" s="120"/>
    </row>
    <row r="5" spans="2:12" ht="13.5" customHeight="1">
      <c r="B5" s="115"/>
      <c r="C5" s="115"/>
      <c r="D5" s="115"/>
      <c r="E5" s="115"/>
      <c r="F5" s="115"/>
      <c r="G5" s="115"/>
      <c r="H5" s="115"/>
      <c r="I5" s="115"/>
      <c r="J5" s="115"/>
      <c r="K5" s="115"/>
      <c r="L5" s="115"/>
    </row>
    <row r="6" spans="2:12" ht="13.5" customHeight="1">
      <c r="B6" s="117" t="s">
        <v>246</v>
      </c>
      <c r="C6" s="117"/>
      <c r="D6" s="117"/>
      <c r="E6" s="117"/>
      <c r="F6" s="117"/>
      <c r="G6" s="117"/>
      <c r="H6" s="117"/>
      <c r="I6" s="117"/>
      <c r="J6" s="117"/>
      <c r="K6" s="117"/>
      <c r="L6" s="117"/>
    </row>
    <row r="7" spans="2:12">
      <c r="B7" s="122"/>
      <c r="C7" s="122"/>
      <c r="D7" s="122"/>
      <c r="E7" s="122"/>
      <c r="F7" s="122"/>
      <c r="G7" s="122"/>
      <c r="H7" s="122"/>
      <c r="I7" s="122"/>
      <c r="J7" s="122"/>
      <c r="K7" s="122"/>
      <c r="L7" s="122"/>
    </row>
    <row r="8" spans="2:12">
      <c r="B8" s="123" t="s">
        <v>247</v>
      </c>
      <c r="C8" s="123"/>
      <c r="D8" s="123"/>
      <c r="E8" s="123"/>
      <c r="F8" s="123"/>
      <c r="G8" s="123"/>
      <c r="H8" s="123"/>
      <c r="I8" s="123"/>
      <c r="J8" s="123"/>
      <c r="K8" s="123"/>
      <c r="L8" s="123"/>
    </row>
    <row r="9" spans="2:12" ht="55.5" customHeight="1">
      <c r="B9" s="124" t="s">
        <v>248</v>
      </c>
      <c r="C9" s="124"/>
      <c r="D9" s="124"/>
      <c r="E9" s="124"/>
      <c r="F9" s="124"/>
      <c r="G9" s="124"/>
      <c r="H9" s="124"/>
      <c r="I9" s="124"/>
      <c r="J9" s="124"/>
      <c r="K9" s="124"/>
      <c r="L9" s="124"/>
    </row>
    <row r="10" spans="2:12">
      <c r="B10" s="59" t="s">
        <v>249</v>
      </c>
      <c r="C10" s="59" t="s">
        <v>250</v>
      </c>
      <c r="D10" s="123" t="s">
        <v>251</v>
      </c>
      <c r="E10" s="123"/>
      <c r="F10" s="123"/>
      <c r="G10" s="123"/>
      <c r="H10" s="123"/>
      <c r="I10" s="123"/>
      <c r="J10" s="123"/>
      <c r="K10" s="123"/>
      <c r="L10" s="59" t="s">
        <v>252</v>
      </c>
    </row>
    <row r="11" spans="2:12" ht="219.75" customHeight="1">
      <c r="B11" s="59" t="s">
        <v>253</v>
      </c>
      <c r="C11" s="60" t="s">
        <v>254</v>
      </c>
      <c r="D11" s="121" t="s">
        <v>255</v>
      </c>
      <c r="E11" s="125"/>
      <c r="F11" s="125"/>
      <c r="G11" s="125"/>
      <c r="H11" s="125"/>
      <c r="I11" s="125"/>
      <c r="J11" s="125"/>
      <c r="K11" s="125"/>
      <c r="L11" s="61" t="s">
        <v>256</v>
      </c>
    </row>
    <row r="12" spans="2:12" ht="198" customHeight="1">
      <c r="B12" s="59" t="s">
        <v>257</v>
      </c>
      <c r="C12" s="60" t="s">
        <v>258</v>
      </c>
      <c r="D12" s="121" t="s">
        <v>259</v>
      </c>
      <c r="E12" s="125"/>
      <c r="F12" s="125"/>
      <c r="G12" s="125"/>
      <c r="H12" s="125"/>
      <c r="I12" s="125"/>
      <c r="J12" s="125"/>
      <c r="K12" s="125"/>
      <c r="L12" s="61" t="s">
        <v>260</v>
      </c>
    </row>
    <row r="13" spans="2:12" ht="231" customHeight="1">
      <c r="B13" s="59" t="s">
        <v>261</v>
      </c>
      <c r="C13" s="60" t="s">
        <v>262</v>
      </c>
      <c r="D13" s="121" t="s">
        <v>263</v>
      </c>
      <c r="E13" s="121"/>
      <c r="F13" s="121"/>
      <c r="G13" s="121"/>
      <c r="H13" s="121"/>
      <c r="I13" s="121"/>
      <c r="J13" s="121"/>
      <c r="K13" s="121"/>
      <c r="L13" s="61" t="s">
        <v>264</v>
      </c>
    </row>
  </sheetData>
  <mergeCells count="13">
    <mergeCell ref="D13:K13"/>
    <mergeCell ref="B7:L7"/>
    <mergeCell ref="B8:L8"/>
    <mergeCell ref="B9:L9"/>
    <mergeCell ref="D10:K10"/>
    <mergeCell ref="D11:K11"/>
    <mergeCell ref="D12:K12"/>
    <mergeCell ref="B6:L6"/>
    <mergeCell ref="B1:L1"/>
    <mergeCell ref="B2:L2"/>
    <mergeCell ref="B3:L3"/>
    <mergeCell ref="B4:L4"/>
    <mergeCell ref="B5: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75EA-9231-4982-9D48-7B12DA83394B}">
  <dimension ref="A1:C4"/>
  <sheetViews>
    <sheetView workbookViewId="0">
      <selection activeCell="C1" sqref="C1:C2"/>
    </sheetView>
  </sheetViews>
  <sheetFormatPr defaultColWidth="11.42578125" defaultRowHeight="15"/>
  <cols>
    <col min="1" max="1" width="17.5703125" bestFit="1" customWidth="1"/>
  </cols>
  <sheetData>
    <row r="1" spans="1:3" ht="15.75">
      <c r="A1" s="4" t="s">
        <v>265</v>
      </c>
      <c r="C1" t="s">
        <v>266</v>
      </c>
    </row>
    <row r="2" spans="1:3" ht="15.75">
      <c r="A2" s="4" t="s">
        <v>267</v>
      </c>
      <c r="C2" t="s">
        <v>268</v>
      </c>
    </row>
    <row r="3" spans="1:3" ht="15.75">
      <c r="A3" s="4" t="s">
        <v>269</v>
      </c>
    </row>
    <row r="4" spans="1:3" ht="15.75">
      <c r="A4" s="4" t="s">
        <v>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CEFAU</dc:creator>
  <cp:keywords/>
  <dc:description/>
  <cp:lastModifiedBy>MIRIAM ANDREA INOSTROZA MUÑOZ</cp:lastModifiedBy>
  <cp:revision/>
  <dcterms:created xsi:type="dcterms:W3CDTF">2024-06-12T20:22:02Z</dcterms:created>
  <dcterms:modified xsi:type="dcterms:W3CDTF">2025-10-13T12:43:11Z</dcterms:modified>
  <cp:category/>
  <cp:contentStatus/>
</cp:coreProperties>
</file>