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Resultados Globales" sheetId="1" r:id="rId4"/>
    <sheet state="visible" name="Rúbrica situación evaluativa " sheetId="2" r:id="rId5"/>
    <sheet state="visible" name="Resultados Individuales" sheetId="3" r:id="rId6"/>
    <sheet state="visible" name="Resultados Grupales" sheetId="4" r:id="rId7"/>
    <sheet state="visible" name="Validación datos NO BORRAR" sheetId="5" r:id="rId8"/>
    <sheet state="visible" name="ACCIONES" sheetId="6" r:id="rId9"/>
    <sheet state="hidden" name="Hoja1" sheetId="7" r:id="rId10"/>
  </sheets>
  <definedNames>
    <definedName hidden="1" localSheetId="2" name="_xlnm._FilterDatabase">'Resultados Individuales'!$A$3:$U$211</definedName>
  </definedNames>
  <calcPr/>
  <extLst>
    <ext uri="GoogleSheetsCustomDataVersion2">
      <go:sheetsCustomData xmlns:go="http://customooxmlschemas.google.com/" r:id="rId11" roundtripDataChecksum="04/kvqf3QlR00VA7pkCth4JNL/KT95ENT5LyMjKmyy4="/>
    </ext>
  </extLst>
</workbook>
</file>

<file path=xl/sharedStrings.xml><?xml version="1.0" encoding="utf-8"?>
<sst xmlns="http://schemas.openxmlformats.org/spreadsheetml/2006/main" count="1566" uniqueCount="990">
  <si>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</si>
  <si>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</si>
  <si>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</si>
  <si>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</si>
  <si>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</si>
  <si>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</si>
  <si>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</si>
  <si>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</si>
  <si>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</si>
  <si>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</si>
  <si>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</si>
  <si>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</si>
  <si>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</si>
  <si>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</si>
  <si>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</si>
  <si>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</si>
  <si>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</si>
  <si>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</si>
  <si>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</si>
  <si>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</si>
  <si>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</si>
  <si>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</si>
  <si>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</si>
  <si>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</si>
  <si>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</si>
  <si>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</si>
  <si>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</si>
  <si>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</si>
  <si>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</si>
  <si>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</si>
  <si>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rPr>
        <rFont val="Aptos Narrow"/>
        <color theme="1"/>
        <sz val="11.0"/>
      </rP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rFont val="Aptos Narrow"/>
        <color theme="1"/>
        <sz val="11.0"/>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</si>
  <si>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</si>
  <si>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</si>
  <si>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</si>
  <si>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</si>
  <si>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</si>
  <si>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</si>
  <si>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</si>
  <si>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</si>
  <si>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</si>
  <si>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</si>
  <si>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</si>
  <si>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t>
  </si>
  <si>
    <t>DATOS DE ESTUDIANTES DE LA COHORTE</t>
  </si>
  <si>
    <r>
      <rPr>
        <rFont val="Aptos Narrow"/>
        <b/>
        <color theme="1"/>
        <sz val="11.0"/>
        <u/>
      </rPr>
      <t xml:space="preserve">
</t>
    </r>
    <r>
      <rPr>
        <rFont val="Aptos Narrow"/>
        <b/>
        <color theme="1"/>
        <sz val="12.0"/>
        <u/>
      </rPr>
      <t xml:space="preserve">
Actividad problema 1</t>
    </r>
    <r>
      <rPr>
        <rFont val="Aptos Narrow"/>
        <color theme="1"/>
        <sz val="11.0"/>
      </rPr>
      <t xml:space="preserve">
</t>
    </r>
    <r>
      <rPr>
        <rFont val="Aptos Narrow"/>
        <color theme="1"/>
        <sz val="12.0"/>
      </rPr>
      <t xml:space="preserve">
</t>
    </r>
    <r>
      <rPr>
        <rFont val="Aptos Narrow"/>
        <i/>
        <color theme="1"/>
        <sz val="11.0"/>
      </rPr>
      <t xml:space="preserve">Nivel de logro 1: 1 punto                                
Nivel de logro 2 : 2 puntos
   Nivel del logro 3  : 3 puntos
Nivel de logro 4 : 4 puntos 
</t>
    </r>
  </si>
  <si>
    <r>
      <rPr>
        <rFont val="Aptos Narrow"/>
        <b/>
        <color theme="1"/>
        <sz val="11.0"/>
        <u/>
      </rPr>
      <t xml:space="preserve">
</t>
    </r>
    <r>
      <rPr>
        <rFont val="Aptos Narrow"/>
        <b/>
        <color theme="1"/>
        <sz val="12.0"/>
        <u/>
      </rPr>
      <t xml:space="preserve">
Actividad Problema 2
</t>
    </r>
    <r>
      <rPr>
        <rFont val="Aptos Narrow"/>
        <b/>
        <color theme="1"/>
        <sz val="11.0"/>
      </rPr>
      <t xml:space="preserve">
</t>
    </r>
    <r>
      <rPr>
        <rFont val="Aptos Narrow"/>
        <b val="0"/>
        <color theme="1"/>
        <sz val="11.0"/>
      </rPr>
      <t xml:space="preserve"> Nivel de logro 1: 1 punto                                
Nivel de logro 2 : 2 puntos
   Nivel del logro 3  : 3 puntos
    Nivel de logro 4   : 4 puntos 
</t>
    </r>
    <r>
      <rPr>
        <rFont val="Aptos Narrow"/>
        <b val="0"/>
        <i/>
        <color theme="1"/>
        <sz val="11.0"/>
      </rPr>
      <t xml:space="preserve">
</t>
    </r>
  </si>
  <si>
    <t>Resultado General por estudiante</t>
  </si>
  <si>
    <t>COMENTARIOS GENERALES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</si>
  <si>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</si>
  <si>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</si>
  <si>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</si>
  <si>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</si>
  <si>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</si>
  <si>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</si>
  <si>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</si>
  <si>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</si>
  <si>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</si>
  <si>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Toma de posición 
respecto de la idoneidad 
de la acción de precario.</t>
  </si>
  <si>
    <t xml:space="preserve">Posicionamiento crítico 
en torno a elementos 
éticos y de 
justicia social incluidos 
en el caso. </t>
  </si>
  <si>
    <t xml:space="preserve">Identificación de razonamientos jurídicos y sus posibles correlaciones. 
(Razonamiento 
jurisdiccional y 
razonamiento 
académico) </t>
  </si>
  <si>
    <t>Uso del lenguaje jurídico 
apropiado con el caso y 
postura en el rol de 
abogado.</t>
  </si>
  <si>
    <t>Análisis enfoque del de género en el proyecto de ley</t>
  </si>
  <si>
    <t>Reflexión sobre desigualdades estructurales en el contexto procesal de familia</t>
  </si>
  <si>
    <t>Perspectiva interseccional en el análisis</t>
  </si>
  <si>
    <t>Uso del lenguaje jurídico apropiado con el caso y postura en el rol de abogado/a</t>
  </si>
  <si>
    <t>PUNTAJE TOTAL ESTUDIANTE</t>
  </si>
  <si>
    <t>PORCENTAJE DE LOGRO</t>
  </si>
  <si>
    <t>CATEGORÍA RESULTADO GLOBAL ESTUDIANTE</t>
  </si>
  <si>
    <t>ALEJANDRO ROBERTO ROJAS SANTANDER</t>
  </si>
  <si>
    <t>ROJAS</t>
  </si>
  <si>
    <t>SANTANDER</t>
  </si>
  <si>
    <t>ALEJANDRO ROBERTO</t>
  </si>
  <si>
    <t>Avance curricular suficiente o adecuado para evaluar ciclo básico</t>
  </si>
  <si>
    <t>No rendida</t>
  </si>
  <si>
    <t>no aplica</t>
  </si>
  <si>
    <t>MICHELE  LOUISSETTE HIRIART LAULIE</t>
  </si>
  <si>
    <t>HIRIART</t>
  </si>
  <si>
    <t>LAULIE</t>
  </si>
  <si>
    <t>MICHELE  LOUISSETTE</t>
  </si>
  <si>
    <t xml:space="preserve">Rendida </t>
  </si>
  <si>
    <t>El desempeño evidenciado en ambas actividades refleja un nivel de análisis jurídico sobresaliente, caracterizado por el uso preciso y riguroso del lenguaje técnico, la identificación clara de instituciones y categorías relevantes, así como por la capacidad de integrar razonamientos normativos con dimensiones éticas y sociales. En la primera actividad, se observa un análisis crítico excepcional que aborda con profundidad la tensión entre equidad y seguridad jurídica, vinculando con maestría el pensamiento de Finnis con el razonamiento judicial, lo que demuestra madurez conceptual y un dominio sólido del derecho contemporáneo. En la segunda actividad, se visibiliza un manejo claro de las innovaciones procesales y del enfoque de derechos de niñez y género, destacando medidas concretas como la participación efectiva de NNA y la incorporación de representaciones jurídicas especializadas, junto con una acertada reflexión sobre el rol del proceso judicial en la protección de derechos desde una mirada interseccional.
Para alcanzar un nivel óptimo en todas las dimensiones, se sugiere como proyección futura reforzar la referencia explícita a normas específicas —citando artículos del proyecto de ley analizado— e integrar el marco internacional aplicable, como la CEDAW o la Convención sobre los Derechos del Niño. Asimismo, sería valioso profundizar en el análisis interseccional, considerando cómo variables como clase social y pertenencia étnica inciden en el acceso a la justicia. Esta consolidación permitiría elevar aún más la calidad ya destacada del trabajo</t>
  </si>
  <si>
    <t>CAMILA YITSEN ALVAREZ ARUCUTIPA</t>
  </si>
  <si>
    <t>ALVAREZ</t>
  </si>
  <si>
    <t>ARUCUTIPA</t>
  </si>
  <si>
    <t>CAMILA YITSEN</t>
  </si>
  <si>
    <t>El desempeño en las dos actividades refleja contrastes claros en el logro de competencias del perfil intermedio de Derecho. En la primera actividad, si bien se desarrollan las tres preguntas y se hace referencia expresa al art. 2195 del Código Civil, así como a la teoría de Finnis y al valor del matrimonio como institución, se observa una confusión conceptual grave: la consigna exigía argumentar la postura opuesta a la del tribunal (defender la procedencia del precario), pero la respuesta se alinea con el razonamiento judicial, afectando la coherencia de todo el análisis. Esta omisión impide un desarrollo técnico sólido de los elementos del precario y resta profundidad al análisis ético, que se mantiene en un nivel superficial sin incorporar categorías centrales como seguridad jurídica, interpretación extensiva o incorrecta aplicación del derecho. Se requiere también mayor precisión en la relación entre jurisprudencia y derecho positivo, así como un desarrollo más completo de los dos elementos constitutivos del matrimonio según Finnis.
En contraste, en la segunda actividad se aprecia un manejo mucho más maduro de las herramientas jurídicas y del análisis crítico. Destacan la identificación precisa de los mecanismos de participación de NNA —audiencias específicas, obligación de fundamentación judicial y vínculo con autonomía progresiva— y un análisis competente del enfoque de género que reconoce medidas como la protección reforzada en casos de violencia intrafamiliar, la corresponsabilidad en la tuición y la capacitación judicial. Asimismo, se contextualizan acertadamente motivaciones legislativas relevantes (crisis del ex-SENAME, estallido social 2019, proceso constituyente), y la relación con el debido proceso se fundamenta de manera ejemplar mediante la Convención Americana de Derechos Humanos y la jurisprudencia de la Corte IDH.
Aun con estas fortalezas, para alcanzar un nivel óptimo se sugiere profundizar en la relevancia normativa específica, vincular más explícitamente las medidas con estándares internacionales concretos (CEDAW, Convención sobre los Derechos del Niño) y ampliar el tratamiento de la interseccionalidad, analizando cómo variables como género, edad, clase y etnia se entrecruzan en el acceso a la justicia.</t>
  </si>
  <si>
    <t>VANESSA ELENA CARRASCO MUÑOZ</t>
  </si>
  <si>
    <t>CARRASCO</t>
  </si>
  <si>
    <t>MUÑOZ</t>
  </si>
  <si>
    <t>VANESSA ELENA</t>
  </si>
  <si>
    <t>El desempeño en ambas actividades refleja un manejo sólido del razonamiento jurídico y del uso de un lenguaje técnico especializado, con especial fortaleza en el desarrollo conceptual y crítico. En la primera actividad, el análisis del precario es coherente y bien estructurado, demostrando comprensión de la figura y de la ausencia de nexo jurídico como fundamento central de la acción. Destaca un posicionamiento ético original y profundo, que problematiza con rigor las tensiones entre justicia social y seguridad jurídica, utilizando categorías avanzadas como interpretación extensiva, analogía e incorrecta aplicación del derecho. Asimismo, la correlación con la filosofía de Finnis se desarrolla con solvencia académica, estableciendo límites críticos a las obligaciones derivadas del matrimonio y proponiendo una ponderación entre instituciones jurídicas. El lenguaje técnico utilizado refleja madurez formativa y proyección profesional. Para fortalecer aún más este desempeño, se sugiere citar directamente el art. 2195 del Código Civil y sistematizar de manera más clara los tres requisitos del precario, junto con mejorar ciertos detalles formales de construcción sintáctica.
En la segunda actividad, se evidencia un buen manejo del tema, destacando la identificación precisa de los mecanismos de participación de niños, niñas y adolescentes —derecho a ser oídos, audiencias adaptadas y obligación de fundamentación judicial— y su correcta vinculación con la autonomía progresiva. También es pertinente la valoración de la coordinación intersectorial como herramienta clave para la garantía de derechos. Sin embargo, el análisis del enfoque de género requiere mayor profundidad, dado que no se distinguen medidas concretas orientadas a mujeres, niñas o adolescentes ni se articulan normas internacionales relevantes. La interseccionalidad aparece mencionada, pero sin integrar un examen crítico de variables múltiples que incidan en el acceso a la justicia. Como proyección de mejora, se recomienda incorporar referencias a instrumentos internacionales sobre igualdad y no discriminación (CEDAW, Convención de Belém do Pará), así como profundizar el análisis en torno a fenómenos sociales nacionales recientes (crisis del SENAME, estallido social de 2019, proceso constituyente) y desarrollar una mirada interseccional más completa, incluyendo género, clase y etnia.</t>
  </si>
  <si>
    <t>FELIPE IGNACIO PARRA OROPESA</t>
  </si>
  <si>
    <t>PARRA</t>
  </si>
  <si>
    <t>OROPESA</t>
  </si>
  <si>
    <t>FELIPE IGNACIO</t>
  </si>
  <si>
    <t>Interrupción voluntaria (no rinde EPI 2025)</t>
  </si>
  <si>
    <t>JORGE RODRIGO GALLEGUILLOS MOTA</t>
  </si>
  <si>
    <t>GALLEGUILLOS</t>
  </si>
  <si>
    <t>MOTA</t>
  </si>
  <si>
    <t>JORGE RODRIGO</t>
  </si>
  <si>
    <t>NICOLÁS ALEJANDRO CATALÁN ARTIGAS</t>
  </si>
  <si>
    <t>CATALÁN</t>
  </si>
  <si>
    <t>ARTIGAS</t>
  </si>
  <si>
    <t>NICOLÁS ALEJANDRO</t>
  </si>
  <si>
    <t>El desempeño alcanzado en ambas actividades refleja un nivel sobresaliente de análisis jurídico, técnico y ético, propio de un perfil intermedio consolidado con proyección hacia niveles avanzados. En la primera actividad, se observa un desarrollo sistemático y riguroso de la institución del precario, abordando con precisión los tres requisitos copulativos del art. 2195 del Código Civil y destacando con fundamentación sólida la inexistencia de nexo jurídico entre las partes. El posicionamiento ético trasciende lo meramente formal al incorporar múltiples dimensiones —justicia social, perspectiva de género e interés superior del menor— ofreciendo una comprensión holística de la problemática. La referencia a la teoría de John Finnis se articula de modo académico y pertinente, integrando los elementos constitutivos del matrimonio (fides y procreación) y vinculándolos con el considerando quinto de la sentencia, lo que revela madurez en el razonamiento teórico y práctico. El lenguaje jurídico empleado es técnico, preciso y profesional.
En la segunda actividad, se constata un manejo conceptual igualmente sólido sobre el proyecto de ley, destacando la identificación clara de innovaciones procesales y el análisis profundo del enfoque de género, con énfasis en la corresponsabilidad parental, medidas de protección en contextos de violencia intrafamiliar y la creación de unidades técnicas especializadas para fortalecer la protección integral. Su reflexión crítica sobre desigualdades estructurales es consistente y se complementa con una adecuada integración de la perspectiva interseccional, considerando género, edad y situación socioeconómica. El uso del lenguaje jurídico es preciso, articulando correctamente estándares de debido proceso y principios rectores como el interés superior del niño.
Para avanzar hacia un nivel de excelencia, se sugiere enriquecer el análisis con citas y referencias directas a instrumentos internacionales sobre derechos humanos (por ejemplo, Convención sobre los Derechos del Niño, CEDAW y Convención de Belém do Pará), y profundizar en la fundamentación normativa de las medidas de género a la luz del derecho comparado y las obligaciones internacionales del Estado</t>
  </si>
  <si>
    <t>ANGELA ESTEFANÍA JEREZ SILVA</t>
  </si>
  <si>
    <t>JEREZ</t>
  </si>
  <si>
    <t>SILVA</t>
  </si>
  <si>
    <t>ANGELA ESTEFANÍA</t>
  </si>
  <si>
    <t>No aplica</t>
  </si>
  <si>
    <t>GABRIEL FERNANDO VALLEJOS MANRIQUEZ</t>
  </si>
  <si>
    <t>VALLEJOS</t>
  </si>
  <si>
    <t>MANRIQUEZ</t>
  </si>
  <si>
    <t>GABRIEL FERNANDO</t>
  </si>
  <si>
    <t>El desempeño en ambas actividades muestra logros parciales en la aplicación del razonamiento jurídico y en la expresión argumentativa, aunque con diferencias marcadas entre los dos trabajos. En la primera actividad, se reconoce una comprensión general de los requisitos del precario y del valor institucional del matrimonio dentro del razonamiento judicial, pero la respuesta evidencia debilidades importantes en la construcción argumentativa y en la claridad conceptual, confundiendo elementos como herencia y posesión. El análisis ético y social es superficial y no logra profundizar en problemas claves como la justicia social o el uso de la analogía. El lenguaje jurídico empleado es básico e impreciso, acompañado de una redacción desordenada con errores de construcción que afectan la fluidez. Como proyección de mejora, resulta fundamental consolidar los aspectos técnicos de la institución del precario, trabajar un análisis crítico más robusto de las consecuencias jurídicas y sociales, y reforzar la expresión escrita formal y la argumentación sistemática.
En la segunda actividad, se observa un mejor manejo de los contenidos, destacando la descripción de los mecanismos de participación de NNA —derecho a ser oídos, audiencias adaptadas y obligación de fundamentación judicial— así como su vinculación con la autonomía progresiva y las medidas de capacitación judicial. Del mismo modo, se identifica el avance hacia la corresponsabilidad parental y la protección reforzada ante violencia intrafamiliar. Sin embargo, el análisis resulta limitado en lo relativo al enfoque de género al no incorporar normas específicas, y la perspectiva interseccional solo se menciona de manera general a través de la referencia a niñas en contextos de vulnerabilidad, sin un desarrollo crítico más amplio. El lenguaje jurídico es funcional, pero el trabajo ganaría solidez con citas expresas a la Ley 21.430, la Convención sobre los Derechos del Niño, así como a disposiciones concretas del Código Civil y de Procedimiento Civil.</t>
  </si>
  <si>
    <t>PABLO VICENTE PARRY ARROYO</t>
  </si>
  <si>
    <t>PARRY</t>
  </si>
  <si>
    <t>ARROYO</t>
  </si>
  <si>
    <t>PABLO VICENTE</t>
  </si>
  <si>
    <t>El desempeño en ambas actividades refleja un nivel jurídico avanzado, con proyección hacia estándares superiores al perfil intermedio esperado. En la primera actividad, se evidencia un posicionamiento ético crítico excepcional, que incorpora con precisión todos los conceptos técnicos solicitados —seguridad jurídica, incorrecta aplicación del derecho, orden público y protección constitucional—. La correlación conceptual es sobresaliente, identificando y vinculando las motivaciones de Finnis como contenidos implícitos del razonamiento judicial. Se desarrolla brillantemente la idea del matrimonio como bien humano intrínsecamente inteligible, conectando este valor con la decisión del tribunal de resguardar no solo los derechos legales, sino también las emociones y la salud mental de los cónyuges. El lenguaje jurídico es técnico y preciso, la estructura metodológica impecable y la redacción de excelencia, lo que proyecta un alto dominio conceptual y profesional. La única oportunidad de mejora se encuentra en profundizar aún más en el análisis de idoneidad del precario, desarrollando exhaustivamente los tres requisitos copulativos del art. 2195 CC en conexión explícita con los elementos del matrimonio según Finnis.
En la segunda actividad, se articula de manera clara y rigurosa la relación entre los mecanismos de participación de los NNA (derecho a ser oídos, audiencias adaptadas y motivación judicial) con los principios rectores de autonomía progresiva e interés superior del niño. Asimismo, se destaca la obligación de coordinación intersectorial como herramienta esencial de protección. El análisis de género reconoce medidas concretas como la protección reforzada en contextos de violencia intrafamiliar, aunque carece de referencias normativas más específicas que lo robustezcan. La reflexión sobre desigualdades estructurales y la perspectiva interseccional es pertinente, integrando variables de edad, género y vulnerabilidad socioeconómica, y proyectando un rol activo de la representación y capacitación especializada. El lenguaje jurídico es profesional y fundamentado en la Ley N° 21.430 y en la Convención sobre los Derechos del Niño, lo que refuerza la solidez argumentativa.</t>
  </si>
  <si>
    <t>BRYAM ROY PARADA DURÁN</t>
  </si>
  <si>
    <t>PARADA</t>
  </si>
  <si>
    <t>DURÁN</t>
  </si>
  <si>
    <t>BRYAM ROY</t>
  </si>
  <si>
    <t>LISANDRO ARTURO BUSTAMANTE DONOSO</t>
  </si>
  <si>
    <t>BUSTAMANTE</t>
  </si>
  <si>
    <t>DONOSO</t>
  </si>
  <si>
    <t>LISANDRO ARTURO</t>
  </si>
  <si>
    <t>BELEN SOLANGE ARCE VALENZUELA</t>
  </si>
  <si>
    <t>ARCE</t>
  </si>
  <si>
    <t>VALENZUELA</t>
  </si>
  <si>
    <t>BELEN SOLANGE</t>
  </si>
  <si>
    <t>El desempeño en las dos actividades evidencia un logro limitado de las competencias esperadas para el perfil intermedio de la carrera de Derecho, con importantes diferencias de nivel entre ambas. En la primera actividad, el estudiante demuestra una comprensión inicial de la institución del precario, pero incurre en confusiones conceptuales relevantes, en particular al no distinguir correctamente entre el contrato de compraventa y la relación jurídica entre la nueva dueña y la demandada. Su posicionamiento ético es pertinente, aunque superficial, y no incorpora categorías jurídicas avanzadas ni desarrolla con solidez el análisis crítico que se solicitaba. La correlación con la teoría de Finnis es básica y carece de profundidad académica. Como proyección de mejora, se sugiere profundizar los elementos copulativos del art. 2195 CC, enriquecer el análisis ético con nociones como justicia social y seguridad jurídica, y trabajar expresamente la relación con Finnis a un nivel doctrinario más consistente. Además, debe perfeccionar la presentación escrita formal para proyectar un estilo más profesional y riguroso.
En la segunda actividad, las deficiencias son más graves, afectando dimensiones centrales de la evaluación. En la pregunta sobre enfoque de género, se confunden completamente conceptos, sustituyendo el análisis de género por una descripción de criterios vinculados al interés superior del niño, lo que impide cualquier reflexión significativa sobre desigualdades estructurales o interseccionalidad. Esto conlleva la omisión de aspectos críticos solicitados: no se identifican medidas específicas aplicables a mujeres, niñas y adolescentes, no se analiza cómo el proceso judicial puede reproducir o transformar desigualdades, y no se incorpora un enfoque interseccional. A ello se suman problemas severos de expresión escrita académica —frases extensas, confusas y errores ortográficos— que comprometen la claridad y calidad comunicativa. En la pregunta sobre debido proceso, no se desarrolla ningún estándar concreto, lo cual afecta gravemente el cumplimiento de la consigna. Si bien se observa la identificación de algunos elementos positivos, como la autonomía progresiva, la articulación interinstitucional y una referencia a cifras del SENAME 2016, estos son insuficientes para compensar las falencias conceptuales principales.</t>
  </si>
  <si>
    <t>DIEGO IGNACIO NAVARRO GUTIERREZ</t>
  </si>
  <si>
    <t>NAVARRO</t>
  </si>
  <si>
    <t>GUTIERREZ</t>
  </si>
  <si>
    <t>DIEGO IGNACIO</t>
  </si>
  <si>
    <t>12.08.2025</t>
  </si>
  <si>
    <t>El desempeño observado en las actividades muestra una base de conocimiento que permite avanzar, pero aún con importantes aspectos por mejorar para responder de manera adecuada a las competencias propias del perfil intermedio en Derecho.</t>
  </si>
  <si>
    <t>K</t>
  </si>
  <si>
    <t>HÉCTOR MAXIMILIANO MORENO SALAZAR</t>
  </si>
  <si>
    <t>MORENO</t>
  </si>
  <si>
    <t>SALAZAR</t>
  </si>
  <si>
    <t>HÉCTOR MAXIMILIANO</t>
  </si>
  <si>
    <t>En la primera actividad, se aprecia un esfuerzo por abordar la institución del precario, pero el análisis resulta incompleto y poco preciso. La argumentación carece de una línea lógica clara y no logra sostener conclusiones sólidas. Es necesario trabajar en la correcta identificación de los elementos normativos y en la estructuración del razonamiento jurídico, de modo que las ideas se presenten con mayor coherencia y claridad. Además, los problemas de redacción y ortografía afectan la presentación formal del trabajo y deben ser revisados cuidadosamente.</t>
  </si>
  <si>
    <t>POULETTE CONSTANZA FUENTEALBA GONZALEZ</t>
  </si>
  <si>
    <t>FUENTEALBA</t>
  </si>
  <si>
    <t>GONZALEZ</t>
  </si>
  <si>
    <t>POULETTE CONSTANZA</t>
  </si>
  <si>
    <t>En la segunda actividad, se reconocen avances en la identificación de principios relevantes, como el derecho a ser oído de los NNA y la obligación de fundamentación judicial. Sin embargo, el análisis tiende a ser descriptivo y no logra alcanzar un nivel crítico ni de profundización. La perspectiva de género se incorpora de manera superficial y el uso de la terminología jurídica presenta imprecisiones que limitan la calidad del escrito. También se echa en falta una mayor referencia a medidas normativas concretas y a la forma en que estas buscan abordar desigualdades estructurales.</t>
  </si>
  <si>
    <t>EMILIA ELIZABETH JORQUERA CUEVAS</t>
  </si>
  <si>
    <t>JORQUERA</t>
  </si>
  <si>
    <t>CUEVAS</t>
  </si>
  <si>
    <t>EMILIA ELIZABETH</t>
  </si>
  <si>
    <t>En términos generales, se recomienda fortalecer la argumentación jurídica, mejorar la precisión conceptual y trabajar en la claridad de la expresión escrita. Avanzar en estos aspectos permitirá que el desempeño sea más consistente y cercano a lo esperado en esta etapa de la formación.</t>
  </si>
  <si>
    <t>CONSTANZA JAVIERA MUÑOZ ADASME</t>
  </si>
  <si>
    <t>ADASME</t>
  </si>
  <si>
    <t>CONSTANZA JAVIERA</t>
  </si>
  <si>
    <t>DIEGO IGNACIO CORADA JULIO</t>
  </si>
  <si>
    <t>CORADA</t>
  </si>
  <si>
    <t>JULIO</t>
  </si>
  <si>
    <t>El desempeño en ambas actividades refleja un manejo sólido de las competencias del perfil intermedio de Derecho, con un estilo argumentativo técnico y organizado, aunque aún con oportunidades de profundización normativa y de análisis crítico.
En la primera actividad, se destaca un análisis sistemático y riguroso de la institución del precario: el estudiante desarrolla con claridad los tres requisitos del art. 2195 del Código Civil, incorporando una fundamentación técnica sobresaliente y un análisis fáctico detallado. Su posicionamiento ético es equilibrado, ya que contrasta los aspectos positivos y negativos de la sentencia, integrando adecuadamente nociones como la seguridad jurídica, aunque podría enriquecerse mediante el uso de categorías más específicas solicitadas en la pauta. La correlación con la teoría de Finnis es correcta al reconocer la centralidad del matrimonio como bien humano básico, pero requiere un mayor desarrollo académico de los elementos constitutivos (fides y procreación). El lenguaje jurídico es técnico, preciso y proyecta adecuada competencia profesional. La calidad formal es consistente, con errores de redacción menores que no afectan la claridad global del trabajo.
En la segunda actividad, el estudiante identifica con precisión los principales mecanismos de participación de los NNA —audiencias adaptadas, obligación de fundamentar y la figura del curador ad litem—, vinculándolos de forma adecuada con la autonomía progresiva. La reflexión sobre desigualdades estructurales es correcta, destacando la reforma de los códigos civil y procesal y la incorporación explícita del interés superior del niño, junto con un lenguaje apropiado que integra tanto nociones procesales como constitucionales. No obstante, el análisis del enfoque de género carece de mayor profundidad normativa e interseccional: las referencias se limitan a menciones generales sobre corresponsabilidad parental sin desarrollarse en conexión con marcos internacionales ni con ejemplos específicos de medidas reforzadas.</t>
  </si>
  <si>
    <t>DIEGO BENJAMÍN ROJAS FLORES</t>
  </si>
  <si>
    <t>FLORES</t>
  </si>
  <si>
    <t>DIEGO BENJAMÍN</t>
  </si>
  <si>
    <t>JOSEFA MICHELLE JIMENEZ AROS</t>
  </si>
  <si>
    <t>JIMENEZ</t>
  </si>
  <si>
    <t>AROS</t>
  </si>
  <si>
    <t>JOSEFA MICHELLE</t>
  </si>
  <si>
    <t>El desempeño en ambas actividades refleja un nivel competente y bien encaminado hacia la consolidación del perfil intermedio en Derecho, con un manejo adecuado del análisis normativo y ético, así como del lenguaje jurídico, aunque aún con oportunidades de profundización conceptual y técnica.
En la primera actividad, el estudiante adopta posturas claras y consistentes frente a todas las preguntas, demostrando comprensión sólida de los elementos del precario al citar expresamente el art. 2195 del Código Civil. Se aprecia, además, un enfoque integral que incorpora consideraciones de género, derechos del niño y referencias normativas internacionales, como el Pacto de San José. Su análisis ético es apropiado, reconociendo aspectos de justicia social y estableciendo conexiones correctas entre la filosofía de Finnis y el razonamiento del tribunal en torno a los fines esenciales del matrimonio. El uso del lenguaje jurídico es adecuado y la calidad formal aceptable. Las áreas de mejora se concentran en profundizar el desarrollo técnico del análisis jurídico, incorporando explícitamente conceptos como interpretación extensiva, analogía y seguridad jurídica, así como en perfeccionar el uso de ciertas expresiones técnicas para proyectar un estilo más riguroso y sofisticado.
En la segunda actividad, se observa un desempeño particularmente sólido en la dimensión social y contextual, destacando el análisis profundo de fenómenos relevantes (como la crisis del SENAME) y su conexión con la necesidad de reforma en materia de niñez y adolescencia. Se identifican medidas concretas con enfoque de género y se vinculan con tratados internacionales, lo que evidencia un manejo consciente de los estándares de derechos humanos. Asimismo, la reflexión interseccional es consistente, aunque podría ampliarse mediante la incorporación de más categorías sociales —como etnia o discapacidad— para alcanzar una mirada más completa. El uso del lenguaje jurídico es riguroso y proyecta un enfoque profesional claro.</t>
  </si>
  <si>
    <t>NATALIA ALEJANDRA ARAYA GARCÍA</t>
  </si>
  <si>
    <t>ARAYA</t>
  </si>
  <si>
    <t>GARCÍA</t>
  </si>
  <si>
    <t>NATALIA ALEJANDRA</t>
  </si>
  <si>
    <t>RENATA LOBOS VILLANUEVA</t>
  </si>
  <si>
    <t>LOBOS</t>
  </si>
  <si>
    <t>VILLANUEVA</t>
  </si>
  <si>
    <t>RENATA</t>
  </si>
  <si>
    <t>FELIPE  IGNACIO NILO GUERRA</t>
  </si>
  <si>
    <t>NILO</t>
  </si>
  <si>
    <t>GUERRA</t>
  </si>
  <si>
    <t>FELIPE  IGNACIO</t>
  </si>
  <si>
    <t>El trabajo evidencia un desempeño heterogéneo entre las dos actividades, mostrando logros relevantes en el análisis del precario en la primera actividad, pero deficiencias críticas en la segunda, lo que refleja un nivel irregular frente a las competencias esperadas para el perfil intermedio de Derecho.
En la primera actividad, el estudiante adopta posiciones claras y fundamentadas en todas las respuestas, identificando correctamente los tres requisitos copulativos del precario y argumentando de manera pertinente que entre demandante y demandada no existe vínculo jurídico, configurándose así el tercer requisito. El posicionamiento ético es coherente, valorando la protección familiar desde la dimensión constitucional (art. 1° inc. 2° de la Constitución) y reconociendo la importancia de la protección de Jeannette como usuaria del bien familiar. Se identifican apropiadamente las conexiones entre Finnis y el tribunal en torno al matrimonio como bien humano básico, relacionándolo de manera correcta con la protección constitucional. El lenguaje jurídico es básico pero adecuado, utilizando terminología pertinente y manteniendo una estructura clara con buena presentación formal. No obstante, las áreas de mejora se concentran en la falta de cita expresa del art. 2195 CC, la ausencia de desarrollo técnico más profundo de los conceptos, y en no haber incorporado nociones avanzadas solicitadas como interpretación extensiva, analogía y seguridad jurídica en el análisis ético-crítico, lo que limita el nivel de sofisticación conceptual del trabajo.
En la segunda actividad, en cambio, se evidencian serias deficiencias en la comprensión del enfoque de género solicitado. La principal debilidad radica en la confusión conceptual entre el enfoque intersectorial (coordinación de organismos) y el enfoque de género (análisis de desigualdades estructurales que afectan a mujeres, niñas y adolescentes). Esta confusión impide un desarrollo adecuado de la reflexión, dejando sin abordar las desigualdades estructurales, sin incorporar perspectiva interseccional y con un análisis extremadamente limitado. Aunque el lenguaje jurídico empleado es básico pero apropiado, la brevedad y superficialidad de la respuesta reflejan una preparación insuficiente para el nivel de análisis crítico requerido en este tramo de la carrera.</t>
  </si>
  <si>
    <t>ALEJANDRA  VICTORIA SANCHEZ JORQUERA</t>
  </si>
  <si>
    <t>SANCHEZ</t>
  </si>
  <si>
    <t>ALEJANDRA  VICTORIA</t>
  </si>
  <si>
    <t>El desempeño en las dos actividades presenta avances en la identificación de las instituciones jurídicas trabajadas, pero también limitaciones relevantes que dificultan un resultado sólido y consistente con el perfil intermedio de Derecho.
En la primera actividad, el estudiante logra identificar correctamente los elementos básicos del precario, haciendo referencia apropiada al art. 2195 del Código Civil, y establece una conexión pertinente entre la filosofía de Finnis y el razonamiento del tribunal sobre los fundamentos del matrimonio. Además, su posicionamiento ético reconoce la complejidad del caso, diferenciando actuaciones de buena y mala fe. Sin embargo, se observan problemas conceptuales relevantes: la respuesta confunde la configuración con la procedencia del precario, llegando a argumentaciones contradictorias al reconocer derechos derivados del matrimonio pero al mismo tiempo concluir que procedería el precario. El análisis ético se mantiene en un nivel superficial, pues no incorpora los conceptos técnicos solicitados (como seguridad jurídica, analogía o interpretación extensiva). A esto se suman deficiencias en la precisión del lenguaje jurídico, con errores terminológicos, así como fallas en ortografía y redacción que restan formalidad y afectan la proyección profesional del texto.
En la segunda actividad, el estudiante describe de manera adecuada los principales mecanismos de participación de los NNA (derecho a ser oído, audiencias adaptadas, fundamentación judicial y coordinación intersectorial), vinculándolos correctamente con principios como el interés superior del niño y la autonomía progresiva. No obstante, la respuesta omite por completo el análisis del enfoque de género y de la perspectiva interseccional, lo que limita el desarrollo crítico esperado. El tratamiento uniforme hacia los NNA invisibiliza desigualdades estructurales que afectan de manera diferenciada a niñas, adolescentes y mujeres. Asimismo, si bien el lenguaje jurídico es adecuado, la fundamentación se presenta incompleta al no recurrir a normas específicas ni a tratados internacionales. La incorporación de referencias expresas a la Ley 21.430, a la Convención sobre los Derechos del Niño y a artículos pertinentes del Código Civil y del Código de Procedimiento Civil habría robustecido de manera sustantiva la argumentación.</t>
  </si>
  <si>
    <t>FERNANDO ANDRÉS VERGARA BAEZA</t>
  </si>
  <si>
    <t>VERGARA</t>
  </si>
  <si>
    <t>BAEZA</t>
  </si>
  <si>
    <t>FERNANDO ANDRÉS</t>
  </si>
  <si>
    <t>El trabajo presentado evidencia un nivel de excelencia en el manejo de las competencias del perfil intermedio de Derecho, con una sólida integración entre argumentación jurídica, análisis ético y reflexión social.
En la primera actividad, el estudiante evalúa de manera sistemática todos los elementos del art. 2195 del Código Civil, construyendo una argumentación estructurada y pertinente sobre la procedencia del precario, en atención a la extinción del vínculo jurídico tras la compraventa del inmueble. Se aprecia una adecuada integración de nociones éticas, de justicia social y de garantías jurídicas, logrando una valoración equilibrada de la interpretación del tribunal. Destaca la profundidad con que se establece la conexión entre la filosofía de Finnis y el razonamiento judicial, lo que potencia el carácter académico de la reflexión. El uso del lenguaje jurídico es riguroso, preciso y profesional, y la expresión escrita resulta impecable, evidenciando claridad, coherencia y un estilo formal adecuado. Todo ello refleja un desempeño sobresaliente en el desarrollo de competencias analítico-jurídicas y de proyección profesional.
En la segunda actividad, el estudiante describe con precisión los mecanismos de participación de NNA —audiencias adaptadas y obligación de fundamentar la consideración de su opinión—, articulándolos correctamente con los principios de autonomía progresiva e interés superior del niño. El análisis de género es pertinente, al destacar la protección reforzada en contextos de violencia intrafamiliar, junto con la importancia de la capacitación de operadores jurídicos y la coordinación intersectorial para abordar desigualdades. La reflexión sobre desigualdades estructurales es consistente, poniendo énfasis en el valor transformador de la motivación judicial y la efectiva ponderación de la voz de niños y adolescentes. Asimismo, aunque la perspectiva interseccional integra de manera correcta variables como edad y género, se recomienda ampliar este análisis incorporando otras categorías sociales, como clase, etnia o discapacidad, para robustecer la reflexión crítica. El lenguaje jurídico es riguroso, técnicamente fundamentado y apoyado en la Ley N° 21.430 y en estándares del debido proceso, lo que evidencia un claro nivel profesional.</t>
  </si>
  <si>
    <t>BENJAMÍN ENRIQUE JORQUERA LAGUNAS</t>
  </si>
  <si>
    <t>LAGUNAS</t>
  </si>
  <si>
    <t>BENJAMÍN ENRIQUE</t>
  </si>
  <si>
    <t>Avance curricular insuficiente para evaluar ciclo básico (no rinde EPI 2025)</t>
  </si>
  <si>
    <t>JAVIERA BELÉN SÁNCHEZ PINILLA</t>
  </si>
  <si>
    <t>SÁNCHEZ</t>
  </si>
  <si>
    <t>PINILLA</t>
  </si>
  <si>
    <t>JAVIERA BELÉN</t>
  </si>
  <si>
    <t>JAVIERA CAMILA AGUAYO OJEDA</t>
  </si>
  <si>
    <t>AGUAYO</t>
  </si>
  <si>
    <t>OJEDA</t>
  </si>
  <si>
    <t>JAVIERA CAMILA</t>
  </si>
  <si>
    <t>MATÍAS IGNACIO FUENTES ÁVILA</t>
  </si>
  <si>
    <t>FUENTES</t>
  </si>
  <si>
    <t>ÁVILA</t>
  </si>
  <si>
    <t>MATÍAS IGNACIO</t>
  </si>
  <si>
    <t>El desempeño evidenciado en las actividades refleja un progreso parcial, pero aún insuficiente para responder plenamente a las competencias del perfil intermedio en Derecho. Si bien se reconocen esfuerzos por abordar los contenidos, el trabajo requiere una mejora significativa en distintos planos.</t>
  </si>
  <si>
    <t>THIARE  ISABEL LARA TRANGO</t>
  </si>
  <si>
    <t>LARA</t>
  </si>
  <si>
    <t>TRANGO</t>
  </si>
  <si>
    <t>THIARE  ISABEL</t>
  </si>
  <si>
    <t>En la primera actividad, el análisis presentado carece de profundidad y se limita a enunciar aspectos generales sin llegar a un desarrollo técnico suficiente. La utilización de fuentes normativas resulta escasa y poco precisa, lo que afecta la solidez de la argumentación. Además, la falta de ejemplos o referencias jurisprudenciales debilita la capacidad de aplicar el conocimiento a situaciones concretas. A esto se suma la necesidad de trabajar en la organización del texto, ya que la exposición de ideas se percibe fragmentada y dificulta la comprensión.</t>
  </si>
  <si>
    <t>CHRISTOPHER CARLOS MANUEL OLIVERA JESÚS</t>
  </si>
  <si>
    <t>OLIVERA</t>
  </si>
  <si>
    <t>JESÚS</t>
  </si>
  <si>
    <t>CHRISTOPHER CARLOS MANUEL</t>
  </si>
  <si>
    <t>En la segunda actividad, si bien se observa la intención de vincular el proyecto con principios jurídicos relevantes, el tratamiento de estos temas es superficial y no alcanza a proyectarse hacia un análisis crítico. El estudiante debe avanzar en el uso más riguroso de la terminología jurídica y en la diferenciación conceptual entre nociones cercanas, evitando confusiones que afectan el rigor académico. Igualmente, se recomienda profundizar en la perspectiva de género y en cómo las medidas normativas buscan corregir desigualdades estructurales, aspecto que en este caso aparece solo de manera enunciativa.</t>
  </si>
  <si>
    <t>FERNANDA  JAVIERA ESCOBAR CONTRERAS</t>
  </si>
  <si>
    <t>ESCOBAR</t>
  </si>
  <si>
    <t>CONTRERAS</t>
  </si>
  <si>
    <t>FERNANDA  JAVIERA</t>
  </si>
  <si>
    <t>De manera general, se sugiere trabajar en la precisión del lenguaje, en el fortalecimiento de la argumentación mediante fundamentos normativos y doctrinarios, y en la capacidad de articular un análisis crítico y aplicado, que supere el nivel descriptivo y responda a las exigencias propias del estudio del Derecho</t>
  </si>
  <si>
    <t>JOSÉ DOMINGO BLANCO CASABONA</t>
  </si>
  <si>
    <t>BLANCO</t>
  </si>
  <si>
    <t>CASABONA</t>
  </si>
  <si>
    <t>JOSÉ DOMINGO</t>
  </si>
  <si>
    <t>El desempeño del estudiante en ambas actividades evidencia buen manejo conceptual y la capacidad de formular argumentos jurídicos pertinentes, aunque con diferencias de solidez entre la primera y la segunda actividad.
En la primera actividad, se aprecia un dominio correcto de la institución del precario, desarrollando de manera sistemática los tres requisitos del art. 2195 CC y articulando coherentemente la argumentación respecto de su procedencia. El análisis ético es pertinente, con reflexiones interesantes acerca de la evolución del matrimonio como institución social, aunque podría enriquecerse con categorías jurídicas más específicas como seguridad jurídica o correcta aplicación del derecho. Destaca positivamente la correlación con Finnis, la cual se presenta con profundidad académica, al desarrollar los elementos constitutivos del matrimonio (fides y procreación) y proyectarlos en el considerando judicial. El uso del lenguaje jurídico es adecuado y emplea terminología técnica suficiente. No obstante, se recomienda perfeccionar la cita normativa (mención expresa del art. 2195 CC), mantener un registro formal más uniforme y atender a pequeños errores tipográficos que afectan la pulcritud formal del texto.
En la segunda actividad, el análisis muestra avances en la identificación de elementos centrales del proyecto de ley, como el derecho a ser oído y la participación activa de los NNA, estableciendo vínculos con fenómenos sociales relevantes como los abusos en el sistema de protección infantil y el impacto del estallido social. También se reconoce un enfoque creativo al relacionar las “circunstancias particulares” con la necesidad de un análisis de género, lo que refleja capacidad crítica. Sin embargo, se evidencian limitaciones importantes: las respuestas son breves, el lenguaje utilizado se acerca a lo coloquial en lugar de mantener precisión técnica, se omite el desarrollo de nociones claves como la autonomía progresiva, y la perspectiva interseccional se aborda superficialmente. Esto reduce la solidez del trabajo a nivel normativo y crítico. Para mejorar, se sugiere fortalecer el uso del lenguaje jurídico especializado, ampliar el desarrollo analítico hasta cubrir la extensión exigida, integrar de manera más sistemática marcos teóricos como la interseccionalidad, e incorporar explicaciones apoyadas en la Ley N° 21.430, la Convención sobre los Derechos del Niño y marcos normativos conexos.</t>
  </si>
  <si>
    <t>PAULA FABIANA VILLEGAS RIQUELME</t>
  </si>
  <si>
    <t>VILLEGAS</t>
  </si>
  <si>
    <t>RIQUELME</t>
  </si>
  <si>
    <t>PAULA FABIANA</t>
  </si>
  <si>
    <t>El desempeño en ambas actividades refleja un avance consistente en el manejo de análisis jurídico y en la construcción de argumentos, destacando mayor solidez en la primera actividad que en la segunda.
En la primera actividad, la estudiante demuestra un análisis jurídico sólido y bien estructurado, caracterizado por la precisión técnica y la claridad argumentativa. La evaluación de los elementos del precario se desarrolla de forma sistemática y convincente, particularmente al identificar la insuficiencia de supuestos no probados como fundamento para rechazar la acción. Se observa un dominio claro del lenguaje jurídico técnico y la capacidad de integrar consideraciones tanto procesales como sustantivas. Asimismo, la crítica a la decisión del tribunal se encuentra bien fundamentada, al incorporar instituciones relevantes como la del bien familiar. La relación establecida entre Finnis y el considerando judicial es correcta y pertinente, aunque podría haber alcanzado mayor desarrollo desde la perspectiva filosófica. En lo formal, la expresión escrita destaca por su claridad, orden y precisión, proyectando las competencias esperadas para el perfil intermedio con un desempeño claramente sobresaliente.
En la segunda actividad, la estudiante identifica adecuadamente los mecanismos de participación de los NNA —derecho a ser oído en audiencias adaptadas y obligación de fundamentar su opinión— vinculándolos tanto al interés superior como a la autonomía progresiva. No obstante, el análisis de género resulta superficial, al no especificar medidas normativas concretas ni aludir a estándares internacionales relevantes. De igual manera, la reflexión sobre desigualdades estructurales y la perspectiva interseccional se presentan limitadas, reducidas a referencias de articulación interinstitucional, sin un análisis profundo sobre la interacción de variables sociales como género, clase, etnia o situación socioeconómica. El uso del lenguaje jurídico es correcto y pertinente, aunque el rigor del argumento se vería reforzado con citas expresas a artículos de la Ley 21.430, la Convención sobre los Derechos del Niño o el Código de Procedimiento Civil.</t>
  </si>
  <si>
    <t>NICOLÁS JESÚS CONTRERAS CONTRERAS</t>
  </si>
  <si>
    <t>NICOLÁS JESÚS</t>
  </si>
  <si>
    <t>GONZALO CRISTÓBAL PEDRAZA CID</t>
  </si>
  <si>
    <t>PEDRAZA</t>
  </si>
  <si>
    <t>CID</t>
  </si>
  <si>
    <t>GONZALO CRISTÓBAL</t>
  </si>
  <si>
    <t>El trabajo evidencia un nivel muy sólido de dominio técnico y argumentativo, con un desempeño particularmente consistente en la primera actividad y un desarrollo igualmente destacado en la segunda, aunque con algunos aspectos que aún pueden potenciarse.
En la primera actividad, se observa un análisis exhaustivo y técnicamente riguroso de la acción de precario. La estudiante desarrolla con precisión los tres requisitos copulativos del art. 2195 CC y argumenta con claridad que la compra del inmueble en 2018 no incluyó acuerdos con la demandada, configurándose así una tenencia precaria. El razonamiento combina de manera acertada los elementos institucionales con las exigencias procesales, lo que refleja pleno dominio de la institución. Su posicionamiento ético es particularmente consistente, pues incorpora de manera explícita conceptos técnicos como seguridad jurídica, interpretación extensiva, analogía e incorrecta aplicación del derecho, concluyendo con fundamento que la sentencia constituye una incorrecta aplicación normativa dado que el art. 2195 no contempla excepciones basadas en vínculos familiares. Además, integra una correlación conceptual refinada con Finnis, distinguiendo con claridad que mientras este filósofo presenta el matrimonio como fundamento ético-filosófico de la realización humana, el tribunal lo utilizó como argumento jurídico, diferenciación que enriquece la proyección analítica. La presentación formal, organización lógica y precisión del lenguaje refuerzan una proyección profesional de alto nivel.
En la segunda actividad, se describen con acierto los mecanismos de participación de los NNA —derecho a ser oídos, audiencias adaptadas y fundamentación obligatoria de la opinión—, vinculándolos a la autonomía progresiva y al interés superior del niño. El análisis de género también es adecuado, destacando medidas como la protección reforzada en casos de violencia intrafamiliar, la inclusión de curadores ad litem especializados y la coordinación interinstitucional con el Ministerio de la Mujer. La reflexión sobre desigualdades estructurales es consistente, proponiendo un rol transformador para los tribunales de familia. No obstante, la perspectiva interseccional podría profundizarse, incorporando explicitamente categorías como clase, etnia o discapacidad para ampliar el análisis crítico. El lenguaje jurídico es técnico, preciso y respaldado con referencias normativas internacionales, lo que refleja comprensión del rol del abogado/a en la defensa de los derechos de la niñez y adolescencia bajo estándares de debido proceso.</t>
  </si>
  <si>
    <t>FRANKO ALEXIS ROJAS BRAVO</t>
  </si>
  <si>
    <t>BRAVO</t>
  </si>
  <si>
    <t>FRANKO ALEXIS</t>
  </si>
  <si>
    <t>JUANA DANIELA CANIUMIL MARIPIL</t>
  </si>
  <si>
    <t>CANIUMIL</t>
  </si>
  <si>
    <t>MARIPIL</t>
  </si>
  <si>
    <t>JUANA DANIELA</t>
  </si>
  <si>
    <t>El desempeño del estudiante refleja un dominio sólido del análisis jurídico y ético, con gran capacidad de argumentación normativa y de correlación teórica, especialmente en la primera actividad, así como un buen manejo de contextos sociales y normativos en la segunda.
En la primera actividad, el análisis del precario es sistemático y riguroso, desarrollando meticulosamente los tres requisitos del art. 2195 del Código Civil con una fundamentación técnica clara que incorpora acertadamente nociones de títulos traslaticios de dominio y perfeccionamiento registral. El posicionamiento ético alcanza un nivel avanzado, al reflexionar sobre la tensión entre la interpretación judicial y el derecho positivo, integrando categorías centrales como seguridad jurídica y protección del derecho de propiedad. La correlación con Finnis es académicamente sobresaliente, al desarrollar de manera precisa los dos elementos constitutivos del matrimonio (fides y procreación) e incorporarlos de forma consistente al considerando quinto de la sentencia. El lenguaje es técnico, preciso y proyecta competencias profesionales en un nivel elevado. Como aspecto de mejora, se sugiere corregir erratas menores y perfeccionar la construcción sintáctica en ciertos pasajes, lo que contribuiría a una exposición aún más acabada.
En la segunda actividad, se presenta un análisis sólido y comprehensivo del proyecto de ley, destacando la vinculación con fenómenos sociales recientes como la crisis del SENAME y los problemas relacionados con redes de trata de personas, lo que denota sensibilidad crítica frente a la realidad social. El uso del lenguaje jurídico es adecuado y preciso, con citas correctas de artículos constitucionales y conceptos procesales. El enfoque de género se aborda de forma apropiada, diferenciando necesidades de protección entre niñas y niños y subrayando la relevancia de la coordinación intersectorial. No obstante, para alcanzar un nivel óptimo de argumentación crítica, sería recomendable profundizar en normas internacionales vinculantes en materia de género, como la CEDAW y la Convención de Belém do Pará, además de desarrollar más el análisis sobre cómo ciertos esquemas del proceso judicial tradicional pueden reproducir desigualdades estructurales, en lugar de corregirlas.</t>
  </si>
  <si>
    <t>SOFIA VALENTINA MENESES ROMERO</t>
  </si>
  <si>
    <t>MENESES</t>
  </si>
  <si>
    <t>ROMERO</t>
  </si>
  <si>
    <t>SOFIA VALENTINA</t>
  </si>
  <si>
    <t>Justifica</t>
  </si>
  <si>
    <t>VICENTE JAVIER PINO LOVERA</t>
  </si>
  <si>
    <t>PINO</t>
  </si>
  <si>
    <t>LOVERA</t>
  </si>
  <si>
    <t>VICENTE JAVIER</t>
  </si>
  <si>
    <t>El trabajo evidencia un desempeño heterogéneo: mientras la primera actividad alcanza un nivel avanzado en argumentación, precisión conceptual y correlación teórica, la segunda presenta desarrollos más básicos y con falta de rigor técnico.
En la primera actividad, la estudiante adopta de manera clara una postura contraria a la interpretación del tribunal, citando expresamente el art. 2195 del Código Civil y argumentando con solidez la ausencia de vínculo jurídico vigente que impida configurar el precario. Su posicionamiento crítico es pertinente, al enfatizar que la decisión judicial “debilita la seguridad jurídica” y que debe prevalecer el respeto a las fuentes formales del derecho. El análisis ético-jurídico se integra con coherencia, mostrando reflexión sobre el rol del derecho positivo frente a apreciaciones valorativas. El lenguaje jurídico empleado es básico, pero correcto y pertinente, acompañado de una estructura clara y formalmente aceptable. El mayor aporte se observa en la tercera pregunta, donde la estudiante desarrolla un análisis profundo de la correlación entre Finnis y el tribunal, distinguiendo enfoques y destacando que ambos otorgan centralidad al vínculo matrimonial, aunque desde perspectivas distintas: el matrimonio como bien humano básico complejo (Finnis) frente a su definición como institución fundamental en la sociedad (tribunal). Esta correlación conceptual exhibe un nivel de análisis refinado y sofisticado, consolidando un desempeño de alto nivel en esta actividad.
En la segunda actividad, se describen los mecanismos de participación de los NNA (derecho a ser oídos y motivación judicial), pero la explicación de su articulación con la autonomía progresiva carece de suficiente precisión técnica. El análisis de género reconoce la vulnerabilidad diferenciada de las niñas, pero queda en un plano descriptivo, sin profundizar en medidas normativas específicas contempladas en el proyecto. La reflexión sobre desigualdades estructurales es igualmente superficial, limitada a la coordinación intersectorial, sin problematizar el potencial transformador del proceso judicial en la reducción de dichas desigualdades. La perspectiva interseccional está apenas esbozada, sin un desarrollo integral que articule categorías como edad, género y condición socioeconómica. Además, el uso del lenguaje jurídico presenta imprecisiones y la argumentación carece de citas concretas a normas clave como la Ley 21.430, la Convención sobre los Derechos del Niño o estándares internacionales en derechos de la niñez.</t>
  </si>
  <si>
    <t>ÁLVARO ESTEBAN BÓRQUEZ ESPEJO</t>
  </si>
  <si>
    <t>BÓRQUEZ</t>
  </si>
  <si>
    <t>ESPEJO</t>
  </si>
  <si>
    <t>ÁLVARO ESTEBAN</t>
  </si>
  <si>
    <t>El desempeño en ambas actividades refleja una comprensión inicial pero todavía limitada de las instituciones jurídicas en análisis, con algunos avances conceptuales pero con debilidades importantes en el rigor técnico, la profundidad crítica y el uso del lenguaje académico-jurídico.
En la primera actividad, se aprecia que el estudiante adopta una posición clara desde una perspectiva positivista (cercana a un enfoque “kelseniano”), lo que constituye un punto de partida conceptualmente interesante. Además, reconoce elementos centrales de la figura del precario y la dimensión ética implícita en la sentencia. No obstante, el análisis carece de la sistematicidad necesaria: los requisitos del art. 2195 CC no se desarrollan de manera ordenada ni completa, la articulación de la argumentación es insuficiente y la correlación con Finnis resulta muy superficial, sin precisar los dos elementos estructurales de su visión del matrimonio (fides y procreación). Asimismo, el uso del lenguaje jurídico presenta múltiples imprecisiones y la calidad formal de la redacción se ve afectada por errores ortográficos y de construcción sintáctica. Para avanzar, resulta fundamental estructurar el análisis paso a paso en función de los requisitos del precario, enriquecer la dimensión ética con conceptos técnicos específicos (seguridad jurídica, correcta aplicación del derecho, analogía, interpretación extensiva), profundizar el diálogo con Finnis y utilizar un lenguaje más técnico y formal que proyecte profesionalismo.
En la segunda actividad, las respuestas son demasiado breves y permanecen en un nivel superficial, sin llegar a desarrollar adecuadamente lo solicitado en la rúbrica. Aunque se identifican algunos conceptos básicos —como el derecho a ser oído o medidas de protección en violencia intrafamiliar—, no se explican en profundidad ni se vinculan sólidamente con principios como la autonomía progresiva, el enfoque de género o la interseccionalidad. El uso del lenguaje es informal e inapropiado para un contexto académico de Derecho, y no se logra proyectar comprensión sobre el rol profesional del abogado en la defensa de derechos. Para alcanzar el nivel esperado, se debe fortalecer la escritura académica, ampliar el vocabulario jurídico técnico, incorporar referencias expresas a normas relevantes (Ley 21.430, Convención sobre los Derechos del Niño, CEDAW, Belém do Pará) y desarrollar con mayor profundidad el análisis crítico sobre desigualdades estructurales y fenómenos sociales contemporáneos.</t>
  </si>
  <si>
    <t>SERGIO ALEJANDRO GONZÁLEZ DOMÍNGUEZ</t>
  </si>
  <si>
    <t>GONZÁLEZ</t>
  </si>
  <si>
    <t>DOMÍNGUEZ</t>
  </si>
  <si>
    <t>SERGIO ALEJANDRO</t>
  </si>
  <si>
    <t>CAMILA SCARLETT GONZÁLEZ PEÑA</t>
  </si>
  <si>
    <t>PEÑA</t>
  </si>
  <si>
    <t>CAMILA SCARLETT</t>
  </si>
  <si>
    <t>El desempeño del estudiante evidencia avances relevantes en la toma de postura argumentativa y en el manejo básico del lenguaje jurídico, aunque persisten carencias importantes en la comprensión técnica y en la profundidad crítica que deben trabajarse de manera prioritaria.
En la primera actividad, se valora positivamente la claridad al adoptar posiciones frente a las preguntas planteadas y el reconocimiento de la interpretación extensiva del tribunal, así como la identificación de la tensión existente entre criterios legales estrictos y consideraciones éticas o familiares. Del mismo modo, el análisis sobre la protección del matrimonio y la correlación con Finnis es correcto, estableciendo vínculos pertinentes entre el matrimonio como bien humano básico y como institución fundamental. El lenguaje jurídico utilizado es en general apropiado y la calidad formal del escrito resulta aceptable. Sin embargo, se evidencia debilidad técnica importante en la comprensión de los elementos del precario, especialmente en confusiones conceptuales notorias como equiparar "servicio particular" con ocupación familiar, y malinterpretar la noción de "tenencia", lo que afecta de forma sustancial la solidez de la argumentación. Para avanzar hacia niveles más altos, es necesario estudiar con mayor detenimiento los tres requisitos copulativos del art. 2195 CC y aplicarlos de forma sistemática, garantizando precisión conceptual y rigor jurídico en el análisis.
En la segunda actividad, se observa un trabajo más consistente, describiendo adecuadamente los mecanismos de participación activa de los NNA y la obligación de motivación judicial, con un uso de lenguaje jurídico más riguroso. No obstante, el análisis en torno al enfoque de género y a las desigualdades estructurales queda limitado, pues no se detallan las medidas concretas propuestas ni se citan tratados o estándares internacionales relevantes. Asimismo, la reflexión sobre la perspectiva interseccional no se desarrolla de manera efectiva. Para perfeccionar este aspecto, es recomendable vincular el análisis con artículos específicos del proyecto, citar instrumentos internacionales como la CEDAW y la Convención sobre los Derechos del Niño, y explicar cómo interactúan distintas categorías sociales (género, edad, clase, etnia, discapacidad) en la práctica judicial.</t>
  </si>
  <si>
    <t>JUAN IGNACIO VARGAS HUERAO</t>
  </si>
  <si>
    <t>VARGAS</t>
  </si>
  <si>
    <t>HUERAO</t>
  </si>
  <si>
    <t>JUAN IGNACIO</t>
  </si>
  <si>
    <t>El desempeño del estudiante muestra un nivel dispar entre ambas actividades: mientras la primera refleja un conocimiento inicial pero con importantes deficiencias en desarrollo y forma, la segunda alcanza un estándar sólido, con argumentación clara y uso riguroso del lenguaje jurídico.
En la primera actividad, el estudiante demuestra conocimiento de los conceptos básicos y cita correctamente el art. 2195 CC, además de establecer la relación entre Finnis y el considerando judicial. Sin embargo, el análisis carece de claridad y profundidad: la argumentación sobre la procedencia del precario resulta contradictoria y confusa, y el tratamiento de los aspectos éticos se mantiene en un nivel demasiado general. Las mayores debilidades se encuentran en la expresión escrita, con errores de redacción, gramática y construcción que dificultan la comprensión. Para avanzar, se recomienda fortalecer las habilidades de argumentación jurídica, organizar de forma sistemática los tres requisitos del precario, enriquecer el análisis ético con categorías técnicas (seguridad jurídica, correcta aplicación del derecho, etc.), y mejorar sustancialmente la redacción y el uso del lenguaje técnico-jurídico.
En la segunda actividad, el trabajo alcanza un nivel mucho más consistente. Se detallan correctamente los mecanismos de participación de los NNA —derecho a ser oído, audiencias adaptadas y motivación fundada— vinculándolos con la autonomía progresiva y el interés superior del niño. El enfoque de género se desarrolla adecuadamente, destacando la coordinación intersectorial para enfrentar la violencia intrafamiliar y las desigualdades de género mediante el trabajo conjunto de instituciones como SENDA y el Ministerio de Desarrollo Social. Asimismo, la reflexión sobre desigualdades estructurales es pertinente, al subrayar la necesidad de que el tribunal articule respuestas frente a pobreza, exclusión y violencia. Se valora especialmente la incorporación de una perspectiva interseccional real, reconociendo la confluencia de género, edad y condición socioeconómica, y enfatizando un enfoque colaborativo. El lenguaje jurídico es riguroso y apoyado en normas relevantes, proyectando una buena comprensión del rol del abogado/a y de los estándares del debido proceso.</t>
  </si>
  <si>
    <t>CATTARI BELÉN SALOMÉ ARDATI PIZARRO</t>
  </si>
  <si>
    <t>ARDATI</t>
  </si>
  <si>
    <t>PIZARRO</t>
  </si>
  <si>
    <t>CATTARI BELÉN SALOMÉ</t>
  </si>
  <si>
    <t>El desempeño del estudiante en ambas actividades es sobresaliente, evidenciando un dominio técnico, crítico y reflexivo que supera ampliamente lo esperado para el perfil intermedio de Derecho.
En la primera actividad, se aprecia un conocimiento excelente de la institución del precario. El estudiante articula con precisión los tres requisitos del art. 2195 CC, fundamentando por qué procede la acción frente a la nueva dueña. El análisis es sólido y equilibrado, pues integra no solo el derecho positivo sino también nociones jurídicas avanzadas como justicia social, justicia material e interpretación extensiva, demostrando madurez en la argumentación ética y jurídica. La correlación con Finnis es académicamente rigurosa: identifica y desarrolla ambos elementos constitutivos del matrimonio (fides y procreación) y los vincula coherentemente con el considerando judicial, evidenciando gran capacidad de relación entre teoría y praxis. El lenguaje jurídico es preciso, técnico y profesional. La única área menor a perfeccionar se encuentra en aspectos formales de redacción, principalmente corrección de erratas y detalles ortográficos.
En la segunda actividad, el nivel alcanzado es igualmente sobresaliente. Las respuestas reflejan un análisis crítico y transformador del proyecto de ley, que trasciende la mera descripción normativa y se adentra en reflexiones estructurales sobre el rol del proceso judicial en la sociedad. Destaca el desarrollo del enfoque de género e interseccional, donde el estudiante articula brillantemente que “las relaciones familiares no son neutrales al género” y reconoce los contextos reales de discriminación que buscan ser abordados. La perspectiva interseccional es auténtica y profunda, integrando variables como edad, género y dependencia económica/emocional, y vinculándolas con medidas normativas específicas del proyecto. El lenguaje jurídico utilizado es avanzado y técnico, empleando con maestría expresiones como “autonomía progresiva”, “participación efectiva”, “fundamentos jurídicos y fácticos” y “garantías procesales”, lo cual refleja un dominio superior. La contextualización histórica resulta precisa y pertinente, al identificar como motivaciones la crisis del SENAME y el estallido social de 2019. Asimismo, la vinculación con el debido proceso es modélica, citando expresamente el artículo 19 N°3 de la Constitución y la Convención sobre los Derechos del Niño, demostrando comprensión cabal del diálogo entre normas nacionales e internacionales.</t>
  </si>
  <si>
    <t>MARÍA JOSÉ CHUÑIL OJEDA</t>
  </si>
  <si>
    <t>CHUÑIL</t>
  </si>
  <si>
    <t>MARÍA JOSÉ</t>
  </si>
  <si>
    <t>El desempeño del estudiante muestra fortalezas técnicas importantes en ciertos aspectos, pero debilidades notorias en la dimensión ética y crítica, lo que genera un resultado desigual entre las dos actividades.
En la primera actividad, se aprecia un dominio sólido de la institución del precario, con un desarrollo sistemático de los tres requisitos del art. 2195 del CC y una fundamentación rigurosa que se apoya en el análisis del caso concreto. Este es, sin duda, el punto más fuerte del trabajo. No obstante, se evidencian carencias significativas en la dimensión ética y académica: la reflexión sobre justicia social y la tensión entre interpretación judicial y derecho positivo queda en un nivel superficial, con menciones generales sin un desarrollo profundo. Asimismo, la correlación con Finnis es insuficiente, al limitarse a resaltar la importancia del matrimonio sin elaborar sobre sus elementos constitutivos ni establecer una conexión académica robusta con el razonamiento judicial. El uso del lenguaje jurídico es correcto, pero podría alcanzar mayor sofisticación mediante la incorporación de terminología más técnica.
En la segunda actividad, el estudiante comprende adecuadamente los principales mecanismos de participación de niños, niñas y adolescentes y logra fundamentar su vinculación con el principio de autonomía progresiva. Sin embargo, el examen del enfoque de género es muy básico y sin referencia a estándares internacionales específicos (como la CEDAW o la Convención de Belém do Pará). La reflexión sobre desigualdades estructurales requiere mayor profundidad y vinculación con fenómenos sociales recientes como el estallido social de 2019 o la crisis del SENAME. La perspectiva interseccional aparece de forma inicial, pero debe enriquecerse incorporando otras categorías de vulnerabilidad, como etnia y discapacidad. El lenguaje jurídico es correcto y profesional, aunque podría ganar en sofisticación incorporando referencias doctrinales y jurisprudenciales.</t>
  </si>
  <si>
    <t>ANTONIA PAZ ESCOBAR GUTIÉRREZ</t>
  </si>
  <si>
    <t>GUTIÉRREZ</t>
  </si>
  <si>
    <t>ANTONIA PAZ</t>
  </si>
  <si>
    <t>El estudiante demuestra un alto nivel de desempeño general, con un desarrollo excepcional en la primera actividad y un trabajo correcto, aunque con falencias críticas, en la segunda.
En la primera actividad, el análisis del precario es sobresaliente: se desarrollan de manera sistemática los tres requisitos del art. 2195 CC, con fundamentación técnica rigurosa y una argumentación clara sobre la ausencia de nexo jurídico entre las partes. El posicionamiento ético destaca por su solidez, al plantear una crítica profunda frente a la incorrecta aplicación del derecho y cuestionar el excesivo valor que el tribunal otorga al matrimonio en comparación con la aplicación estricta del derecho positivo. Asimismo, la correlación con Finnis es apropiada, aunque todavía perfectible, pues si bien se plantea una crítica coherente a la sobrevaloración del matrimonio, debería profundizarse más en los elementos constitutivos específicos (fides y procreación). El lenguaje jurídico es adecuado y profesional, con proyección sólida al ejercicio de la abogacía. Desde el punto de vista formal, el texto mantiene calidad aceptable, aunque presenta errores menores de redacción y estilo. Para alcanzar una excelencia integral, se recomienda pulir esos aspectos formales, adoptar un registro más técnico en su redacción y profundizar en los elementos doctrinales de Finnis.
En la segunda actividad, el trabajo cumple con la identificación de los mecanismos de participación de los NNA, acentuando la declaración directa en juicio y vinculándolos con su reconocimiento como sujetos de derecho. El lenguaje jurídico empleado es correcto y apropiado. Sin embargo, los aspectos más débiles se encuentran en el análisis de género y de desigualdades estructurales, los cuales se abordan de manera muy general y sin referencia a instrumentos normativos internacionales relevantes (CEDAW, Convención de Belém do Pará, Convención sobre los Derechos del Niño). La perspectiva interseccional no se desarrolla, lo que limita el potencial crítico del análisis. Para fortalecer su desempeño en esta dimensión, se recomienda incorporar ejemplos normativos de igualdad de género, explicar cómo el proyecto enfrenta desigualdades históricas en la práctica y enriquecer el análisis interseccional con categorías adicionales como condición económica, etnia o discapacidad.</t>
  </si>
  <si>
    <t>THAIS SOFIA CARVAJAL AGUILAR</t>
  </si>
  <si>
    <t>CARVAJAL</t>
  </si>
  <si>
    <t>AGUILAR</t>
  </si>
  <si>
    <t>THAIS SOFIA</t>
  </si>
  <si>
    <t xml:space="preserve">El estudiante demuestra un nivel competente en ambas actividades, con un dominio básico suficiente de las instituciones jurídicas analizadas y un correcto uso del lenguaje, aunque aún necesita avanzar en mayor rigor conceptual, profundidad crítica y sofisticación académica.
En la primera actividad, se aprecia un buen dominio básico de la acción de precario, citando correctamente el art. 2195 CC y desarrollando una argumentación coherente sobre la procedencia de la acción. El posicionamiento ético es pertinente, al cuestionar la decisión del tribunal desde la justicia social y el derecho positivo. Asimismo, la correlación con Finnis es correcta, al identificar los elementos del matrimonio, aunque queda en un nivel superficial, sin profundizar la articulación filosófico-jurídica ni los elementos constitutivos en detalle. El lenguaje jurídico es adecuado y proyecta competencia, aunque podría ser más técnico y formal. La calidad formal de la redacción es aceptable, con errores menores, pero se recomienda mejorar la sintaxis y precisión conceptual. En la segunda actividad, el análisis es correcto en cuanto a los mecanismos de participación de los NNA y el deber del tribunal de justificar la incorporación o rechazo de su opinión, fundamentando incluso en la Constitución. Sin embargo, los aspectos más débiles aparecen en el enfoque de género y en la reflexión sobre desigualdades estructurales, que carecen de desarrollo normativo y conexión con fenómenos sociales contemporáneos como el estallido social de 2019 o la crisis del SENAME. La interseccionalidad está apenas esbozada y no articula múltiples variables de vulnerabilidad (como género, edad, etnia o discapacidad). El lenguaje jurídico es correcto y con referencias pertinentes, pero puede ganar en precisión técnica y rigor académico. </t>
  </si>
  <si>
    <t>TONKA FRANCISCA DONOSO CALDERÓN</t>
  </si>
  <si>
    <t>CALDERÓN</t>
  </si>
  <si>
    <t>TONKA FRANCISCA</t>
  </si>
  <si>
    <t>El trabajo del estudiante evidencia un desempeño sólido en varias dimensiones, aunque con desajustes conceptuales importantes en la primera actividad que deben corregirse para alcanzar un nivel óptimo.
En la primera actividad, se valora positivamente la cita expresa del art. 2195 del Código Civil y la capacidad de articular un posicionamiento ético profundo y original. El estudiante desarrolla una crítica sofisticada en torno a la primacía del derecho positivo y a la necesidad de que los principios éticos se adapten al marco normativo, constituyendo este su mayor logro académico en la actividad. También establece una correlación con la visión de Finnis, identificando valores comunes respecto del matrimonio, aunque sin profundizar sistemáticamente en los elementos constitutivos específicos de la filosofía del autor (fides y procreación). Sin embargo, el análisis jurídico presenta confusiones conceptuales graves sobre la interpretación del art. 2195 CC, al asumir erróneamente que los dos incisos enuncian requisitos alternativos, cuando en realidad describen situaciones diferentes de precario. Esta falencia genera un vacío en el desarrollo de los requisitos copulativos que exige la institución. El lenguaje jurídico es en general apropiado, aunque con algunas imprecisiones técnicas, y la estructura formal es satisfactoria, con errores menores de redacción. Para mejorar, el estudiante debe: (1) corregir la comprensión del art. 2195 CC y sistematizar los requisitos del precario; (2) profundizar la correlación académica con Finnis; y (3) depurar la expresión escrita y técnica del lenguaje jurídico.
En la segunda actividad, el trabajo alcanza un nivel claramente más consistente y académico. El estudiante presenta un análisis bien estructurado de los mecanismos de participación de NNA, destacando la escucha activa, la obligación de motivación judicial y el principio de interés superior. Reconoce de manera adecuada la dimensión de género al incorporar organismos especializados y una perspectiva interseccional, integrando salud y coordinación administrativa como variables relevantes. Un aspecto destacable es la incorporación de casuística nacional (caso Nabila Rifo) para ilustrar la persistencia de desigualdades intrafamiliares, lo que vincula el análisis normativo con fenómenos sociales concretos. El uso del lenguaje jurídico es riguroso, académico y fundado en estándares del debido proceso, destacando la alusión al principio de legalidad. No obstante, para perfeccionar el nivel alcanzado, se recomienda incorporar normas internacionales relativas a igualdad y género (CEDAW, Convención de Belém do Pará) y expandir la mirada interseccional hacia otras categorías de vulnerabilidad como etnia y clase social.</t>
  </si>
  <si>
    <t>MONSERRAT ALEJANDRA ESTAY HENRIQUEZ</t>
  </si>
  <si>
    <t>ESTAY</t>
  </si>
  <si>
    <t>HENRIQUEZ</t>
  </si>
  <si>
    <t>MONSERRAT ALEJANDRA</t>
  </si>
  <si>
    <t>BASTIÁN PATRICIO LEZANA CASTILLO</t>
  </si>
  <si>
    <t>LEZANA</t>
  </si>
  <si>
    <t>CASTILLO</t>
  </si>
  <si>
    <t>BASTIÁN PATRICIO</t>
  </si>
  <si>
    <t>ELÍAS BERNABÉ ARENAS SERRANO</t>
  </si>
  <si>
    <t>ARENAS</t>
  </si>
  <si>
    <t>SERRANO</t>
  </si>
  <si>
    <t>ELÍAS BERNABÉ</t>
  </si>
  <si>
    <t>El desempeño del estudiante refleja un avance notorio en el manejo de conceptos normativos y en el uso del lenguaje jurídico técnico, mostrando además una capacidad adecuada para vincular los problemas jurídicos con principios éticos y sociales. Sin embargo, persisten confusiones conceptuales y falencias críticas en la profundidad de análisis que deben ser atendidas para elevar su rendimiento a un nivel óptimo.
En la primera actividad, el estudiante demuestra una comprensión general de la institución del precario, citando correctamente el art. 2195 CC y estableciendo con claridad su posición sobre la procedencia de la acción. Su análisis ético es pertinente, pues reconoce la dimensión humana del caso e introduce nociones como la justicia conmutativa, además de relacionar adecuadamente la teoría de Finnis con el considerando judicial. A pesar de estos aciertos, la respuesta presenta una carencia técnica en el desarrollo sistemático de los fundamentos del precario, lo que limita la solidez argumentativa. Asimismo, la correlación con Finnis es tratada en un nivel introductorio, sin profundizar en los dos elementos constitutivos del matrimonio que plantea el autor (amistad/fides y procreación). Para alcanzar un nivel superior, el estudiante debe precisar mejor los requisitos del precario, enriquecer el análisis ético con nociones de justicia social y seguridad jurídica, ampliar su vínculo con Finnis y mejorar la corrección formal del escrito para proyectar un estilo más académico y profesional.
En la segunda actividad, se destacan fortalezas sobresalientes en el manejo del lenguaje jurídico técnico, empleando con propiedad conceptos como sujetos de derecho, autonomía progresiva, patria potestad, incapaces relativos y debido proceso. También se valora su excelente vinculación entre el proyecto de ley y los estándares del debido proceso, al explicar con claridad cómo el derecho a ser oído evita que la participación de los NNA sea meramente “simbólica o decorativa”. Identifica correctamente los mecanismos de participación (audiencias específicas, trato digno, no revictimización) y establece su conexión con la autonomía progresiva. Sin embargo, se observan deficiencias graves: la más relevante es la confusión entre “enfoque intersectorial” e “interseccionalidad”, lo que refleja incomprensión de un concepto clave en el análisis de género y vulnerabilidad. Además, su aproximación al enfoque de género es superficial, pues no identifica medidas concretas del proyecto ni profundiza en las desigualdades estructurales. De igual modo, la contextualización histórica resulta débil, debido a que se limita a generalidades en lugar de referirse a hechos políticos y sociales específicos de Chile de los últimos diez años (como el estallido social de 2019, la crisis del SENAME o la tramitación de la Ley 21.430). Para mejorar, será indispensable clarificar conceptualmente la diferencia entre coordinación intersectorial e interseccionalidad, profundizar el análisis de género y desigualdades estructurales con normas y medidas concretas, y fortalecer el contexto histórico con referencias a eventos específicos y fechados.</t>
  </si>
  <si>
    <t>DANIEL ALONSO SALVO OLMOS</t>
  </si>
  <si>
    <t>SALVO</t>
  </si>
  <si>
    <t>OLMOS</t>
  </si>
  <si>
    <t>DANIEL ALONSO</t>
  </si>
  <si>
    <t>FRANCISCO DE BORJA DAHMEN VALENZUELA</t>
  </si>
  <si>
    <t>DAHMEN</t>
  </si>
  <si>
    <t>FRANCISCO DE BORJA</t>
  </si>
  <si>
    <t>MARTINA IGNACIA DÍAZ PÉREZ</t>
  </si>
  <si>
    <t>DÍAZ</t>
  </si>
  <si>
    <t>PÉREZ</t>
  </si>
  <si>
    <t>MARTINA IGNACIA</t>
  </si>
  <si>
    <t>El trabajo revela un alto nivel de competencia jurídica, analítica y ética, con un desempeño destacado en ambas actividades. Se evidencia manejo sólido del lenguaje especializado, argumentación madura y capacidad de integrar derecho positivo, principios éticos y fenómenos sociales en sus respuestas.
En la primera actividad, el análisis del precario es coherente y bien estructurado, desarrollando argumentos válidos sobre la extinción de títulos y la ausencia de nexo jurídico. El posicionamiento ético es sobresaliente, ya que plantea con madurez académica la tensión entre ética, moral y derecho positivo, incorporando nociones avanzadas como seguridad jurídica, principio de legalidad y primacía de la norma positivizada. La correlación con Finnis es académicamente brillante, distinguiendo entre el enfoque individual del filósofo (matrimonio como bien humano básico en sentido personal) y el enfoque social del tribunal (protección de la familia como institución), lo que demuestra comprensión profunda de ambas perspectivas. El lenguaje jurídico es técnico, preciso y especializado, proyectando claramente una competencia profesional sólida. Desde el punto de vista formal, la calidad es buena, con solo errores menores. Para alcanzar una excelencia integral, se recomienda citar de manera explícita el art. 2195 CC, desarrollar de forma sistemática los tres requisitos copulativos del precario y pulir detalles de redacción y forma.
En la segunda actividad, el desempeño se mantiene a un nivel muy alto. El estudiante expone con claridad los mecanismos de participación de niños, niñas y adolescentes (derecho a ser oídos, audiencias adaptadas y obligación de motivación), vinculándolos adecuadamente con el principio de autonomía progresiva. El análisis de género es sólido, al subrayar la protección reforzada en contextos de violencia intrafamiliar y la importancia de un trato digno y no revictimizante. La reflexión conecta con fenómenos sociales relevantes y actuales, como el estallido social de 2019 y la pandemia, lo que muestra un excelente manejo del contexto. Asimismo, incorpora una perspectiva interseccional inicial, considerando género y edad y destacando la coordinación interinstitucional para la protección integral. El lenguaje jurídico es nuevamente sólido y profesional. Para perfeccionar este nivel y alcanzar la excelencia, se sugiere profundizar en la referencia a normas internacionales (CEDAW, Belém do Pará), integrar otras categorías de vulnerabilidad como etnia o clase social y ejemplificar de manera concreta cómo las reformas propuestas se orientan a transformar desigualdades estructurales en la práctica judicial.</t>
  </si>
  <si>
    <t>ALVARO FELIPE FUENTES FUENZALIDA</t>
  </si>
  <si>
    <t>FUENZALIDA</t>
  </si>
  <si>
    <t>ALVARO FELIPE</t>
  </si>
  <si>
    <t>El desempeño del estudiante evidencia dificultades significativas en ambas actividades, que comprometen la coherencia argumentativa, el uso del lenguaje jurídico y el nivel de análisis esperado en el perfil intermedio de la carrera de Derecho.
En la primera actividad, aunque reconoce la tensión entre la protección constitucional de la familia y la aplicación rigurosa de la institución del precario, la respuesta presenta confusiones conceptuales graves, definiendo incorrectamente el precario como “ocupación o enajenación”. A esto se suma un posicionamiento contradictorio, oscilando entre criticar y apoyar al tribunal sin sostener una tesis clara. La argumentación carece de coherencia lógica y no desarrolla de manera sistemática los elementos copulativos del art. 2195 CC, quedando el análisis en un plano superficial y sin conceptos técnicos relevantes. Los múltiples errores ortográficos y gramaticales afectan la comunicación profesional y proyectan un déficit en la precisión del lenguaje jurídico. Para mejorar, el estudiante debe: (1) consolidar la comprensión de los conceptos básicos de Derecho Civil, (2) ejercitar habilidades de argumentación para sostener posturas claras, (3) profundizar en los requisitos del precario con rigor técnico, y (4) corregir con urgencia las deficiencias ortográficas, gramaticales y formales.
En la segunda actividad, el estudiante alcanza un nivel algo más organizado, describiendo los principios de participación y autonomía progresiva, y mencionando normas conexas. Sin embargo, la respuesta sigue siendo excesivamente general y carece de conexión directa con las disposiciones específicas del proyecto de ley, lo que reduce la fuerza jurídica del análisis. El examen del enfoque de género es superficial, sin identificar las modificaciones procesales orientadas a reducir desigualdades estructurales. Del mismo modo, la perspectiva interseccional está ausente, y no se integra una reflexión crítica sobre fenómenos sociales concretos relevantes para contextualizar la reforma. El lenguaje jurídico es correcto en rasgos generales, pero todavía insuficiente en precisión técnica y proyección profesional. Para mejorar, se recomienda: (1) citar artículos concretos del proyecto con argumentos aplicados, (2) vincularlos a ejemplos claros de desigualdad de género y reformas procesales específicas, (3) incorporar categorías interseccionales como edad, clase o etnia, y (4) adoptar un lenguaje técnico más riguroso.</t>
  </si>
  <si>
    <t>SAYEN ANTONIA VEGA SILVA</t>
  </si>
  <si>
    <t>VEGA</t>
  </si>
  <si>
    <t>SAYEN ANTONIA</t>
  </si>
  <si>
    <t>El desempeño del estudiante muestra una base sólida en ambas actividades, con un manejo correcto de los conceptos jurídicos fundamentales y un uso apropiado del lenguaje técnico, aunque aún requiere avanzar en profundidad de análisis normativo y crítico para alcanzar un nivel plenamente óptimo.
En la primera actividad, se aprecia una comprensión adecuada de la institución del precario, estableciendo una posición clara y coherente que defiende la procedencia de la acción con fundamento en el principio de primacía del derecho positivo y el título inscrito. Destaca el equilibrio logrado entre la dimensión ética y el análisis jurídico técnico, reconociendo tanto los aspectos emocionales y familiares del caso como el deber de prevalencia de las reglas jurídicas aplicables. La conexión entre los planteamientos de John Finnis y el considerando judicial es pertinente, aunque todavía se presenta de manera breve y no lo suficientemente desarrollada en cuanto a los elementos constitutivos del matrimonio. El lenguaje jurídico empleado es claro y preciso, y la redacción, si bien contiene errores menores, no compromete la adecuada comunicación de las ideas. Para perfeccionar el nivel alcanzado, se recomienda profundizar en el análisis de los tres requisitos copulativos del precario, desarrollar más exhaustivamente la relevancia de la justicia social y la seguridad jurídica en la decisión judicial y afinar la correlación con la teoría de Finnis.
En la segunda actividad, el estudiante identifica correctamente los mecanismos de participación de los NNA (derecho a ser oído, audiencias adaptadas y obligación de motivación), y los vincula de forma coherente con los principios de interés superior y autonomía progresiva. Asimismo, reconoce la necesidad de medidas de protección reforzada en contextos de violencia intrafamiliar, aunque lo hace sin un anclaje normativo concreto. El análisis de desigualdades estructurales se aborda de manera superficial, y la perspectiva interseccional queda apenas esbozada, sin explorar cómo se cruzan categorías sociales relevantes (género, edad, etnia, condición socioeconómica). El lenguaje jurídico utilizado resulta funcional y pertinente, pero para robustecer la argumentación es necesario referenciar de manera expresa artículos de la Ley 21.430, la Convención sobre los Derechos del Niño y normas procesales específicas.</t>
  </si>
  <si>
    <t>ROCIO CHARLOTT DONAIRE BARRÍA</t>
  </si>
  <si>
    <t>DONAIRE</t>
  </si>
  <si>
    <t>BARRÍA</t>
  </si>
  <si>
    <t>ROCIO CHARLOTT</t>
  </si>
  <si>
    <t>MARTIN BENJAMIN ELIAS ROMERO FUENTEALBA</t>
  </si>
  <si>
    <t>MARTIN BENJAMIN ELIAS</t>
  </si>
  <si>
    <t>MARTINA ANDREA TOBAR ARANCIBIA</t>
  </si>
  <si>
    <t>TOBAR</t>
  </si>
  <si>
    <t>ARANCIBIA</t>
  </si>
  <si>
    <t>MARTINA ANDREA</t>
  </si>
  <si>
    <t>Comentarios actividad uno: Desarrolla incluyen un análisis técnico magistral del precario que distingue sofisticadamente entre derechos reales y personales, estableciendo que el "vínculo matrimonial con el anterior dueño no genera un derecho real o personal oponible a la nueva propietaria" y que la "institución del precario busca proteger el derecho de dominio"; un posicionamiento ético crítico excepcional que incorpora múltiples conceptos técnicos solicitados desarrollando equilibradamente la tensión entre aplicación literal del derecho positivo versus consideraciones de justicia social, identificando apropiadamente "interpretación extensiva" y "incertidumbre jurídica"; una correlación conceptual excepcional entre Finnis y el tribunal que demuestra síntesis filosófico-jurídica magistral estableciendo que el "tribunal implícitamente considera los valores expresados por Finnis como contenidos relevantes para la interpretación y aplicación del derecho"; dominio excepcional del lenguaje jurídico especializado con terminología de altísima precisión técnica. Trabajo dos por correo</t>
  </si>
  <si>
    <t>SOULYN YURISSIK AGUILAR CRUZ</t>
  </si>
  <si>
    <t>CRUZ</t>
  </si>
  <si>
    <t>SOULYN YURISSIK</t>
  </si>
  <si>
    <t>El desempeño del estudiante en ambas actividades refleja una aproximación inicial a los temas tratados y algunas fortalezas destacables, pero también deficiencias técnicas y conceptuales significativas que deben ser abordadas para alcanzar el nivel esperado en el perfil intermedio de la carrera de Derecho.
En la primera actividad, se valora positivamente la intención de responder a las tres preguntas planteadas, la incorporación de una perspectiva ética en el análisis y el reconocimiento de la protección constitucional de la familia, así como la identificación de la conexión general entre los planteamientos de Finnis y el considerando quinto de la sentencia. Sin embargo, el trabajo presenta errores de fondo y forma que comprometen su calidad académica: no se referencia expresamente el artículo 2195 del Código Civil, ni se desarrolla sistemáticamente los tres requisitos copulativos del precario. Se observan confusiones conceptuales graves como la de equiparar bienes muebles e inmuebles, un análisis ético que no incorpora conceptos técnicos solicitados (como seguridad jurídica, incorrecta aplicación del derecho o interpretación extensiva), además de una correlación superficial con Finnis, sin desarrollo de los elementos constitutivos del matrimonio (fides y procreación) ni uso de terminología académica precisa. El lenguaje jurídico empleado es insuficientemente técnico y la expresión escrita presenta problemas de construcción sintáctica que afectan la claridad del razonamiento. Para mejorar, la estudiante debe reforzar conocimientos jurídicos básicos, corregir errores conceptuales, y profundizar tanto en el plano técnico (norma del art. 2195 CC, requisitos del precario) como en el ético‑académico (conceptos avanzados, relación filosófico‑jurídica con Finnis).
En la segunda actividad, se identifican como fortalezas la capacidad de contextualización sociopolítica, evidenciada en la referencia a la “revolución feminista” desde 2018 y a la crisis del SENAME, así como la correcta vinculación con el debido proceso constitucional citando expresamente el art. 19 N° 3 de la Constitución. También se reconoce una aproximación inicial al enfoque de género al mencionar la situación desigual en el cuidado de los NNA y el rol de la coordinación intersectorial. No obstante, persisten deficiencias críticas: confusión conceptual (por ejemplo, al definir incorrectamente a los curadores ad litem como “partes de los tribunales”), ausencia de un desarrollo profundo sobre cómo el proceso judicial puede transformar desigualdades estructurales, y un abordaje superficial de la interseccionalidad, al mencionar categorías como género y edad pero sin explicar cómo se entrecruzan ni sus efectos en el acceso a la justicia. El lenguaje jurídico es limitado y ambiguo, reduciendo la claridad técnica del análisis. Para alcanzar un nivel superior, resulta indispensable fortalecer la precisión conceptual procesal, profundizar el análisis crítico de desigualdades con ejemplos normativos concretos del proyecto y articular una perspectiva genuinamente interseccional que integre diversas categorías sociales (género, edad, clase, etnia, discapacidad).</t>
  </si>
  <si>
    <t>VICENTE ANDRES LAGOS RAMIREZ</t>
  </si>
  <si>
    <t>LAGOS</t>
  </si>
  <si>
    <t>RAMIREZ</t>
  </si>
  <si>
    <t>VICENTE ANDRES</t>
  </si>
  <si>
    <t xml:space="preserve">El estudiante demuestra en ambas actividades un desempeño suficiente y acorde al perfil intermedio, logrando dar cumplimiento a los estándares básicos exigidos y mostrando comprensión adecuada de los conceptos jurídicos centrales, aunque aún existen áreas de mejora importantes para alcanzar mayor solidez académica.
En la primera actividad, se aprecia un trabajo correcto, con posturas claras y consistentes en todas las respuestas, comprensión adecuada de los elementos del precario y cita apropiada del artículo 2195 del Código Civil. Se valora el uso de conceptos técnicos relevantes (título y modo, Conservador de Bienes Raíces, ordenamiento jurídico), así como un posicionamiento ético pertinente, al reconocer la tensión entre el valor sentimental y familiar de la vivienda y la aplicación rigurosa del derecho positivo. La correlación entre la filosofía de Finnis y el razonamiento del tribunal es desarrollada en términos apropiados, destacando la visión del matrimonio como institución fundamental. No obstante, el trabajo presenta debilidades en la calidad formal del texto, con errores de ortografía, puntuación y concordancia que afectan la presentación profesional. Asimismo, el análisis jurídico, aunque correcto, requiere mayor profundidad técnica en el desarrollo de ciertos conceptos solicitados y en la precisión del lenguaje especializado.
En la segunda actividad, el desempeño es igualmente satisfactorio: el estudiante describe con claridad los mecanismos de participación de NNA (derecho a ser oídos, audiencias adaptadas, obligación de motivación y protección reforzada), empleando un lenguaje jurídico adecuado. Reconoce la incorporación del enfoque de género y la relevancia de la coordinación intersectorial en el proyecto. Sin embargo, el análisis de género permanece general y poco detallado, al no precisar medidas procesales concretas ni conectarlas con tratados internacionales relevantes (como la CEDAW o la Convención de Belém do Pará). De igual modo, la perspectiva interseccional no se desarrolla plenamente, pues no se examina cómo interactúan categorías sociales como género, edad, clase u origen étnico en el acceso a la justicia. Para consolidar el análisis, será necesario citar disposiciones específicas del proyecto, vincular el enfoque de género con estándares internacionales y profundizar en las variables de vulnerabilidad desde una perspectiva interseccional.
</t>
  </si>
  <si>
    <t>SARA DEL ROSARIO SALAS BARRAZA</t>
  </si>
  <si>
    <t>SALAS</t>
  </si>
  <si>
    <t>BARRAZA</t>
  </si>
  <si>
    <t>SARA DEL ROSARIO</t>
  </si>
  <si>
    <t>El trabajo del estudiante en ambas actividades revela un nivel de excelencia académica que supera los estándares del perfil intermedio en la carrera de Derecho. La producción se caracteriza por la precisión técnica, profundidad ética y madurez argumentativa, proyectando un dominio avanzado tanto del derecho positivo como de su relación con la filosofía y la justicia social.
En la primera actividad, se desarrolla un análisis técnico excepcional de la institución del precario, integrando de manera sofisticada conceptos como derechos reales, oponibilidad y efectos de la transferencia de dominio, con plena comprensión de la interacción entre vínculos matrimoniales y títulos jurídicos eficaces. El posicionamiento ético alcanza un nivel sobresaliente, pues articula rigurosamente nociones como interpretación extensiva, seguridad jurídica, incorrecta aplicación del derecho y justicia social, incorporando con maestría la inevitable relación entre derecho y moral. La correlación conceptual con la filosofía de John Finnis es magistral, al vincular el valor básico del matrimonio como “razón fundamental para la acción humana” con la operacionalización que hace el tribunal en su razonamiento. El lenguaje jurídico usado es de altísima precisión técnica, y la calidad formal de la redacción supera estándares superiores, proyectando un estilo plenamente profesional.
En la segunda actividad, el desempeño mantiene la misma solidez técnica. El estudiante expone con precisión los mecanismos de participación de NNA —derecho a ser oído en audiencias adaptadas y obligación de motivación judicial— vinculándolos con la autonomía progresiva y el interés superior del niño. El análisis de género es sólido, al destacar la reforma de reglas de guarda hacia corresponsabilidad y la capacitación de jueces en perspectiva interseccional. También resalta la reflexión crítica sobre desigualdades estructurales, subrayando el rol transformador de los tribunales en la protección de derechos. Además, se incorpora una perspectiva interseccional pertinente, al cruzar categorías como género y edad, evidenciando sensibilidad hacia los enfoques contemporáneos de derechos humanos, con referencias correctas a la Convención sobre los Derechos del Niño y la Ley 21.430.
No obstante, aunque el rendimiento es sobresaliente, se detecta que aún falta mayor profundidad en el desarrollo del enfoque de género y de la perspectiva interseccional. Estas dimensiones se enuncian adecuadamente, pero requieren un análisis más exhaustivo de medidas procesales específicas, normas internacionales vinculadas (CEDAW, Belém do Pará) y de cómo interactúan diversas categorías sociales (género, edad, clase, etnia, condición socioeconómica, discapacidad) en el acceso a la justicia. Esto explica por qué en esas áreas el estudiante no alcanzó el puntaje máximo, quedando espacio de mejora en el plano crítico-normativo.</t>
  </si>
  <si>
    <t>FERNANDA BELÉN FIGUEROA OYARZO</t>
  </si>
  <si>
    <t>FIGUEROA</t>
  </si>
  <si>
    <t>OYARZO</t>
  </si>
  <si>
    <t>FERNANDA BELÉN</t>
  </si>
  <si>
    <t>El trabajo del estudiante refleja una comprensión inicial adecuada de los problemas jurídicos planteados y cierta capacidad para identificar elementos éticos y normativos relevantes, pero aún presenta deficiencias significativas de fondo y forma que limitan el desarrollo argumentativo y la proyección profesional del escrito.
En la primera actividad, se destaca positivamente la capacidad de reconocer la tensión entre derechos de propiedad y consideraciones matrimoniales, así como la correcta identificación de la conexión entre el pensamiento de John Finnis y el razonamiento del tribunal. Además, se observa la intención de incorporar una mirada ética en el análisis jurídico. No obstante, el desempeño es insuficiente en aspectos centrales: el estudiante no adopta claramente la postura opuesta al tribunal solicitada en la pregunta 1, lo que debilita la pertinencia de la respuesta; presenta confusión conceptual al mezclar argumentos sin coherencia lógica y omitir el desarrollo de conceptos fundamentales como seguridad jurídica o interpretación extensiva. A ello se suman múltiples errores de redacción, ortografía y expresión técnica (por ejemplo, “parees” en lugar de “partes”), que comprometen la claridad y la formalidad de la comunicación profesional. Para mejorar, es imprescindible fortalecer la comprensión conceptual del precario y su regulación en el art. 2195 del Código Civil, desarrollar con mayor rigor el análisis crítico de principios jurídicos, y pulir intensivamente las habilidades de redacción y precisión terminológica, aspectos esenciales en la formación jurídica.
En la segunda actividad, el estudiante logra un planteamiento correcto en lo básico, al reconocer la incorporación de derechos de los NNA y la mención de criterios de igualdad, utilizando un lenguaje formal en términos generales. Sin embargo, el análisis es superficial y declarativo: el enfoque de género se limita a una visión formal de igualdad de trato, sin relacionar las reformas con la reducción de desigualdades estructurales concretas ni con su respaldo en instrumentos internacionales relevantes (CEDAW, Belém do Pará, Convención sobre los Derechos del Niño). Asimismo, se omite una reflexión crítica sobre la función del proceso judicial en perpetuar o transformar dichas desigualdades y no se articula una perspectiva interseccional que aborde la interacción de género con edad, clase social u otros factores determinantes en el acceso a la justicia. Para mejorar, el estudiante debe incorporar ejemplos concretos de modificaciones normativas, vincularlas con tratados internacionales de derechos humanos y analizar en mayor profundidad cómo cada medida contribuye a superar desigualdades estructurales desde una óptica interseccional.</t>
  </si>
  <si>
    <t>NICOLE ELBA MAGDALENA SÁNCHEZ ACUÑA</t>
  </si>
  <si>
    <t>ACUÑA</t>
  </si>
  <si>
    <t>NICOLE ELBA MAGDALENA</t>
  </si>
  <si>
    <t>El desempeño del estudiante refleja un nivel muy sólido en ambas actividades, con un dominio técnico y ético sobresaliente en la primera y un desarrollo adecuado pero aún perfectible en la segunda.
En la primera actividad, el estudiante presenta un análisis técnico impecable de la institución del precario, demostrando comprensión sofisticada de la extinción de vínculos jurídicos y de los efectos de la transmisión de dominio. El posicionamiento ético-crítico alcanza un nivel excepcional, al integrar los conceptos técnicos solicitados —interpretación extensiva, seguridad jurídica e incorrecta aplicación del derecho— y mantener un equilibrio adecuado entre la justicia social y la riguridad normativa. La correlación conceptual entre el pensamiento de Finnis y el razonamiento del tribunal se desarrolla a un nivel superior, mostrando comprensión profunda de la tensión entre protección del derecho de propiedad y consideración de vínculos humanos y familiares. El uso del lenguaje jurídico es avanzado, especializado y preciso, proyectando un perfil profesional destacado.
En la segunda actividad, el estudiante resuelve correctamente lo esencial, al identificar los mecanismos de participación de NNA (derecho a ser oído directamente, audiencias adaptadas y motivación judicial de la opinión), articulándolos con principios claves como el interés superior del niño y la autonomía progresiva, lo que evidencia comprensión normativa correcta. Sin embargo, los puntos débiles se concentran en el análisis de género y desigualdades estructurales, que aparecen tratados de manera demasiado general al no precisar disposiciones normativas concretas ni vincularse con estándares internacionales (como CEDAW, Belém do Pará o la Convención sobre los Derechos del Niño). Asimismo, la perspectiva interseccional se limita a mencionar la coordinación interinstitucional, sin un desarrollo más profundo del cruce entre género, edad, clase u otras categorías sociales. El lenguaje jurídico empleado es adecuado y claro, pero la fundamentación alcanzaría un nivel superior con citas directas a artículos de la Ley N° 21.430, la Convención de los Derechos del Niño y el Código Civil.</t>
  </si>
  <si>
    <t>MARIA FERNANDA LUERA PUMA</t>
  </si>
  <si>
    <t>LUERA</t>
  </si>
  <si>
    <t>PUMA</t>
  </si>
  <si>
    <t>MARIA FERNANDA</t>
  </si>
  <si>
    <t>El trabajo del estudiante refleja un desempeño sólido y avanzado, destacando especialmente en el análisis ético y filosófico‑jurídico, con un nivel profesional en el uso del lenguaje y la forma de exposición. Sin embargo, se observan áreas de mejora en la profundidad técnica del análisis normativo y en el tratamiento crítico del enfoque de género y la interseccionalidad.
En la primera actividad, se aprecia un posicionamiento ético excepcional, donde el estudiante evalúa con madurez la tensión entre las consideraciones morales y la aplicación estricta del derecho positivo, evidenciando comprensión avanzada de cómo el tribunal prioriza aspectos emocionales vinculados al matrimonio por sobre derechos de propiedad formalmente inscritos. Se valoran especialmente las conexiones conceptuales entre la filosofía de John Finnis y el razonamiento del tribunal, explicando en detalle cómo ambos abordan el matrimonio como institución fundamental y bien humano básico. Además, logra integrar los dos fines matrimoniales descritos por Finnis (amistad y procreación) y relacionarlos de manera sofisticada con el inmueble como símbolo tangible de la vida en común. El cuestionamiento crítico a la prevalencia de lo sentimental sobre lo jurídico es sólido, mostrando capacidad analítica madura. El uso del lenguaje jurídico es apropiado y la calidad formal del texto es profesional. Como áreas de mejora, sería recomendable profundizar más exhaustivamente en los aspectos normativos del precario (art. 2195 CC) y perfeccionar algunas expresiones técnicas para mayor precisión jurídica.
En la segunda actividad, el estudiante describe correctamente los mecanismos de participación y obligación de motivación judicial, destacando la incorporación de audiencias adaptadas y unidades técnicas especializadas, lo que demuestra comprensión de la importancia de la protección de derechos de NNA y el enfoque de autonomía progresiva. No obstante, el tratamiento del enfoque de género y de las desigualdades estructurales se presenta superficial, pues no se detallan medidas procesales concretas ni se refuerza con estándares internacionales pertinentes. Tampoco se desarrolla una perspectiva interseccional auténtica, limitándose a un enfoque general. Para consolidar un nivel superior, sería necesario referenciar artículos específicos del proyecto de ley, además de tratados internacionales como la Convención sobre la Eliminación de Todas las Formas de Discriminación contra la Mujer (CEDAW) y la Convención sobre los Derechos del Niño, articulando con mayor fuerza cómo distintas categorías sociales (género, edad, clase, etnia) se cruzan en el acceso a la justicia y cómo el proceso judicial puede contribuir ya sea a reproducir o a transformar desigualdades.</t>
  </si>
  <si>
    <t>FRANCISCA JAVIERA PAZ GANA SOTO</t>
  </si>
  <si>
    <t>GANA</t>
  </si>
  <si>
    <t>SOTO</t>
  </si>
  <si>
    <t>FRANCISCA JAVIERA PAZ</t>
  </si>
  <si>
    <t>El trabajo del estudiante refleja un desempeño satisfactorio, con fortalezas relevantes en la identificación de los temas centrales y en la adopción de posturas consistentes, pero también con áreas de mejora significativas en la profundidad técnica, el uso del lenguaje jurídico y la calidad formal del texto.
En la primera actividad, se valora la adopción de posturas claras en todas las preguntas planteadas, así como la comprensión básica de los elementos del precario, reconociendo la tensión entre consideraciones éticas y el principio de seguridad jurídica. El análisis sobre la protección de terceros adquirentes resulta pertinente, y se aprecian conexiones correctas entre la filosofía de John Finnis y el razonamiento del tribunal respecto a la concepción del matrimonio como institución fundamental. Sin embargo, el análisis se mantiene en un nivel general: se necesita un desarrollo más profundo y técnico, en particular en la fundamentación de todos los elementos del artículo 2195 del Código Civil, y en la incorporación precisa de conceptos como analogía e incorrecta aplicación del derecho, solicitados en la pauta. Asimismo, convendría perfeccionar el uso del lenguaje jurídico, buscando mayor precisión técnica, y mejorar la calidad formal del escrito corrigiendo errores de ortografía, puntuación y concordancia gramatical, que afectan la presentación profesional del trabajo.
En la segunda actividad, el estudiante describe con acierto los mecanismos de participación y destaca innovaciones centrales como las audiencias adaptadas y la obligación de motivación judicial, utilizando un lenguaje jurídico adecuado. Aun así, el análisis crítico sobre enfoque de género y desigualdades estructurales es superficial, ya que no detalla protocolos ni hace referencia a estándares internacionales aplicables. Tampoco se desarrolla una auténtica perspectiva interseccional que considere la interacción de múltiples variables sociales (género, edad, clase, etnia, etc.). Para consolidar esta dimensión, sería recomendable referenciar artículos específicos del proyecto, vincular las medidas a tratados internacionales relevantes como la CEDAW y la Convención sobre los Derechos del Niño, y explicar cómo las diferentes categorías sociales interactúan en la práctica judicial, reproduciendo o transformando las desigualdades.</t>
  </si>
  <si>
    <t>FRANCISCA BELÉN MELLA OSSES</t>
  </si>
  <si>
    <t>MELLA</t>
  </si>
  <si>
    <t>OSSES</t>
  </si>
  <si>
    <t>FRANCISCA BELÉN</t>
  </si>
  <si>
    <t>RENATA ISIDORA MANSILLA RODRÍGUEZ</t>
  </si>
  <si>
    <t>MANSILLA</t>
  </si>
  <si>
    <t>RODRÍGUEZ</t>
  </si>
  <si>
    <t>RENATA ISIDORA</t>
  </si>
  <si>
    <t>El trabajo evidencia una comprensión inicial de los problemas planteados y algunas fortalezas destacables, pero aún presenta deficiencias críticas que limitan su solidez académica y técnica en el marco de los estándares del perfil intermedio en Derecho.
En la primera actividad, se reconoce como logro la correcta identificación de la conexión entre la filosofía de John Finnis y el razonamiento del tribunal, vinculando los elementos constitutivos del matrimonio (amistad/fides y procreación) con la valoración judicial del hogar común como institución fundamental. La respuesta mantiene además una estructura formal aceptable y comprensible. Sin embargo, los déficits son importantes: se observa una confusión conceptual grave sobre la procedencia del precario, pues se llega a afirmar la falta de valor de la acción en contradicción con la consigna de argumentar precisamente a favor de su idoneidad. A ello se suma la omisión expresa del artículo 2195 del Código Civil y la ausencia del desarrollo de sus elementos copulativos técnicos. Tampoco se responde la pregunta relativa al posicionamiento ético-crítico, omitiendo conceptos fundamentales como interpretación extensiva, seguridad jurídica e incorrecta aplicación del derecho. Finalmente, el uso del lenguaje jurídico es impreciso y con confusiones conceptuales relevantes, lo que afecta la claridad y el rigor profesional de la argumentación. Para avanzar, es urgente reforzar la comprensión de instituciones jurídicas básicas mediante estudio exhaustivo del precario y su regulación, así como mejorar la capacidad de análisis crítico con apoyo en conceptos doctrinarios y normativos solicitados, perfeccionar la precisión terminológica y cumplir íntegramente con los requerimientos de cada pregunta.
En la segunda actividad, el desempeño es de nivel básico‑satisfactorio. La fortaleza principal radica en la identificación de medidas concretas del proyecto de ley, como la protección reforzada en casos de violencia intrafamiliar, lo que demuestra comprensión apropiada del enfoque de género en un aspecto puntual. No obstante, el análisis mantiene un carácter superficial: la perspectiva interseccional se limita a una mención nominal, sin articular cómo interactúan variables como género, edad, clase social u origen étnico en el acceso a la justicia. Asimismo, faltan referencias normativas específicas (artículos del proyecto de ley, de la Ley N° 21.430, del Código Civil o de la Convención sobre los Derechos del Niño), lo que debilita la fundamentación técnica. El lenguaje jurídico es adecuado en lo básico, pero se requiere mayor precisión expresiva y rigor profesional. Para mejorar, el/la estudiante debe citar normas y tratados internacionales específicos (CEDAW, Convención sobre los Derechos del Niño), profundizar en el análisis de desigualdades estructurales y desarrollar de manera real una perspectiva interseccional aplicada al proceso judicial de familia.</t>
  </si>
  <si>
    <t>BENJAMÍN TOMÁS CASTRO URREA</t>
  </si>
  <si>
    <t>CASTRO</t>
  </si>
  <si>
    <t>URREA</t>
  </si>
  <si>
    <t>BENJAMÍN TOMÁS</t>
  </si>
  <si>
    <t>El desempeño refleja un nivel avanzado, con claras fortalezas en su capacidad de argumentación, manejo conceptual y uso del lenguaje jurídico, aunque aún existen aspectos específicos que deben fortalecerse para alcanzar la excelencia completa en el estándar del perfil intermedio.
En la primera actividad, el análisis del precario es coherente y bien fundamentado, mostrando dominio de la institución, aunque se detecta la necesidad de mayor precisión técnica en ciertos conceptos y de incluir la cita expresa al art. 2195 del Código Civil, indispensable en este tipo de reflexiones. El posicionamiento ético es sobresaliente, pues desarrolla una crítica profunda y original en torno a la “des‑positivización” del derecho, integrando con solvencia principios como la autonomía de la voluntad y la libertad de contratación. La correlación entre la filosofía de Finnis y el razonamiento judicial es académicamente rigurosa, logrando conexiones precisas entre la teoría del bien humano básico del matrimonio y la valoración jurisprudencial del hogar común. El uso del lenguaje jurídico es técnico y sofisticado, reflejando sólida competencia y proyección profesional; además, la calidad formal es impecable en cuanto a redacción y estilo. Para un rendimiento de excelencia plena, es necesario citar de manera expresa el art. 2195 CC, corregir pequeñas imprecisiones conceptuales y desarrollar más sistemáticamente los requisitos copulativos del precario.
En la segunda actividad,  reconoce e identifica correctamente el nuevo paradigma de participación activa de niños, niñas y adolescentes (NNA) y la obligación de los tribunales de justificar su voz, vinculando el análisis con la autonomía progresiva, lo que constituye un aporte significativo. Sin embargo, el enfoque de género y de intersectorialidad se desarrolla de manera superficial, sin precisar protocolos normativos concretos ni referencias explícitas a fenómenos sociales recientes (ej., estallido social o crisis del SENAME), lo cual limita la fuerza crítica del análisis. El lenguaje jurídico es adecuado, pero el estilo es excesivamente abstracto, lo que difumina la claridad académica requerida. Para avanzar a un nivel superior, se recomienda enriquecer el análisis con referencias a estándares internacionales, como la CEDAW y la Convención sobre los Derechos del Niño, y profundizar la perspectiva interseccional, articulando cómo género, clase y etnia se cruzan y condicionan el real acceso a la justicia familiar.</t>
  </si>
  <si>
    <t>BENJAMIN IGNACIO VIERA GAMBOA</t>
  </si>
  <si>
    <t>VIERA</t>
  </si>
  <si>
    <t>GAMBOA</t>
  </si>
  <si>
    <t>BENJAMIN IGNACIO</t>
  </si>
  <si>
    <t>El trabajo refleja un desempeño suficiente con aspectos destacables, pero también con áreas críticas de mejora necesarias para consolidar un nivel intermedio sólido en el perfil de la carrera de Derecho.
En la primera actividad, se valora la comprensión de los conceptos fundamentales del caso, así como la adopción de posturas claras respecto a la procedencia del precario y la valoración ética de la sentencia. El/la estudiante logra identificar elementos relevantes como la seguridad jurídica y la justicia social, lo que denota atención al vínculo entre derecho positivo y consideraciones éticas. También establece la conexión entre el pensamiento de Finnis y el considerando judicial, aunque de manera superficial, sin explorar del todo las implicaciones filosóficas en juego. Los problemas más significativos se encuentran en el plano formal y técnico: la expresión escrita presenta errores gramaticales y de construcción que afectan la claridad, y el uso del lenguaje jurídico carece de precisión técnica, lo que reduce el rigor profesional del análisis. Para mejorar en esta área, se recomienda fortalecer la estructura argumentativa, perfeccionar la terminología jurídica y profundizar la articulación entre teoría filosófica y razonamiento judicial.
En la segunda actividad, el desempeño es algo más sólido en lo descriptivo: se identifican adecuadamente los mecanismos de participación de NNA (derecho a ser oído directamente, audiencias adaptadas y obligación de motivación), vinculándolos con principios claves como el interés superior del niño y la autonomía progresiva. Sin embargo, el análisis pierde profundidad en su dimensión crítica: el enfoque de género y la consideración de desigualdades estructurales aparecen solo de manera general, sin precisar medidas procesales o referencias normativas concretas. A ello se suma que la perspectiva interseccional queda reducida a una mención de coordinación institucional, sin problematizar cómo se cruzan variables sociales como género, edad, clase u origen étnico en el acceso a la justicia. Aunque el lenguaje jurídico es correcto, la fundamentación se vería potenciada con citas concretas a artículos de la Ley N° 21.430, la Convención sobre los Derechos del Niño y el Código Civil.</t>
  </si>
  <si>
    <t>CRISTIAN MIGUEL BELTRÁN FLORES</t>
  </si>
  <si>
    <t>BELTRÁN</t>
  </si>
  <si>
    <t>CRISTIAN MIGUEL</t>
  </si>
  <si>
    <t>El trabajo evidencia un buen dominio conceptual y una comprensión sólida de los problemas jurídicos y sociolegales planteados en ambas actividades, aunque las virtudes en el plano argumentativo se ven matizadas por deb debilidades en la redacción formal, el estilo jurídico y la profundidad de ciertos análisis críticos.
En la primera actividad, se aprecia un manejo sistemático de la institución del precario, pues se desarrollan con claridad los tres requisitos del art. 2195 del Código Civil y se fundamenta de forma coherente la procedencia de la acción. El análisis ético es muy completo, al incorporar conceptos avanzados como seguridad jurídica, distinción entre derechos reales y personales, y al reflexionar críticamente sobre la función judicial en la resolución de conflictos. Destaca especialmente la precisión al diferenciar derechos reales y personales, lo cual revela un nivel conceptual valioso. Asimismo, la correlación con John Finnis es pertinente al identificar los dos elementos constitutivos del matrimonio (amistad/fides y procreación), aunque este punto pudo desarrollarse con mayor profundidad académica y filosófica. Para perfeccionar, convendría mejorar el registro formal de la escritura de manera consistente y corregir detalles menores de redacción, además de ampliar el análisis filosófico de Finnis en conexión con el razonamiento judicial.
En la segunda actividad, el/la estudiante muestra honestidad intelectual, al reconocer que el proyecto no utiliza explícitamente el término “género” pero sí logra identificar medidas específicas relevantes, como la protección reforzada en casos de violencia intrafamiliar, conectándola con un impacto diferenciado en mujeres, niñas y adolescentes. De particular valor es la conexión establecida entre el estallido social de 2019 y la crisis de confianza institucional, lo que demuestra comprensión del contexto político y social chileno actual. Sin embargo, las fortalezas conceptuales se ven debilitadas por problemas de redacción, errores ortográficos y limitaciones en el uso del lenguaje jurídico técnico, lo que compromete la claridad y el profesionalismo de la comunicación. Aunque las respuestas son conceptualmente correctas, carecen de precisión terminológica y profundidad analítica suficiente para alcanzar un nivel superior. Para mejorar, se hace necesario fortalecer las habilidades de redacción académica, ampliar el vocabulario técnico jurídico y profundizar en el análisis crítico, especialmente en torno a las implicancias normativas y sociales del proyecto de ley y su vinculación con estándares internacionales.</t>
  </si>
  <si>
    <t>JOSEFINA IGNACIA PALACIOS BASTÍAS</t>
  </si>
  <si>
    <t>PALACIOS</t>
  </si>
  <si>
    <t>BASTÍAS</t>
  </si>
  <si>
    <t>JOSEFINA IGNACIA</t>
  </si>
  <si>
    <t>El desempeño refleja una comprensión inicial adecuada de las instituciones analizadas y un esfuerzo por adoptar posturas éticas y jurídicas claras, aunque persisten deficiencias técnicas y de profundidad analítica que limitan el nivel de logro alcanzado en el perfil intermedio de la formación en Derecho.
En la primera actividad, se valora el posicionamiento ético crítico adoptado, cuestionando la interpretación del tribunal bajo el principio de seguridad jurídica y reconociendo la tensión entre valores ético‑morales y derecho positivo. Se aprecia además la identificación correcta de la conexión entre Finnis y el tribunal, subrayando el matrimonio como institución basada en compromiso y confianza y señalando que la resolución judicial refleja la ideología filosófica de Finnis sobre la necesidad de una protección más allá del marco legal. El trabajo utiliza un lenguaje jurídico básico apropiado y mantiene una estructura coherente y de calidad formal aceptable. Sin embargo, se constatan problemas técnicos significativos: existe confusión sobre los elementos del precario, al interpretar erróneamente la relación de la ocupación con el contrato de compraventa; no se desarrollan de manera sistemática los tres requisitos copulativos del art. 2195 del Código Civil; y no se incorporan de modo específico ni ordenado conceptos solicitados como la interpretación extensiva o la analogía. Para mejorar, es indispensable corregir las bases técnicas del análisis del precario, sistematizar el desarrollo de los tres requisitos institucionales, e integrar conceptos técnicos de manera rigurosa y explícita dentro del razonamiento ético‑jurídico.
En la segunda actividad, describe con claridad los mecanismos de participación de NNA (derecho a ser oído, obligación de motivación y audiencias adaptadas), vinculándolos correctamente con la autonomía progresiva y los estándares internacionales de derechos de la infancia. Asimismo, destaca apropiadamente la función transformadora del tribunal en la protección de mujeres, niñas y adolescentes en contextos de violencia, señalando su rol estructural frente a desigualdades. No obstante, el análisis presenta limitaciones relevantes: el enfoque de género se mantiene en un plano general, sin citar disposiciones normativas concretas, y la perspectiva interseccional es débil, al no integrar cómo variables como género, clase, edad o etnia se articulan en el acceso a la justicia. Aunque el uso del lenguaje jurídico es sólido, la fundamentación requiere mayor fuerza mediante citas directas a artículos de la Ley N° 21.430, la Convención sobre los Derechos del Niño y la Constitución Política de la República.</t>
  </si>
  <si>
    <t>ISIDORA ANTONIA ARAYA GÓMEZ</t>
  </si>
  <si>
    <t>GÓMEZ</t>
  </si>
  <si>
    <t>ISIDORA ANTONIA</t>
  </si>
  <si>
    <t xml:space="preserve">
El desempeño en ambas actividades muestra solidez conceptual y manejo adecuado del lenguaje jurídico, lo que refleja un dominio formativo importante. Sin embargo, persisten limitaciones analíticas y de profundidad crítica que es necesario corregir para avanzar hacia un nivel plenamente competente dentro del perfil intermedio de Derecho.
En la primera actividad, se observa un conocimiento claro y correcto del artículo 2195 del Código Civil, aplicándolo textualmente para fundamentar la procedencia del precario y distinguiendo con precisión que el matrimonio no genera título sobre bienes adquiridos por un tercero después del cambio de dominio. El análisis ético resalta la importancia de la seguridad jurídica y el principio de legalidad, advirtiendo los riesgos de anteponer motivaciones morales a la norma, lo que muestra criterio técnico y crítico bien orientado. Asimismo, la conexión con John Finnis es pertinente al reconocer el matrimonio como bien humano básico. También se destaca el lenguaje jurídico formal y claro, acompañado de una redacción que cumple estándares académicos. No obstante, el trabajo presenta vacíos analíticos: no desarrolla conceptos sugeridos por la consigna como interpretación extensiva, analogía e incorrecta aplicación del derecho, y la relación con Finnis, si bien correcta en lo general, carece de profundidad académica, al no explicitar los dos elementos constitutivos centrales (fides y procreación).
En la segunda actividad, se aprecia un uso adecuado del lenguaje técnico, con aplicación correcta de categorías como sujetos de derechos, autonomía progresiva, debido proceso e interés superior del niño, reflejando comprensión sólida del marco normativo. Se identifican de forma precisa los mecanismos de participación de NNA, vinculándolos correctamente con el debido proceso y la capacitación permanente del sistema judicial. Es un acierto notable su contextualización histórica, al mencionar la crisis del ex‑SENAME y las propuestas constitucionales recientes como motivaciones legislativas concretas. Además, se reconoce pensamiento crítico en la observación acerca de la ausencia de una referencia explícita a la desigualdad de género en el proyecto, señalando la contingencia de su interpretación judicial. Sin embargo, el análisis de género e interseccionalidad es limitado y más declarativo que analítico: aunque se reconoce la existencia de desigualdades estructurales y “complejas relaciones de género”, no se profundiza en cómo el proceso judicial podría contribuir a transformarlas estructuralmente, ni se conecta estas medidas con estándares internacionales como la CEDAW o la Convención sobre los Derechos del Niño.
</t>
  </si>
  <si>
    <t>MARTÍN EDUARDO MOREIRA BASCUR</t>
  </si>
  <si>
    <t>MOREIRA</t>
  </si>
  <si>
    <t>BASCUR</t>
  </si>
  <si>
    <t>MARTÍN EDUARDO</t>
  </si>
  <si>
    <t>El desempeño presenta un contraste significativo entre ambas actividades: mientras en la primera evidencia un nivel de excelencia académica y profesional sobresaliente, en la segunda el análisis resulta básico y con carencias críticas en el enfoque requerido.
En la primera actividad, el análisis destaca por su dominio técnico jurídico impecable, con cita expresa del art. 2195 del Código Civil y desarrollo exhaustivo de los tres requisitos copulativos del precario, argumentando con precisión que el vínculo matrimonial, al extinguirse patrimonialmente con la enajenación del bien, no confiere título o derecho perpetuo frente a terceros adquirentes, configurándose así la institución del precario de manera técnicamente correcta. El posicionamiento ético‑crítico es excepcional, al identificar con solvencia tensiones entre justicia social/material y derecho positivo, analizando conceptos complejos como la interpretación extensiva, la incorrecta aplicación del derecho y la vulneración de la seguridad jurídica. Este análisis reconoce que consideraciones morales o de equidad no deben desplazar normas claras cuando ello compromete la certeza jurídica de terceros. Además, se observa una correlación conceptual magistral con Finnis, integrando el matrimonio como bien humano básico y conectándolo con el razonamiento judicial, que trasciende lo patrimonial para incorporar dimensiones éticas y relacionales. El uso del lenguaje jurídico especializado es de alta precisión técnica, confirmando un desempeño que proyecta plena madurez académica y profesional.
En la segunda actividad, sin embargo, el nivel de logro es básico. Si bien, maneja adecuadamente el lenguaje jurídico y logra identificar elementos relevantes del proyecto de ley —como la protección reforzada en casos de violencia intrafamiliar—, se evidencia una comprensión insuficiente del enfoque de género, al confundir la neutralidad terminológica (empleo de “NNA”) con la perspectiva de género propiamente dicha. Asimismo, no se desarrolla un análisis crítico de las desigualdades estructurales que afectan a mujeres, niñas y adolescentes en contextos de familia, ni se incorpora una auténtica perspectiva interseccional que integre variables sociales como género, edad, clase y etnia en el acceso a la justicia. La debilidad más relevante radica en la interpretación errónea de que la mera terminología inclusiva equivale, por sí sola, a un enfoque de género, lo que reduce la profundidad del análisis.</t>
  </si>
  <si>
    <t>ANGEL BENJAMÍN BASTÍAS CARRILLO</t>
  </si>
  <si>
    <t>CARRILLO</t>
  </si>
  <si>
    <t>ANGEL BENJAMÍN</t>
  </si>
  <si>
    <t>Correo</t>
  </si>
  <si>
    <t>CATALINA BELÉN CARRILLO GUTIÉRREZ</t>
  </si>
  <si>
    <t>CATALINA BELÉN</t>
  </si>
  <si>
    <t>El desempeño  refleja un nivel avanzado y sólido de formación jurídica, con un dominio sobresaliente en el análisis técnico y una escritura académica clara y precisa. Sin embargo, persisten aspectos por fortalecer en la dimensión crítica vinculada al enfoque de género e interseccionalidad, necesarios para alcanzar un rendimiento de excelencia integral dentro del perfil intermedio de la carrera.
En la primera actividad,  demuestra un manejo técnico sobresaliente de la institución del precario, desarrollando de manera sistemática los tres requisitos copulativos del art. 2195 del CC y fundamentando con rigor la procedencia de la acción tras la extinción del vínculo jurídico patrimonial derivado de la enajenación del inmueble. Su análisis ético es de alto nivel, integrando conceptos avanzados como la seguridad jurídica, la interpretación extensiva y la certeza normativa, para reflexionar sobre la tensión entre derecho positivo y principios éticos. El abordaje del pensamiento de John Finnis es académicamente brillante, al establecer conexiones precisas entre la filosofía del derecho y el razonamiento judicial, aportando profundidad conceptual sin caer en meros formalismos. El lenguaje jurídico es técnico, preciso y apropiado, y la calidad formal del escrito es impecable, proyectando plena competencia profesional.
En la segunda actividad, también muestra un manejo adecuado de los mecanismos procesales, describiendo con precisión el derecho a ser oído, la obligación judicial de motivación y el principio de la autonomía progresiva, así como la función del abogado/a defensor/a de derechos en el marco del interés superior del niño. Esto evidencia un dominio claro del debido proceso y del lenguaje jurídico técnico. Sin embargo, el análisis del enfoque de género se queda en un nivel general, sin referencia normativa específica a medidas diferenciadas tales como protocolos o capacitaciones obligatorias en perspectiva de género. Asimismo, el trabajo no articula de manera suficiente los instrumentos internacionales pertinentes (ej. Convención de Belém do Pará, CEDAW), lo que habría enriquecido notablemente la fundamentación. La mención interseccional resulta aislada, sin ejemplificar cómo las categorías de género, edad, etnia o condición socioeconómica se cruzan en la práctica judicial ni cómo el proyecto busca abordarlas conjuntamente.</t>
  </si>
  <si>
    <t>CATALINA IGNACIA MORENO ACEVEDO</t>
  </si>
  <si>
    <t>ACEVEDO</t>
  </si>
  <si>
    <t>CATALINA IGNACIA</t>
  </si>
  <si>
    <t>MILLARAY ALEN GÓMEZ ORTEGA</t>
  </si>
  <si>
    <t>ORTEGA</t>
  </si>
  <si>
    <t>MILLARAY ALEN</t>
  </si>
  <si>
    <t>El desempeño  evidencia un nivel sobresaliente de dominio técnico y analítico en la primera actividad, acompañado de un desempeño sólido y riguroso en la segunda, aunque con posibilidades de profundización normativa y práctica para alcanzar la excelencia en todas las dimensiones.
En la primera actividad, se observa una argumentación jurídica impecable, al distinguir de manera magistral los efectos del matrimonio entre cónyuges y frente a terceros adquirentes, cuestión particularmente compleja del derecho civil. El análisis ético‑crítico es de un nivel excepcionalmente sofisticado, evaluando con rigor la tensión entre justicia material y coherencia del sistema jurídico, e integrando conceptos avanzados como la interpretación extensiva, la seguridad jurídica y la analogía. Asimismo, se establece una conexión conceptual perfecta con la filosofía de Finnis, explicando con profundidad cómo la concepción del matrimonio como “bien humano básico” se expresa en la protección judicial, con proyección ética y social. El lenguaje jurídico empleado es técnico y especializado, reflejando pleno dominio de la terminología avanzada, y la calidad formal del escrito es impecable, cumpliendo con los más altos estándares académicos.
En la segunda actividad, desarrolla un análisis igualmente coherente, explicando con claridad los mecanismos de participación de NNA, el enfoque de género y la vinculación con el debido proceso, todo ello en un registro de lenguaje jurídico riguroso y pertinente. Destaca la fundamentación adecuada de las decisiones judiciales y la articulación explícita con estándares internacionales, como la Convención Americana sobre Derechos Humanos. Sin embargo, para consolidar un nivel óptimo integral, se recomienda incorporar citas directas a artículos específicos del proyecto de ley y de los tratados internacionales más directamente aplicables (ej. CEDAW o Convención sobre los Derechos del Niño), así como enriquecer la reflexión con ejemplos prácticos que ilustren el impacto de las medidas en realidades concretas, como casos de violencia intrafamiliar o contextos de exclusión social.</t>
  </si>
  <si>
    <t>ROMINA BELÉN MUÑOZ ALVIAL</t>
  </si>
  <si>
    <t>ALVIAL</t>
  </si>
  <si>
    <t>ROMINA BELÉN</t>
  </si>
  <si>
    <t xml:space="preserve">
El desempeño de la estudiante refleja un nivel altamente competente y avanzado en la primera actividad, con un manejo jurídico excepcional, y un rendimiento intermedio en la segunda, donde si bien existen fortalezas notables, aún persisten limitaciones en la profundidad analítica respecto del enfoque de género y las desigualdades estructurales.
En la primera actividad, la estudiante demuestra un dominio absoluto de análisis técnico jurídico, evaluando de manera impecable la idoneidad del precario con cita explícita al art. 2195 del Código Civil (primer inciso). Desarrolla una argumentación técnicamente sólida sobre los tres elementos fundamentales: la ausencia de justificación válida y razonable, la no existencia de tiempo específico para restitución, y un razonamiento sofisticado según el cual el conocimiento previo de la condición de bien familiar no impide la configuración del precario. El posicionamiento ético es excepcional, al identificar la incorrecta aplicación del derecho y examinar con profundidad la vulneración de facultades de dominio y seguridad jurídica, integrando los conceptos técnicos solicitados en la consigna de manera desarrollada y clara. Además, establece una correlación conceptual magistral con John Finnis, relacionando el matrimonio como bien humano básico para la realización plena con la justificación judicial utilizada para privilegiar los derechos conyugales frente a las facultades dominicales de la propietaria. Su lenguaje jurídico es de alta precisión técnica, con un uso especializado de la terminología, estructura metodológica sofisticada, sistema de citas bibliográficas profesional y calidad formal impecable, lo que refleja un pensamiento jurídico avanzado de nivel superior.
En la segunda actividad, la estudiante alcanza un nivel intermedio de logro. Entre sus fortalezas destaca el uso sólido del lenguaje jurídico y el reconocimiento explícito de la perspectiva interseccional, siendo relevante que es la única que emplea este concepto clave. Ello demuestra sensibilidad hacia la complejidad social del derecho y proyección a un análisis multidimensional de acceso a la justicia. Sin embargo, el tratamiento del enfoque de género y las desigualdades estructurales se mantiene en un plano más descriptivo que crítico. Pese a que su comprensión procesal es adecuada y la terminología técnica se maneja correctamente, falta mayor articulación sobre cómo las medidas del proyecto de ley impactan específica y concretamente en mujeres, niñas y adolescentes en contextos familiares. La ausencia de ejemplos prácticos y de referencias normativas específicas (ej. CEDAW, Belém do Pará, Convención sobre los Derechos del Niño) limita la profundidad del análisis y la evaluación integral de la propuesta legislativa.</t>
  </si>
  <si>
    <t>SOFÍA ANTONIA PACHECO PARRA</t>
  </si>
  <si>
    <t>PACHECO</t>
  </si>
  <si>
    <t>SOFÍA ANTONIA</t>
  </si>
  <si>
    <t>El desempeño de la estudiante evidencia comprensión de los fundamentos centrales de las instituciones abordadas y un uso adecuado de lenguaje jurídico básico, pero aún presenta deficiencias técnicas, analíticas y formales que afectan la claridad y solidez del trabajo presentado.
En la primera actividad, se valora positivamente la citación expresa al art. 2195 del Código Civil y la conclusión técnica coherente de que “se configuran los tres casos que debe tener el precario: dominio, ocupación y ausencia de un nexo jurídico”. También se aprecia la incorporación de la reflexión de Finnis sobre el matrimonio como bien humano básico y el reconocimiento de que el hogar compartido trasciende lo meramente patrimonial. El uso de terminología jurídica básica es correcto y demuestra comprensión conceptual general de la institución. Sin embargo, el análisis presenta deficiencias significativas: se observan contradicciones internas al calificar en un momento la interpretación del tribunal como “acertada” y después como “errónea”, lo que genera un posicionamiento ético‑jurídico confuso. Asimismo, no se integran conceptos técnicos solicitados (interpretación extensiva, analogía, incorrecta aplicación del derecho) de manera sistemática, y la correlación conceptual con Finnis queda en un nivel muy básico y sin profundidad académica. Además, los errores de redacción y concordancia (“na aplicación del derecho”, “jurídicamente aplicare el precario”) comprometen seriedad y profesionalismo del texto. Para mejorar, se requiere: coherencia argumentativa eliminando contradicciones, inclusión ordenada de los conceptos técnicos, profundización analítica y un mejoramiento sustancial de la formalidad y corrección redaccional.
En la segunda actividad, el desempeño es más sólido. La estudiante describe con claridad los mecanismos de participación de NNA —derecho a ser oído, obligación de motivación y audiencias adaptadas—, vinculándolos correctamente con la autonomía progresiva y con estándares internacionales de derechos del niño. Se destaca la identificación del rol transformador del tribunal en la protección de mujeres, niñas y adolescentes en contextos de violencia, reconociendo su función estructural correctora. Sin embargo, el análisis de género es insuficiente, ya que no se citan disposiciones normativas concretas ni instrumentos especializados (CEDAW, Convención de Belém do Pará). A su vez, la perspectiva interseccional se presenta de manera superficial, sin examinar cómo interactúan otras variables sociales como género, clase, edad o etnia. Si bien el uso del lenguaje jurídico es correcto, la fundamentación se beneficiaría de citas específicas a artículos de la Ley N° 21.430, la Convención sobre los Derechos del Niño y la Constitución.</t>
  </si>
  <si>
    <t>ISIDORA EMMA IBÁÑEZ CAMPUSANO</t>
  </si>
  <si>
    <t>IBÁÑEZ</t>
  </si>
  <si>
    <t>CAMPUSANO</t>
  </si>
  <si>
    <t>ISIDORA EMMA</t>
  </si>
  <si>
    <t>El trabajo refleja un alto nivel de dominio técnico-jurídico y capacidad analítica avanzada en la primera actividad, mientras que en la segunda evidencia un buen manejo conceptual, pero con limitaciones en la profundidad crítica y en la aplicación de marcos normativos internacionales que resultan claves para alcanzar un desempeño superior.
En la primera actividad, el análisis merece una evaluación muy destacada. Desarrolla una argumentación jurídica impecable, distinguiendo de forma clara y magistral entre vínculos personales y derechos reales, distinción esencial en el derecho civil. Su análisis crítico es excepcionalmente sofisticado, demostrando plena conciencia de la confusión entre moral y derecho y de los efectos que dicha confusión provoca sobre principios fundamentales como la certeza jurídica, la legalidad y el derecho de propiedad. Asimismo, logra establecer conexiones conceptuales precisas entre la filosofía de John Finnis y el razonamiento del tribunal, explicando con profundidad cómo esta filosofía se aplica al caso concreto y cómo el matrimonio como bien humano básico puede ser interpretado en clave jurídica y ética. El uso del lenguaje jurídico es técnico y avanzado, y la estructura argumentativa refleja un pensamiento maduro y coherente. La única área de mejora corresponde a aspectos formales menores de ortografía, que no comprometen de forma alguna la excelencia y profesionalismo del contenido.
En la segunda actividad,  demuestra un manejo claro de los mecanismos de participación (derecho a ser oído, obligación de motivación y audiencias adaptadas), utilizando un lenguaje jurídico adecuado y vinculando su explicación con la Convención sobre los Derechos del Niño. Sin embargo, el análisis del enfoque de género y de las desigualdades estructurales resulta superficial, al no detallar medidas procesales específicas ni articular su relación con protocolos de género o con estándares internacionales como la CEDAW. Del mismo modo, la perspectiva interseccional no se desarrolla plenamente, quedando en un plano declarativo. Para consolidar un nivel óptimo en toda la rúbrica, sería necesario articular cómo diversas categorías sociales (género, clase, edad, etnia, etc.) se intersectan en la práctica judicial y reforzar la fundamentación mediante citas específicas al proyecto de ley y a tratados internacionales relevantes.</t>
  </si>
  <si>
    <t>JOSEFA ANTONIA LEAL CASTRO</t>
  </si>
  <si>
    <t>LEAL</t>
  </si>
  <si>
    <t>JOSEFA ANTONIA</t>
  </si>
  <si>
    <t>El desempeño revela altas competencias jurídicas y analíticas en la primera actividad, con un nivel de madurez conceptual notable, mientras que en la segunda muestra comprensión procesal suficiente pero aún con limitaciones en materia de género, desigualdad estructural e interseccionalidad que requieren reforzamiento para alcanzar un desempeño integral de excelencia.
En la primera actividad, desarrolla un análisis excepcional, identificando y relacionando con precisión las motivaciones de Finnis como contenidos implícitos en el razonamiento del tribunal. Esta conexión entre filosofía del derecho y jurisprudencia ilustra de manera ejemplar cómo el matrimonio como bien humano básico se materializa en la protección del inmueble como símbolo tangible de la vida compartida y la procreación, integrando correctamente razón filosófica y contexto jurídico. Entre las grandes fortalezas se encuentran: la adopción de posturas claras y fundamentadas en torno a la procedencia del precario, con referencia normativa adecuada, la correcta incorporación de conceptos técnicos avanzados como error de derecho e ineficacia en la valoración de la prueba, y el acertado reconocimiento de la tensión entre la protección familiar y los nexos jurídicos formales. Las áreas de mejora se concentran en: (i) perfeccionar la precisión técnica en la argumentación sobre precario, evitando confusiones conceptuales menores; (ii) profundizar aún más en el análisis ético incorporando de manera explícita nociones como interpretación extensiva y seguridad jurídica; y (iii) refinar ciertas expresiones técnicas para garantizar precisión terminológica superior.
En la segunda actividad, comprende de manera clara los mecanismos principales de participación procesal de NNA y las obligaciones de fundamentación judicial, utilizando un lenguaje técnico apropiado. Sin embargo, su análisis en materia de enfoque de género y desigualdades estructurales resulta muy superficial, sin articularse adecuadamente con estándares internacionales ni con protocolos concretos de género. Tampoco se desarrolla una auténtica perspectiva interseccional, quedándose en un nivel descriptivo. Para mejorar, se recomienda: (i) incorporar protocolos normativos específicos de perspectiva de género en sede judicial, (ii) citar instrumentos internacionales aplicables como la CEDAW y la Convención sobre los Derechos del Niño, y (iii) explicar cómo distintas categorías sociales (género, edad, clase, etnia, etc.) se cruzan en la práctica judicial, afectando directamente la experiencia procesal de niños, niñas y adolescentes.</t>
  </si>
  <si>
    <t>MACARENA ALEJANDRA ALARCÓN HERRERA</t>
  </si>
  <si>
    <t>ALARCÓN</t>
  </si>
  <si>
    <t>HERRERA</t>
  </si>
  <si>
    <t>MACARENA ALEJANDRA</t>
  </si>
  <si>
    <t xml:space="preserve">
El desempeño refleja diferencias notables entre ambas actividades: mientras en la primera actividad se logra un análisis sólido y técnicamente correcto, en la segunda se evidencian deficiencias graves de comprensión conceptual y de expresión escrita que comprometen la calidad general del trabajo.
En la primera actividad,  aplica con rigor el artículo 2195 del Código Civil, fundamentando de manera clara la procedencia del precario. El análisis ético es pertinente, pues subraya que no deben anteponerse motivaciones morales a la norma positiva, defendiendo así el principio de seguridad jurídica. Además, la conexión con Finnis resulta adecuada al reconocer el matrimonio como bien humano básico, y la calidad formal del texto —en lenguaje y presentación— se considera sobresaliente. Sin embargo, se detectan áreas de mejora relevantes: el análisis omite nociones técnicas sugeridas por la consigna (interpretación extensiva, analogía, incorrecta aplicación del derecho) que habrían enriquecido el posicionamiento crítico. Asimismo, la relación con Finnis es superficial, pues no desarrolla los elementos constitutivos del matrimonio (fides y procreación), ni los refleja explícitamente en su conexión con el quinto considerando de la sentencia. Para avanzar, es indispensable incorporar ejemplos aplicados al precario al usar conceptos técnicos, y profundizar en la filosofía matrimonial de Finnis estableciendo claramente cómo se conecta con la justificación judicial.
En la segunda actividad, si bien demuestra cierta comprensión básica de los mecanismos procesales, identificando correctamente las audiencias específicas para NNA y la obligación de fundamentación judicial, además de reconocer la crisis del SENAME como motivación legislativa pertinente, las limitaciones son severas. La parte más crítica es la confusión conceptual en la pregunta 2, donde erróneamente afirma que el proyecto “garantiza una desigualdad estructural”, lo que contradice el propósito de la normativa y evidencia una falta de comprensión básica sobre enfoque de género y desigualdades estructurales. Tampoco se identifican las medidas específicas del proyecto en favor de mujeres, niñas y adolescentes, y la referencia a la interseccionalidad carece de desarrollo y aplicación práctica. A lo anterior se suman serias dificultades de expresión escrita, con frases ambiguas y redacción confusa (“generarse ambientes”, “una ayuda legítima”) que afectan la claridad comunicativa.</t>
  </si>
  <si>
    <t>GERALDINE ESPERANZA SALAS CASTILLO</t>
  </si>
  <si>
    <t>GERALDINE ESPERANZA</t>
  </si>
  <si>
    <t>El desempeño muestra un contraste importante entre las dos actividades: la primera evidencia graves deficiencias conceptuales, formales y técnicas, mientras que la segunda, aunque correcta en algunos aspectos básicos, carece de la profundidad crítica y normativa necesaria para alcanzar un nivel óptimo.
En la primera actividad, se constata una confusión conceptual seria sobre la institución del precario, al definir incorrectamente la exigencia de “sin previo contrato”. El desarrollo argumentativo es superficial y limitado, ya que no incorpora de forma sistemática los conceptos técnicos solicitados como interpretación extensiva, analogía, seguridad jurídica o incorrecta aplicación del derecho. Además, se observa un uso impreciso del lenguaje jurídico, empleando terminología básica de manera errada. La calidad formal del escrito es deficiente, con múltiples errores de puntuación, concordancia y redacción que comprometen la claridad y la profesionalidad del trabajo. La única fortaleza relativa se encuentra en la conexión básica establecida entre la filosofía de Finnis y el razonamiento del tribunal, aunque de manera muy incipiente. Para mejorar, será imprescindible: (i) un estudio sistemático de la institución del precario y sus requisitos; (ii) la incorporación de conceptos técnicos avanzados en la argumentación; (iii) la precisión en el uso de terminología jurídica; y (iv) una revisión integral de la escritura académica para eliminar errores graves de forma.
En la segunda actividad, se observa un desempeño más sólido en lo conceptual, ya que identifica correctamente los mecanismos de participación de NNA —derecho a ser oído, audiencias adaptadas y obligación de motivación de su opinión—, estableciendo la vinculación con la autonomía progresiva y el interés superior del niño. Sin embargo, el análisis del enfoque de género y de las desigualdades estructurales es excesivamente genérico, pues no cita ni desarrolla disposiciones normativas concretas ni recurre a estándares internacionales (CEDAW, Convención de Belém do Pará, Convención sobre los Derechos del Niño). La perspectiva interseccional apenas se menciona sin elaborar los cruces relevantes entre género, clase, edad o etnia en el acceso a la justicia de NNA. El lenguaje jurídico utilizado es en general adecuado, pero la fundamentación sería más robusta con referencias explícitas a artículos de la Ley N° 21.430, del Código Civil o de instrumentos internacionales en derechos de infancia.</t>
  </si>
  <si>
    <t>EVELYN CRISSNA ANCAVIL HUENTEMILLA</t>
  </si>
  <si>
    <t>ANCAVIL</t>
  </si>
  <si>
    <t>HUENTEMILLA</t>
  </si>
  <si>
    <t>EVELYN CRISSNA</t>
  </si>
  <si>
    <t xml:space="preserve"> El desempeño en ambas actividades refleja un nivel avanzado de análisis jurídico y madurez académica, destacando tanto en el manejo técnico de las instituciones del derecho civil como en la reflexión crítica sobre reformas legislativas en materia de infancia y familia.
En la primera actividad, se observa una excelente comprensión de la institución del precario y de sus elementos conforme al artículo 2195 del Código Civil. La estudiante desarrolla una argumentación jurídica sólida y rigurosa, adoptando la posición opuesta al tribunal con fundamentación completa y coherente. Destaca especialmente la conexión específica y detallada con la teoría de John Finnis, reconociendo cómo el matrimonio como bien humano básico se articula con la protección judicial, proyectando así un razonamiento que une teoría académica y práctica jurisdiccional. El uso del lenguaje jurídico técnico es preciso y apropiado, lo que refleja dominio conceptual. El nivel de análisis es avanzado, pues identifica cada elemento del precario y logra integrarlos en el debate doctrinal y jurisprudencial. Como áreas de mejora, se recomienda: (i) profundizar la reflexión ética sobre la justicia de la sentencia, incorporando con mayor amplitud el debate entre derecho positivo, equidad y justicia social; y (ii) perfeccionar aspectos formales de redacción y puntuación para asegurar la máxima claridad comunicativa.
En la segunda actividad,  alcanza un rendimiento sobresaliente, con un análisis profundo y crítico que trasciende la mera descripción normativa hacia una visión estructural transformadora del rol de los tribunales de familia. Destaca el manejo magistral del enfoque de género e interseccionalidad, al identificar medidas específicas del proyecto como las unidades técnicas especializadas y los curadores ad litem capacitados en derechos de infancia, y al articular con claridad que el proceso judicial debe corregir, y no reproducir, desigualdades estructurales. La perspectiva interseccional es auténtica y sofisticada, considerando explícitamente múltiples variables —género, edad, pobreza, origen étnico— y explicando cómo se entrecruzan para agravar vulnerabilidades. Su manejo del lenguaje jurídico es avanzado, preciso y técnico, con plena conciencia del rol profesional de las/los abogados como agentes de transformación social. La respuesta está, además, enriquecida con una excelente contextualización histórica, vinculando el estallido social de 2019 y la dictación de la Ley N° 21.430 de 2022 como motivaciones legislativas claves</t>
  </si>
  <si>
    <t>ESTEBAN NICOLAS MÉNDEZ MUÑOZ</t>
  </si>
  <si>
    <t>MÉNDEZ</t>
  </si>
  <si>
    <t>ESTEBAN NICOLAS</t>
  </si>
  <si>
    <t>El desempeño del estudiante en ambas actividades evidencia avances parciales en la comprensión de instituciones jurídicas y en el manejo del derecho positivo, pero también deficiencias conceptuales, técnicas y formales relevantes que deben ser corregidas con urgencia para consolidar las competencias propias del perfil intermedio en Derecho.
En la primera actividad, se reconoce como fortaleza la adopción de posiciones claras respecto de la procedencia del precario, citando el art. 2195 CC e identificando adecuadamente algunos de sus elementos básicos. También destaca la argumentación sobre la pérdida de facultades tras la venta del inmueble, así como la conexión —aunque inicial y parcial— entre la filosofía de Finnis y el razonamiento del tribunal, reconociendo la importancia del matrimonio desde perspectivas jurídicas y filosóficas. Sin embargo, estas virtudes se ven opacadas por deficiencias conceptuales importantes: se caracteriza erróneamente la ocupación como “por mera tolerancia”, lo que contradice la argumentación necesaria para fundamentar un verdadero caso de precario. El análisis ético es superficial, pues no incorpora conceptos técnicos solicitados (interpretación extensiva, seguridad jurídica, analogía, incorrecta aplicación del derecho), y la terminología jurídica se utiliza de manera imprecisa, lo que compromete la claridad técnica. A lo anterior se suma una calidad formal deficiente, con múltiples errores de puntuación, concordancia y expresiones inadecuadas que afectan el nivel académico del escrito. Para mejorar, el estudiante debe: (i) corregir confusiones conceptuales mediante estudio sistemático de las instituciones básicas; (ii) profundizar en el análisis crítico incorporando conceptos técnicos avanzados; (iii) perfeccionar el uso de la terminología jurídica y la estructura argumentativa; y (iv) elevar sustancialmente la calidad formal y redaccional de la entrega.
En la segunda actividad, el desempeño resulta insuficiente para el nivel esperado. Si bien se identifican algunos mecanismos contemplados en el proyecto —como la protección reforzada en violencia intrafamiliar (VIF) y los curadores ad litem especializados en derechos de infancia—, el análisis es superficial y carece de profundidad crítica. No se logra articular de manera coherente el enfoque de género del proyecto de ley, ni se identifican medidas específicas relacionadas con la protección de mujeres, niñas y adolescentes en contextos familiares. La ausencia total de perspectiva interseccional y el tratamiento superficial de las desigualdades estructurales constituyen debilidades significativas que limitan la proyección profesional del análisis. Además, aunque se emplean algunos términos técnicos adecuados, el lenguaje jurídico en general carece de rigor y precisión profesional, quedando por debajo de los estándares académicos de la evaluación.</t>
  </si>
  <si>
    <t>ANAÍS POLIETT CASTILLO PUGA</t>
  </si>
  <si>
    <t>PUGA</t>
  </si>
  <si>
    <t>ANAÍS POLIETT</t>
  </si>
  <si>
    <t>El desempeño del estudiante evidencia una comprensión incipiente de los contenidos jurídicos y sociales, pero presenta deficiencias técnicas, conceptuales y formales importantes que comprometen la calidad general de las respuestas.
En la primera actividad, se aprecia un esfuerzo por comprender el caso y tomar posición ética al valorar la protección del matrimonio, lo cual refleja cierta coherencia y sensibilidad moral. Asimismo, la correlación con la filosofía de John Finnis es pertinente al reconocer la relevancia del matrimonio como bien humano básico. Sin embargo, el análisis jurídico resulta confuso y carece de sistematicidad: no se desarrollan de manera ordenada los requisitos legales del precario según el art. 2195 del Código Civil, y la argumentación se limita a aspectos narrativos sin profundizar en la estructura normativa. El posicionamiento ético carece de conceptos jurídicos específicos (como seguridad jurídica, interpretación extensiva o analogía) y la relación con Finnis solo aborda parcialmente los elementos constitutivos de fides y procreación. Además, el lenguaje jurídico presenta múltiples imprecisiones, adoptando un registro demasiado informal, y la calidad formal es deficiente, con numerosos errores ortográficos, sintácticos y de construcción que afectan la claridad expositiva. Para mejorar, el estudiante debe: (i) desarrollar sistemáticamente los requisitos del precario con cita expresa al art. 2195 CC, (ii) enriquecer el análisis ético con categorías técnico-jurídicas, (iii) profundizar la aplicación de los elementos de Finnis al considerando quinto, (iv) adoptar un registro más técnico y formal, y (v) corregir errores ortográficos y sintácticos para ajustarse a un estándar académico.
En la segunda actividad, se valoran la identificación correcta de fenómenos sociales relevantes, como la violencia intrafamiliar y el maltrato institucional hacia NNA, lo que demuestra sensibilidad hacia los contextos en los que opera el derecho de familia. No obstante, el desarrollo es superficial y carece de profundidad normativa y crítica. Tanto el enfoque de género como la perspectiva interseccional se abordan de manera vaga, sin mencionar medidas concretas ni articular cómo diversas categorías de vulnerabilidad (género, clase, edad, etnia) se cruzan en la práctica procesal. El lenguaje jurídico es limitado y a veces coloquial, reduciendo el rigor profesional esperado. Para mejorar, se recomienda: (i) fortalecer la argumentación con referencias normativas específicas (Ley N° 21.430, CEDAW, Convención sobre los Derechos del Niño), (ii) estructurar un análisis crítico profundo sobre género e interseccionalidad, demostrando cómo el proyecto de ley busca transformar desigualdades estructurales, y (iii) mejorar la precisión terminológica y la formalidad del registro académico.</t>
  </si>
  <si>
    <t>GUSTAVO DANIEL ILAN QUEZADA GONZÁLEZ</t>
  </si>
  <si>
    <t>QUEZADA</t>
  </si>
  <si>
    <t>GUSTAVO DANIEL ILAN</t>
  </si>
  <si>
    <t>DANIA BELÉN ROJAS SAN MARTÍN</t>
  </si>
  <si>
    <t>SAN MARTÍN</t>
  </si>
  <si>
    <t>DANIA BELÉN</t>
  </si>
  <si>
    <t>El trabajo revela un dominio sólido y avanzado en la primera actividad, con un manejo conceptual y formal notable, mientras que en la segunda actividad, si bien hay claridad en aspectos básicos, el análisis aún requiere mayor profundidad normativa, crítica e interseccional para alcanzar un nivel óptimo en todos los criterios de evaluación.
En la primera actividad, destaca la correlación conceptual superior entre la filosofía de Finnis y el razonamiento del tribunal, al establecer que ambas visiones coinciden en otorgar al matrimonio un valor ético y jurídico que trasciende lo contractual o formal. Este enfoque demuestra capacidad analítica avanzada y una adecuada integración entre teoría académica y razonamiento jurisdiccional. El lenguaje jurídico especializado empleado es técnico, riguroso y preciso, y la calidad formal del texto es profesional, sin errores significativos que comprometan claridad o coherencia. Asimismo, la estudiante adopta posturas coherentes sobre la idoneidad del precario y valora de manera equilibrada la interpretación del tribunal como una síntesis entre derecho positivo y justicia social. Como aspecto de mejora, se sugiere: (i) realizar la citación explícita al art. 2195 del Código Civil, desarrollando exhaustivamente cada uno de sus requisitos; y (ii) incorporar de manera sistemática los conceptos técnicos solicitados por la consigna (interpretación extensiva, analogía, seguridad jurídica), lo que elevaría aún más el nivel de solidez jurídica y ética del análisis.
En la segunda actividad, cumple correctamente con la identificación de los mecanismos de participación del NNA —derecho a ser oído, audiencias específicas y obligación de motivación judicial—, vinculándolos adecuadamente con la autonomía progresiva y el interés superior del niño. No obstante, el análisis de género y de desigualdades estructurales resulta demasiado genérico, al no precisar disposiciones normativas concretas ni articular con estándares internacionales relevantes (CEDAW, Convención de Belém do Pará, Convención sobre los Derechos del Niño). De igual manera, la perspectiva interseccional es limitada, reducida a la mera mención de organismos intervinientes, sin desarrollar cómo factores sociales como género, edad, pobreza u origen étnico se cruzan en la experiencia judicial. El lenguaje jurídico empleado es adecuado, aunque el análisis se beneficiaría con referencias específicas a artículos de la Ley N° 21.430, el Código Civil o tratados internacionales, para reforzar la fundamentación normativa y elevar la solidez profesional</t>
  </si>
  <si>
    <t>CLAUDIO IGNACIO ARANCIBIA VARAS</t>
  </si>
  <si>
    <t>VARAS</t>
  </si>
  <si>
    <t>CLAUDIO IGNACIO</t>
  </si>
  <si>
    <t>El trabajo evidencia un desempeño desigual entre ambas actividades: en la primera demuestra comprensión sólida y argumentación consistente, mientras que en la segunda, a pesar de un buen manejo terminológico y normativo básico, persisten debilidades analíticas críticas que limitan el alcance de la evaluación.
En la primera actividad, demuestra un buen dominio de la institución del precario, articulando de forma adecuada los requisitos legales del art. 2195 del Código Civil, y oponiéndose de manera pertinente a la postura del tribunal al criticar su incorrecta aplicación del derecho por privilegiar consideraciones matrimoniales sobre los elementos normativos. Se valora también la conexión conceptual con John Finnis, al reconocer el matrimonio como bien humano básico y relacionarlo con la valoración ética y jurídica de la casa común. El uso del lenguaje jurídico es claro y con rigor técnico. Sin embargo, para alcanzar un nivel óptimo, resulta fundamental (i) precisar con más claridad la operatividad de la “mera tolerancia” como elemento del precario, (ii) enriquecer la reflexión ética con conceptos técnicos específicos como seguridad jurídica y analogía, y (iii) profundizar en la correlación académica entre los dos fines propuestos por Finnis (fides y procreación) y el considerando quinto de la sentencia, a fin de robustecer la integración entre filosofía y derecho positivo.
En la segunda actividad, se evidencian fortalezas en el uso del lenguaje jurídico técnico, empleando de forma adecuada expresiones como “sujetos de derecho”, “hechos fácticos y jurídicos”, “interés superior del niño” y “principio rector procedimental”. Asimismo, identifica correctamente los mecanismos de participación de los NNA y los vincula con el debido proceso, en particular con el derecho a ser oído. Estas respuestas son concisas y van al punto, abordando los elementos básicos requeridos. No obstante, presenta serias deficiencias analíticas: el enfoque de género es extremadamente superficial, limitado a mencionar “las particularidades de ser mujer” sin un desarrollo estructural; no incorpora perspectiva interseccional, ni profundiza en cómo el proceso judicial podría reproducir o transformar desigualdades estructurales; y el desarrollo contextual —aunque menciona el estallido social— es general y carente de vinculación con acontecimientos políticos específicos recientes. Para mejorar sustancialmente, el estudiante debe: (i) ampliar su capacidad de análisis crítico, integrando una auténtica perspectiva de género e interseccional, (ii) reforzar el desarrollo conceptual y normativo con citas a la Ley N° 21.430, el Código Civil y tratados internacionales; y (iii) evolucionar hacia respuestas más profundas y comprehensivas, superando el estilo telegráfico a fin de demostrar madurez en el razonamiento jurídico-social.</t>
  </si>
  <si>
    <t>ALEXANDRA TRINIDAD MENARES PÉREZ</t>
  </si>
  <si>
    <t>MENARES</t>
  </si>
  <si>
    <t>ALEXANDRA TRINIDAD</t>
  </si>
  <si>
    <t>MARTÍN XAVIER GARCÍA GATICA</t>
  </si>
  <si>
    <t>GATICA</t>
  </si>
  <si>
    <t>MARTÍN XAVIER</t>
  </si>
  <si>
    <t>El desempeño del estudiante refleja un avance adecuado en la comprensión de las instituciones jurídicas y en la integración de razonamientos filosóficos y normativos, aunque todavía existen áreas críticas de mejora en profundidad técnica, análisis crítico y vinculación con estándares internacionales.
En la primera actividad, se aprecia que el estudiante adopta posturas claras frente a las preguntas planteadas, utilizando un lenguaje jurídico apropiado, incluso incorporando principios fundamentales como pacta sunt servanda. La respuesta también establece conexiones correctas entre la filosofía de John Finnis y el razonamiento del tribunal, reconociendo el matrimonio como bien humano básico que trasciende lo meramente contractual. Destaca además su comprensión básica de los elementos del precario en el art. 2195 del Código Civil y el reconocimiento de la importancia de la inscripción conservatoria como prueba del dominio. Sin embargo, requiere avanzar en un análisis crítico más profundo y técnico, especialmente en conceptos señalados en la consigna como interpretación extensiva y seguridad jurídica. También es necesario argumentar exhaustivamente sobre todos los elementos del artículo 2195, evitando un tratamiento parcial, y fortalecer el rigor analítico en su posicionamiento ético. Finalmente, debe poner atención a la precisión terminológica y mejorar algunos aspectos de redacción formal para alcanzar el nivel óptimo esperado.
En la segunda actividad, la respuesta se caracteriza por un adecuado manejo del lenguaje jurídico y por la identificación correcta de las innovaciones procesales introducidas por el proyecto, especialmente las audiencias adaptadas a NNA y la obligación de motivación judicial, vinculándolas al derecho a ser oído y a la autonomía progresiva. No obstante, el análisis presenta carencias significativas: el enfoque de género y de desigualdades estructurales se aborda de manera superficial, sin integrar protocolos concretos ni relacionarlos con estándares internacionales relevantes. Además, no se desarrolla una auténtica perspectiva interseccional que muestre cómo se cruzan variables como género, edad, clase u origen en el acceso a la justicia. Para elevar el nivel de la respuesta, se recomienda: (i) referenciar artículos concretos del proyecto de ley; (ii) vincular expresamente el análisis a tratados internacionales como la CEDAW y la Convención sobre los Derechos del Niño; y (iii) profundizar en la explicación de los cruces entre diferentes categorías sociales, mostrando cómo inciden en la práctica judicial.</t>
  </si>
  <si>
    <t>JAEL IGNACIA ESPINOZA CHACÓN</t>
  </si>
  <si>
    <t>ESPINOZA</t>
  </si>
  <si>
    <t>CHACÓN</t>
  </si>
  <si>
    <t>JAEL IGNACIA</t>
  </si>
  <si>
    <t xml:space="preserve">El desempeño en ambas actividades refleja un nivel avanzado de argumentación jurídica, manejo técnico y comprensión crítica de los fenómenos jurídicos y sociales, con fortalezas notorias y algunas áreas puntuales de mejora que, al ser trabajadas, permitirán alcanzar un rendimiento de excelencia.
En la primera actividad, la argumentación es coherente, bien estructurada y deja en evidencia una comprensión profunda de la institución del precario y de sus elementos constitutivos según el art. 2195 del CC. La estudiante adopta con éxito una postura contraria a la del tribunal, sustentada en fundamentos sólidos en derecho, lo que demuestra habilidades argumentativas de alto nivel. Destaca especialmente su análisis ético, que reconoce la complejidad del caso sin perder de vista la importancia de la seguridad jurídica y de la correcta aplicación del derecho positivo. El lenguaje jurídico empleado es preciso y riguroso, y la redacción cumple con los estándares formales exigidos, mostrando profesionalismo académico. La única debilidad apreciada se encuentra en la pregunta 3, cuya respuesta quedó algo incompleta y apresurada: si bien identifica la conexión entre Finnis y el considerando 5° de la sentencia, no profundiza en los elementos específicos que vinculan ambos razonamientos (fides y procreación con la valoración del tribunal sobre la casa común). Para optimizar, se recomienda dedicar mayor atención a desarrollar integralmente todas las preguntas, especialmente en aquellas que exigen correlaciones filosófico‑jurídicas más complejas.
En la segunda actividad, presenta un análisis claro y consistente de los mecanismos de participación efectiva de NNA, vinculándolos al principio de autonomía progresiva y al estándar del derecho a ser oído. Su evaluación del enfoque de género es acertada al reconocer la vulnerabilidad diferenciada de niñas y adolescentes y la pertinencia de medidas específicas en contextos de violencia intrafamiliar. Además, su reflexión integra fenómenos sociales recientes, como la reforma del SENAME y la entrada en vigor de la Ley N° 21.340, evidenciando conciencia de la necesidad de adecuación normativa al contexto sociopolítico contemporáneo. También se valora la incorporación de una perspectiva interseccional centrada en género y edad, y la mención de la coordinación interinstitucional, lo que muestra una visión multifactorial del derecho de familia. El uso del lenguaje jurídico es riguroso y profesional, incluyendo referencias a estándares del debido proceso y al rol del abogado/a como agente proactivo de defensa de derechos. Para fortalecer aún más el análisis, se recomienda: (i) fundamentar con instrumentos internacionales de igualdad (CEDAW, Convención de Belém do Pará, Convención sobre los Derechos del Niño), y (ii) expandir la interseccionalidad a variables adicionales como clase y etnia, lo que enriquecería la mirada crítica hacia las desigualdades estructurales.
</t>
  </si>
  <si>
    <t>FELIPE ALEJANDRO VARELA HUAIQUIPÁN</t>
  </si>
  <si>
    <t>VARELA</t>
  </si>
  <si>
    <t>HUAIQUIPÁN</t>
  </si>
  <si>
    <t>FELIPE ALEJANDRO</t>
  </si>
  <si>
    <t>El desempeño del estudiante en las dos actividades evidencia un nivel inicial de comprensión, con logros puntuales en la identificación de normas e instituciones relevantes, pero también con deficiencias técnicas y críticas que limitan la solidez del análisis.
En la primera actividad, se reconoce que el estudiante conoce los conceptos generales sobre el precario y cita la normativa central (art. 2195 CC), lo que permite identificar que maneja un marco de referencia básico. Sin embargo, el análisis resulta incompleto y poco estructurado, sin profundizar en los elementos técnicos específicos del precario (dominio, ocupación, “sin previo contrato” y “mera tolerancia”) ni en su aplicación concreta al caso. Las conexiones entre ética, justicia y derecho aparecen tratadas de manera superficial, sin apoyo en categorías jurídicas como seguridad jurídica, analogía o interpretación extensiva, que habrían enriquecido la valoración de la sentencia. El lenguaje escrito y la argumentación carecen a veces de rigor técnico y claridad, con problemas de estructura y revisión ortográfica que afectan la calidad formal del trabajo. Para mejorar, se recomienda: (i) una lectura comprensiva y sistemática del art. 2195 CC, (ii) un desarrollo más sólido de la justificación de las posturas, y (iii) un mayor cuidado en la expresión jurídica y gramatical, para alcanzar precisión terminológica y claridad argumentativa.
En la segunda actividad, se observa un desempeño más consistente. El estudiante identifica y explica correctamente los mecanismos de participación de NNA introducidos por el proyecto de ley —derecho a ser oído directamente, audiencias especializadas y obligación de motivación judicial—, vinculándolos de forma adecuada con la autonomía progresiva y el interés superior del niño. No obstante, el análisis del enfoque de género y de desigualdades estructurales carece de concreción normativa y de profundidad crítica, limitándose a menciones generales sin citar protocolos o estándares internacionales. La perspectiva interseccional se menciona, pero no se desarrolla cómo distintas variables sociales (género, edad, pobreza, origen étnico) se entrecruzan en el acceso a la justicia. El uso del lenguaje jurídico es correcto, aunque la fundamentación se fortalecería si se incluyeran citas precisas a artículos de la Ley N° 21.430, al Código Civil o a la Convención sobre los Derechos del Niño, lo que brindaría mayor fuerza normativa al análisis</t>
  </si>
  <si>
    <t>GONZALO MATÍAS GALLEGUILLOS CATALÁN</t>
  </si>
  <si>
    <t>GONZALO MATÍAS</t>
  </si>
  <si>
    <t>El desempeño del estudiante muestra un nivel jurídico avanzado en la primera actividad, con argumentación técnica y crítica de gran solidez, mientras que en la segunda actividad, aunque correcta en los aspectos básicos, adolece de falta de profundidad en los análisis de género e interseccionalidad, lo cual impide alcanzar un rendimiento homogéneo de excelencia en ambas evaluaciones.
En la primera actividad, el estudiante elabora una argumentación jurídica impecable sobre los elementos del precario, demostrando comprensión sofisticada al distinguir con corrección entre la cesación de la causa habilitante y la ausencia de vínculo jurídico frente a la nueva propietaria. Su análisis crítico destaca, al evaluar con rigor excepcional la tensión existente entre las consideraciones éticas y la aplicación correcta del derecho positivo, integrando de forma atinada conceptos como la interpretación extensiva y la seguridad jurídica. Se observa además un uso altamente preciso y profesional del lenguaje jurídico, con terminología especializada (terceros adquirentes de buena fe, perspectiva axiológica), lo que refleja madurez académica y proyección profesional. Las únicas áreas menores de mejora se concentran en: (i) profundizar la correlación conceptual entre Finnis y el tribunal, especialmente en cómo los fines constitutivos del matrimonio se reflejan en el considerando 5°; y (ii) corregir detalles menores de redacción, que no afectan la comprensión del trabajo pero restan pulcritud formal.
En la segunda actividad, si bien el estudiante describe correctamente las innovaciones procesales del proyecto de ley, en particular las audiencias adaptadas y la obligación de motivación judicial, y emplea un lenguaje jurídico pertinente, el análisis resulta superficial en materia de género y desigualdades estructurales. No se profundiza en medidas específicas de protección ni se las enmarca en estándares internacionales vinculantes, como la CEDAW o la Convención sobre los Derechos del Niño. Asimismo, la referencia a la interseccionalidad es insuficiente, ya que no se desarrolla cómo distintas categorías sociales (género, edad, origen étnico, clase) se entrecruzan en el acceso a la justicia y configuran desigualdades complejas. Para alcanzar un nivel superior de análisis, se recomienda: (i) identificar y examinar disposiciones concretas del proyecto (como protocolos de riesgo de género o medidas de protección reforzada frente a VIF), (ii) incorporar citas explícitas de tratados internacionales de igualdad y derechos humanos, y (iii) enriquecer la reflexión con un enfoque interseccional real y articulado, que supere la mención superficial y despliegue un análisis integral de vulnerabilidades múltiples.</t>
  </si>
  <si>
    <t>TOMÁS IGNACIO ALEJANDRO CURIHUENTRO CRISTI</t>
  </si>
  <si>
    <t>CURIHUENTRO</t>
  </si>
  <si>
    <t>CRISTI</t>
  </si>
  <si>
    <t>TOMÁS IGNACIO ALEJANDRO</t>
  </si>
  <si>
    <t xml:space="preserve">Comentarios actividad uno: demuestra un muy buen dominio de la institución del precario, desarrollando coherentemente los tres requisitos copulativos y articulando argumentos sólidos sobre la procedencia de la acción. Su análisis ético es excepcional, planteando reflexiones profundas sobre la tensión entre interpretación judicial y seguridad jurídica, incorporando múltiples nociones jurídicas avanzadas. La correlación con Finnis es académicamente brillante, estableciendo conexiones precisas entre filosofía del derecho y razonamiento judicial. El lenguaje jurídico es técnico, preciso y apropiado. Para perfeccionar, debe citar específicamente el art. 2195 CC y mejorar aspectos menores de construcción sintáctica.Actividad dos, verificar si se envío por correo. </t>
  </si>
  <si>
    <t>FRANCISCA VALENTINA ORREGO SÁEZ</t>
  </si>
  <si>
    <t>ORREGO</t>
  </si>
  <si>
    <t>SÁEZ</t>
  </si>
  <si>
    <t>FRANCISCA VALENTINA</t>
  </si>
  <si>
    <t>El desempeño del estudiante refleja un dominio técnico‑jurídico avanzado en la primera actividad y un nivel satisfactorio, aunque con espacio de profundización, en la segunda. La evidencia muestra que se encuentra en un proceso sólido de consolidación de competencias propias del perfil intermedio de Derecho, con un desarrollo notable de la argumentación y del uso del lenguaje jurídico, pero aún con áreas puntuales de mejora que lo pueden llevar a un nivel de excelencia integral.
En la primera actividad, el estudiante elabora un análisis técnico impecable sobre la idoneidad del precario, citando expresamente los arts. 2195 y 582 del Código Civil y desarrollando exhaustivamente los requisitos copulativos. Su argumentación se distingue por incorporar elementos clave del dominio (“sin respecto a dueños anteriores ni sus cónyuges”) para concluir con precisión que no existe justificación válida para la ocupación, demostrando comprensión profunda de la figura. El posicionamiento ético crítico es sobresaliente, al identificar vulneraciones de seguridad jurídica derivadas de “interpretaciones subjetivas” y “argumentos ambiguos”, señalando que el tribunal incurrió en una “decisión arbitraria” contraria al derecho de dominio. Se valora que haya integrado de forma explícita los conceptos técnicos solicitados —como seguridad jurídica, interpretación extensiva y aplicación del derecho positivo— con un desarrollo ejemplar, evidenciando comprensión avanzada de las tensiones entre ética y norma. La única oportunidad menor de mejora se ubica en la tercera dimensión: se sugiere profundizar los aspectos técnicos de la correlación conceptual con Finnis y el considerando 5° del tribunal, para alcanzar un nivel óptimo completo en vinculación filosófico‑jurídica avanzada.
En la segunda actividad, el estudiante alcanza un nivel satisfactorio y consistente, con una comprensión equilibrada del enfoque de género e interseccionalidad del proyecto de ley. Se destaca su capacidad para identificar y articular múltiples dimensiones de desigualdad —género, socioeconómico e intersectorial— y explicar de manera coherente cómo el proyecto busca atender vulneraciones específicas en materia de género y niñez. El lenguaje jurídico empleado es preciso, denotando comprensión adecuada del contexto procesal familiar y del rol del abogado/a en la defensa de derechos. No obstante, para alcanzar un nivel superior u óptimo, se requiere (i) profundizar en la fundamentación normativa internacional con citas a instrumentos como la CEDAW, la Convención sobre los Derechos del Niño y la Convención de Belém do Pará, y (ii) desarrollar de manera más específica cómo las medidas concretas del proyecto contribuyen a transformar desigualdades estructurales en el funcionamiento del proceso judicial familiar.</t>
  </si>
  <si>
    <t>BENJAMÍN ARTURO ROJAS GARCÍA</t>
  </si>
  <si>
    <t>BENJAMÍN ARTURO</t>
  </si>
  <si>
    <t>El desempeño del estudiante evidencia un buen nivel de comprensión técnica y crítica en ambas actividades, con claras fortalezas en el uso de lenguaje jurídico y en la identificación de los requisitos normativos, aunque persisten oportunidades de mejora en la profundización conceptual, en la referencia a estándares internacionales y en la corrección formal de la redacción.
En la primera actividad, se aprecia un análisis técnico completo del precario, con cita explícita al art. 2195 del CC y el desarrollo preciso de los tres requisitos copulativos. Además, el estudiante incorpora consideraciones de justicia social y de género, construyendo una postura crítica coherente sobre la tensión existente entre el derecho de propiedad y la protección matrimonial. También se destaca la correcta identificación de la conexión entre la filosofía de John Finnis y el razonamiento del tribunal. El lenguaje utilizado es apropiado y se observan avances en el manejo terminológico. No obstante, persisten áreas de mejora: (i) la incorporación sistemática de los conceptos técnicos solicitados (interpretación extensiva, analogía, seguridad jurídica), (ii) una mayor profundización en la correlación conceptual avanzada entre Finnis y el considerando 5° de la sentencia, y (iii) la corrección de los errores de redacción y ortografía detectados, que afectan la presentación formal del trabajo.
En la segunda actividad, el estudiante expone con precisión los mecanismos de participación de NNA —derecho a ser oído, audiencias adaptadas y motivación judicial de su opinión—, articulándolos correctamente con la autonomía progresiva y el principio del interés superior del niño. El análisis de género es relevante al destacar la protección reforzada en violencia intrafamiliar y la implementación de unidades técnicas especializadas dentro de los tribunales. Sin embargo, falto reforzarlo con referencias a normas o convenios específicos (Ley N° 21.430, Constitución, Convención de los Derechos del Niño y CEDAW). En cuanto a la reflexión sobre desigualdades estructurales, se valora la identificación de la necesidad de superar formalismos y evitar la revictimización, proponiendo un rol activo y corrector del proceso judicial, aunque la perspectiva interseccional podría enriquecerse incluyendo otras variables sociales (clase, etnia, territorialidad) y su interacción. El lenguaje jurídico es adecuado y evidencia comprensión del rol profesional del abogado/a, pero la fundamentación ganaría fuerza con citas normativas concretas.</t>
  </si>
  <si>
    <t>CAMILA ANTONIA ARÉVALO VILLAGRA</t>
  </si>
  <si>
    <t>ARÉVALO</t>
  </si>
  <si>
    <t>VILLAGRA</t>
  </si>
  <si>
    <t>CAMILA ANTONIA</t>
  </si>
  <si>
    <t xml:space="preserve">
El desempeño del estudiante es sólido y consistente en ambas actividades, con claras fortalezas en el manejo técnico, la argumentación coherente y la utilización de un lenguaje jurídico profesional. No obstante, todavía se identifican áreas de mejora en sistematicidad, profundidad analítica y fundamentación internacional que son indispensables para alcanzar un nivel de excelencia académica acorde al perfil intermedio de Derecho.
En la primera actividad, se evidencia un dominio consistente de la institución del precario, articulando de forma coherente los fundamentos legales de su procedencia e integrando una visión crítica sobre la tensión entre el derecho de propiedad y la protección matrimonial. El análisis ético es particularmente destacable, pues equilibra de manera avanzada el derecho positivo con principios éticos generales, incorporando nociones técnicas como la seguridad jurídica y la correcta aplicación del derecho positivo. Asimismo, la correlación con Finnis es adecuada, ya que el estudiante identifica ambos elementos constitutivos del matrimonio (fides y procreación), aunque el desarrollo podría fortalecer aún más la conexión académica con el considerando quinto del tribunal. El lenguaje jurídico empleado es preciso y profesional, proyectando adecuadamente el rol de abogada. Como aspectos de mejora, se sugiere: (i) mayor sistematicidad en la exposición de los tres requisitos copulativos del art. 2195 CC, (ii) profundizar en la vinculación entre Finnis y la sentencia, y (iii) atender a pequeños aspectos formales de redacción para perfeccionar la presentación.
En la segunda actividad, el estudiante demuestra una comprensión integral del proyecto de ley, siendo su principal fortaleza la identificación y explicación detallada de los mecanismos de participación de los NNA. Destaca la correcta articulación entre el derecho a ser oído, las audiencias adaptadas y la obligación de motivación judicial con el principio de autonomía progresiva. Su manejo del lenguaje jurídico es preciso, utilizando conceptos como sujetos de derecho, fundamentos jurídicos y fácticos y justicia procedimental. Asimismo, se valora su reconocimiento explícito del enfoque interseccional, al señalar que las desigualdades de género se entrelazan con otros factores, aunque esta perspectiva no se desarrolla plenamente. Sus respuestas son claras, estructuradas y abarcan todos los elementos solicitados, incluyendo la identificación pertinente de motivaciones legislativas concretas. La limitación principal consiste en que su análisis tiende a permanecer en un nivel general, sin profundizar lo suficiente en la conexión con estándares internacionales (CEDAW, Convención del Niño, Belém do Pará) ni en un desarrollo crítico sobre cómo el proceso judicial puede transformar desigualdades estructurales.
</t>
  </si>
  <si>
    <t>DANIELA ALEJANDRA COLLAO CHACALTANA</t>
  </si>
  <si>
    <t>COLLAO</t>
  </si>
  <si>
    <t>CHACALTANA</t>
  </si>
  <si>
    <t>DANIELA ALEJANDRA</t>
  </si>
  <si>
    <t>El trabajo del estudiante en ambas actividades evidencia un alto nivel de dominio técnico y argumentativo, con fundamentaciones sólidas y un manejo avanzado del lenguaje jurídico. Sus respuestas demuestran claridad conceptual y capacidad crítica, proyectando con madurez el rol de un/a futuro/a profesional del Derecho. No obstante, para alcanzar el nivel óptimo de excelencia académica, aún puede fortalecer la vinculación normativa internacional y el anclaje de sus análisis con fenómenos sociales concretos del contexto chileno reciente.
En la primera actividad, el análisis del precario es sistemático y riguroso, cumpliendo con los estándares más altos de argumentación. El estudiante desarrolla meticulosamente los tres requisitos copulativos del art. 2195 CC, fundamentando con precisión por qué no existe nexo jurídico válido entre la demandada y la nueva propietaria. Su posicionamiento ético es profundo, al reflexionar sobre la tensión entre la aplicación del derecho positivo y las consideraciones éticas, incorporando de manera sobresaliente nociones como seguridad jurídica y coherencia judicial. La correlación con John Finnis es académicamente brillante, al establecer conexiones claras entre la filosofía del matrimonio como bien humano básico y el razonamiento judicial sobre la casa común. Además, se observa un uso de lenguaje jurídico técnico, preciso y apropiado, proyectando un nivel profesional de alta calidad.
En la segunda actividad, el estudiante presenta un análisis sólido y detallado del proyecto de ley, destacando con acierto el impacto de las medidas reforzadas en contextos de violencia intrafamiliar y la importancia de la creación de unidades técnicas especializadas con enfoque de género en el ámbito judicial. Su desarrollo interseccional es especialmente valioso, al integrar múltiples categorías de vulnerabilidad (género, edad, condiciones socioeconómicas), lo que le otorga un enfoque integral y ajustado a los estándares contemporáneos de protección de derechos. Asimismo, el uso del lenguaje jurídico es adecuado y profesional, demostrando dominio conceptual de principios clave como la autonomía progresiva y el debido proceso. Como oportunidad de mejora, se recomienda: (i) enriquecer aún más el trabajo con referencias expresas a normas y tratados internacionales (CEDAW, Convención de Belém do Pará, Convención sobre los Derechos del Niño), y (ii) profundizar la vinculación con fenómenos sociales recientes, tales como el estallido social de 2019 y las demandas visibilizadas por movimientos feministas en Chile, para robustecer la dimensión sociojurídica del análisis.</t>
  </si>
  <si>
    <t>JOAQUÍN ABRAHAM ROMERO RAMÍREZ</t>
  </si>
  <si>
    <t>RAMÍREZ</t>
  </si>
  <si>
    <t>JOAQUÍN ABRAHAM</t>
  </si>
  <si>
    <t>IGNACIO ANTONIO VARGAS VALENZUELA</t>
  </si>
  <si>
    <t>IGNACIO ANTONIO</t>
  </si>
  <si>
    <t>JOSEFA PAZ ESPINOZA PENROZ</t>
  </si>
  <si>
    <t>PENROZ</t>
  </si>
  <si>
    <t>JOSEFA PAZ</t>
  </si>
  <si>
    <t>El desempeño muestra un nivel intermedio en el desarrollo de las dos actividades: en la primera, logra un trabajo correcto en lo básico pero limitado en profundidad; y en la segunda, un análisis más sólido y técnicamente preciso, aunque aún perfectible en vinculación internacional y en el desarrollo de la interseccionalidad.
En la primera actividad, demuestra una comprensión básica de los conceptos jurídicos centrales y consigue adoptar una postura coherente sobre la procedencia del precario. Reconoce con acierto la tensión entre las consideraciones éticas y la aplicación estricta del derecho positivo, así como la conexión entre Finnis y el tribunal, destacando el valor de la institución matrimonial y la estabilidad familiar. También utiliza terminología jurídica adecuada y refleja una comprensión general del caso. Sin embargo, se aprecia un déficit importante en la profundidad del análisis crítico. La pregunta 2, que exigía un examen de nociones como seguridad jurídica, interpretación extensiva y tensión derecho‑moral, es respondida de manera general y sin el rigor analítico esperado. Además, las respuestas, aunque correctas en dirección, carecen de un desarrollo exhaustivo de los argumentos. Finalmente, la calidad formal del trabajo se ve afectada por errores gramaticales y de concordancia (“un tercero ajena”, problemas de puntuación), lo que evidencia falta de revisión previa. Para mejorar: (i) revisar cuidadosamente ortografía, puntuación y concordancias antes de entregar; (ii) profundizar el análisis crítico de principios fundamentales; y (iii) elaborar respuestas más completas y sistemáticas, abarcando todos los elementos solicitados.
En la segunda actividad, se evidencia un desempeño más sólido y detallado. Analiza adecuadamente los mecanismos de participación de NNA, destacando la escucha activa, la motivación judicial y el vínculo con la autonomía progresiva. Su enfoque de género reconoce correctamente medidas de protección reforzada en violencia intrafamiliar y la capacitación permanente de jueces para garantizar esta perspectiva. La reflexión sobre desigualdades estructurales es pertinente, al mencionar la crisis de SENAME y la necesidad de respuestas intersectoriales, además de integrar una perspectiva interseccional de género y edad al señalar la coordinación entre organismos. El lenguaje jurídico es riguroso y académico, con referencias a estándares del debido proceso. Para perfeccionar, se recomienda: (i) incorporar citas a instrumentos internacionales (CEDAW, Belém do Pará, Convención sobre los Derechos del Niño); (ii) desarrollar con más detalle cómo las medidas concretas del proyecto contribuyen a reducir las desigualdades estructurales; y (iii) expandir la perspectiva interseccional, incluyendo otras variables sociales como clase y etnia, para robustecer el análisis crítico.</t>
  </si>
  <si>
    <t>EMILIA VALENTINA SEPÚLVEDA VARGAS</t>
  </si>
  <si>
    <t>SEPÚLVEDA</t>
  </si>
  <si>
    <t>EMILIA VALENTINA</t>
  </si>
  <si>
    <t>El rendimiento del estudiante en ambas actividades es muy sólido y avanzado, destacando tanto en el manejo técnico jurídico como en la construcción crítica de los argumentos. Sus respuestas reflejan un alto grado de madurez académica, con dominio del lenguaje especializado y capacidad de vincular el derecho positivo con principios ético‑jurídicos. No obstante, persisten pequeñas oportunidades de mejora en la referencia normativa internacional, la interseccionalidad y la concreción práctica de ciertos análisis.
En la primera actividad, el estudiante desarrolla un análisis técnico impecable del precario, con una comprensión sofisticada de la diferencia entre los vínculos jurídicos con propietario actual y propietario anterior y un dominio cabal de los derechos reales y su oponibilidad. El posicionamiento ético crítico es de excelencia, integrando de manera equilibrada conceptos solicitados como incorrecta aplicación del derecho y seguridad jurídica, sin perder el anclaje en el rigor normativo. Destaca especialmente la correlación conceptual superior entre John Finnis y el tribunal, que se plantea con profundidad académica pero manteniendo una perspectiva crítica sobre la tensión entre la ética y el derecho positivo. El lenguaje jurídico es técnico, especializado y preciso, evidenciando proyección profesional avanzada. Se trata de un desempeño de nivel sobresaliente.
En la segunda actividad, el estudiante expone con claridad los mecanismos de participación de niños, niñas y adolescentes, en especial el derecho a ser oído, las audiencias adaptadas y la obligación de motivación judicial de su opinión, los cuales articula correctamente con la autonomía progresiva y el interés superior del niño. El análisis de género es consistente al resaltar la protección reforzada en contextos de violencia intrafamiliar y la creación de unidades técnicas especializadas, aunque se aprecia la ausencia de referencias a normas o convenios específicos que le habrían otorgado mayor fuerza normativa (por ejemplo, CEDAW, Convención sobre los Derechos del Niño). La reflexión sobre desigualdades estructurales es acertada, reconociendo la necesidad de superar formalismos y evitar la revictimización, además de proponer un rol activo y corrector del proceso judicial. Sin embargo, la perspectiva interseccional aparece limitada, pues si bien alude a género y edad, requiere ampliarse a otras variables (clase, origen étnico, condición territorial). El lenguaje jurídico empleado es riguroso y adecuado, aunque la fundamentación se fortalecería con citas directas de artículos de la Ley N° 21.430, la Constitución y tratados internacionales vinculantes</t>
  </si>
  <si>
    <t>IGNACIA PALOMA ADAROS DURÁN</t>
  </si>
  <si>
    <t>ADAROS</t>
  </si>
  <si>
    <t>IGNACIA PALOMA</t>
  </si>
  <si>
    <t>CAMILA ANTONIA VERGARA ANDRADE</t>
  </si>
  <si>
    <t>ANDRADE</t>
  </si>
  <si>
    <t>CONSTANZA PILAR PANAYOTTI RIQUELME</t>
  </si>
  <si>
    <t>PANAYOTTI</t>
  </si>
  <si>
    <t>CONSTANZA PILAR</t>
  </si>
  <si>
    <t>El desempeño del estudiante presenta un contraste claro entre ambas actividades: mientras en la primera se observa sensibilidad ética y coherencia general, pero con serias deficiencias técnicas en el desarrollo de los elementos jurídicos, en la segunda se aprecia mayor precisión conceptual y una estructura de respuesta más sólida, aunque con espacios de mejora en el anclaje normativo e internacional.
En la primera actividad, se valoran positivamente la integración de consideraciones éticas y constitucionales, como la protección estatal del núcleo familiar y los efectos de la decisión en la hija de la demandada, así como la identificación de la conexión entre Finnis y el considerando quinto, resaltando el valor del matrimonio como bien básico ligado a la lealtad, compromiso y crianza. Estas reflexiones evidencian sensibilidad ética y social. No obstante, existen deficiencias técnicas críticas que comprometen notablemente el nivel del análisis: el estudiante confunde elementos fundamentales de la institución del precario, no cita explícitamente el art. 2195 del CC, ni desarrolla adecuadamente los tres requisitos copulativos (dominio, ocupación, mera tolerancia/ignorancia del dueño), desviando el foco hacia aspectos circunstanciales como el conocimiento de la compraventa. Tampoco justifica por qué sería idónea la acción de precario según sus reglas, ni integra los conceptos técnicos solicitados (seguridad jurídica, interpretación extensiva, analogía). El lenguaje jurídico empleado, si bien formal, presenta imprecisiones terminológicas y no alcanza el nivel de especialización requerido. Para mejorar se recomienda: (i) reforzar el manejo técnico del precario, citando y aplicando expresamente el art. 2195 CC; (ii) usar correctamente la terminología especializada (copulativo, mera tolerancia, vínculo jurídico); (iii) incorporar los conceptos doctrinales solicitados en los análisis críticos; y (iv) profundizar la argumentación hacia estándares jurídicos avanzados, equilibrando ética con rigor normativo.
En la segunda actividad, el estudiante muestra un desempeño más consistente. Explica con precisión los mecanismos de participación de NNA (derecho a ser oído, audiencias adaptadas y motivación judicial), y los articula adecuadamente con la autonomía progresiva. El análisis de género es pertinente al destacar la protección reforzada para niñas y adolescentes y la creación de unidades técnicas especializadas dentro de los tribunales. La reflexión sobre desigualdades estructurales es correcta, al señalar la superación de formalismos en favor de incidencias reales, aunque el enfoque interseccional se limita a género y edad, sin considerar otras variables sociales relevantes (clase, etnia, condición socioeconómica). El lenguaje jurídico es adecuado y académico, evidenciando comprensión del rol del abogado/a en la defensa de derechos. Para alcanzar un nivel óptimo, resulta necesario: (i) citar de manera más concreta normas legales e internacionales (Ley N° 21.430, Convención sobre los Derechos del Niño, CEDAW, Constitución); (ii) profundizar la interseccionalidad, ampliándola a otras categorías sociales; y (iii) vincular más críticamente las reformas con fenómenos sociales recientes en Chile, como demandas feministas o reformas institucionales</t>
  </si>
  <si>
    <t>BENJAMÍN DAVID ARAYA CARRASCO</t>
  </si>
  <si>
    <t>BENJAMÍN DAVID</t>
  </si>
  <si>
    <t>El desempeño del estudiante en ambas actividades evidencia comprensión general adecuada de los tópicos jurídicos tratados y sensibilidad frente a las dimensiones éticas y sociales, pero al mismo tiempo presenta limitaciones técnicas y analíticas significativas que restringen el alcance de sus respuestas.
En la primera actividad, se reconoce positivamente la identificación de los elementos esenciales del precario y la valoración de la dimensión ética del fallo, planteando la importancia de equilibrar norma jurídica y valores sociales. Asimismo, se destaca la conexión establecida entre la teoría de Finnis y el considerando judicial, reconociendo al matrimonio y la familia como bienes básicos. No obstante, la argumentación presenta errores relevantes: se confunde el fundamento jurídico de la mera tolerancia con la institución matrimonial, lo que debilita la justificación del tercer requisito del precario. Además, el análisis ético resulta poco concreto, sin ejemplos ni desarrollo de nociones clave (como seguridad jurídica, analogía o interpretación extensiva). La relación con Finnis carece de profundidad académica, limitándose a una mención general, sin explicar con detalle la fides y la procreación como fines constitutivos del matrimonio y su proyección en el razonamiento judicial. En lo formal, aunque el lenguaje es general y comprensible, requiere mayor precisión terminológica y sintáctica para proyectar un perfil de futura abogada con rigor técnico. Para avanzar, se recomienda: (i) clarificar técnica y conceptualmente los tres requisitos del precario frente al nuevo dueño; (ii) integrar las nociones jurídicas avanzadas (seguridad jurídica, interpretación extensiva, analogía) con ejemplos prácticos; (iii) desarrollar con detalle la teoría de Finnis conectada al considerando; y (iv) perfeccionar la terminología y construcción de las frases.
En la segunda actividad, el trabajo refleja un conocimiento básico del marco normativo propuesto, identificando correctamente los mecanismos de participación de NNA (audiencias específicas, cambios normativos en los códigos Civil y de Procedimiento Civil, y creación de unidades técnicas especializadas). Sin embargo, el análisis se mantiene en un nivel general, sin llegar a la profundidad requerida. El enfoque de género e interseccional aparece solo en menciones superficiales y declarativas, sin apoyo en estándares internacionales ni análisis estructural de desigualdades. Además, el uso del lenguaje jurídico es básico y contiene imprecisiones técnicas (v.g., uso incorrecto de “jurisprudencia” y frases confusas como “motivo de facto”). Una debilidad fundamental está en la pregunta sobre motivaciones legislativas, en la cual el estudiante omite por completo la referencia a acontecimientos políticos y sociales concretos en Chile de los últimos 10 años (por ejemplo, el estallido social de 2019, demandas feministas, o la crisis en el sistema de cuidado de NNA tras los informes sobre SENAME). Para mejorar de manera sustantiva, se recomienda: (i) profundizar el análisis crítico, superando la mera mención de categorías normativas; (ii) integrar una perspectiva interseccional real, mostrando cómo se entrecruzan género, edad, clase y etnia en las desigualdades; (iii) fortalecer la precisión técnica del lenguaje jurídico; y (iv) contextualizar normativamente los cambios a partir de fenómenos sociopolíticos específicos del Chile reciente.</t>
  </si>
  <si>
    <t>PAULLETE JUSTINE CASTRO ALARCÓN</t>
  </si>
  <si>
    <t>PAULLETE JUSTINE</t>
  </si>
  <si>
    <t>El desempeño del estudiante en ambas actividades refleja un nivel sobresaliente de análisis jurídico, argumentación crítica y uso de lenguaje especializado, evidenciando que sus respuestas no solo cumplen, sino que superan con creces las competencias esperadas en el perfil intermedio de Derecho.
En la primera actividad, se aprecia un dominio técnico riguroso de la institución del precario, mediante el desarrollo sistemático y fundamentado de los tres requisitos del art. 2195 CC. Destaca el análisis ético sofisticado, que incorpora nociones avanzadas como interpretación extensiva, seguridad jurídica y principio de legalidad, planteando reflexiones críticas y profundas acerca de la tensión entre sensibilidad social frente a la situación familiar y el respeto estricto al marco normativo. La correlación con Finnis es sólida y académicamente coherente, estableciendo vínculos precisos entre la filosofía del derecho matrimonial y el razonamiento judicial, especialmente en torno a los bienes básicos del matrimonio (fides y procreación) y su proyección en el considerando del fallo. El lenguaje jurídico empleado es técnico, preciso y especializado, proyectando una competencia profesional avanzada y un perfil de abogada/o con solidez crítica y formal.
En la segunda actividad, el nivel alcanzado es igualmente robusto y exhaustivo. El estudiante demuestra comprensión profunda del proyecto de ley y su contexto, vinculándolo correctamente con la Ley 21.430 y con tratados internacionales de derechos humanos (Convención sobre los Derechos del Niño, CEDAW, Belém do Pará). Se valora especialmente la identificación de fenómenos sociales recientes en Chile, como casos mediáticos de negligencia en materia de infancia y el impacto del estallido social de 2019 en la configuración de demandas de justicia y reformas institucionales. A ello se suma una articulación interseccional robusta, que integra múltiples categorías de desigualdad estructural (género, edad, factores socioeconómicos), aportando un análisis complejo y realista del acceso a la justicia familiar. Asimismo, se hace un uso impecable del lenguaje jurídico, y la argumentación se sustenta en estándares del debido proceso, en especial el derecho a una decisión fundada, fortaleciendo la transparencia y la rendición de cuentas en materias sensibles como la protección de NNA.</t>
  </si>
  <si>
    <t>PILAR ANTONIA KOCH QUILODRÁN</t>
  </si>
  <si>
    <t>KOCH</t>
  </si>
  <si>
    <t>QUILODRÁN</t>
  </si>
  <si>
    <t>PILAR ANTONIA</t>
  </si>
  <si>
    <t>FELIPE ANDRÉS SALDIVIA PÉREZ</t>
  </si>
  <si>
    <t>SALDIVIA</t>
  </si>
  <si>
    <t>FELIPE ANDRÉS</t>
  </si>
  <si>
    <t>CONSTANZA ANTONELLA BUSTAMANTE VÁSQUEZ</t>
  </si>
  <si>
    <t>VÁSQUEZ</t>
  </si>
  <si>
    <t>CONSTANZA ANTONELLA</t>
  </si>
  <si>
    <t>El trabajo del estudiante evidencia fortalezas iniciales en la identificación de los elementos normativos y socio‑éticos de los casos planteados, así como una comprensión general de las instituciones jurídicas involucradas, pero revela aún limitaciones importantes en profundidad técnica, precisión conceptual y calidad formal.
En la primera actividad, se reconoce la comprensión básica de la institución del precario y la capacidad de adoptar una posición clara tanto sobre su procedencia como en la valoración ética de la sentencia. También se destaca la pertinencia en la conexión establecida con la teoría de John Finnis, valorando el matrimonio y la familia como bienes básicos. Sin embargo, el análisis presenta debilidades notorias: falta de rigor técnico en el desarrollo sistemático de los tres requisitos del art. 2195 CC, ausencia de incorporación de nociones jurídicas avanzadas (como seguridad jurídica, interpretación extensiva, mera tolerancia), y una correlación con Finnis planteada de manera vaga y sin especificar los dos elementos constitutivos clave (fides y procreación). El posicionamiento ético, aunque adecuado, es superficial y no sustentado en conceptos doctrinales. En lo formal, el uso del lenguaje jurídico requiere mayor tecnicidad y profesionalismo, y la redacción debe ser afinada para proyectar mayor solidez académica.
En la segunda actividad, el estudiante demuestra mayor capacidad analítica al identificar medidas concretas previstas en el proyecto de ley, como la protección reforzada en contextos de violencia intrafamiliar o la capacitación obligatoria en enfoque de género. También es positivo que reconozca el estallido social de 2019 como contexto político‑social que motiva la reforma legal. No obstante, el desempeño adolece de limitaciones formales y técnicas: el lenguaje jurídico presenta inconsistencias, con imprecisiones terminológicas y gramaticales que restan claridad; y si bien se menciona la perspectiva interseccional, esta es presentada de forma muy general, sin analizar cómo se entrecruzan categorías sociales como género, edad, clase o etnia en el acceso a la justicia familiar.</t>
  </si>
  <si>
    <t>RICARDO IGNACIO ALTAMIRANO MORALES</t>
  </si>
  <si>
    <t>ALTAMIRANO</t>
  </si>
  <si>
    <t>MORALES</t>
  </si>
  <si>
    <t>RICARDO IGNACIO</t>
  </si>
  <si>
    <t xml:space="preserve">
El desempeño del estudiante en las dos actividades evidencia competencias desiguales: mientras en la primera se observa una comprensión muy superficial y con errores conceptuales graves, en la segunda se aprecia un manejo técnico considerablemente más sólido del lenguaje jurídico y de los estándares constitucionales.
En la primera actividad, el análisis revela una comprensión muy limitada de la institución del precario, llegando incluso a confundirla con figuras contractuales. Las respuestas son extremadamente breves y con falta de desarrollo técnico y académico, lo cual impide un razonamiento jurídico sólido. Aunque se reconoce la dimensión ética del caso, no logra articular ese aspecto con una aplicación consistente del derecho positivo. Tampoco se profundiza en la relación entre la teoría de Finnis y el considerando judicial, quedando relegada a menciones generales sin rigor académico. Para mejorar, resulta esencial: (i) estudiar sistemáticamente los tres requisitos del precario conforme al art. 2195 CC (dominio, ocupación y mera tolerancia/ignorancia del dueño); (ii) enriquecer el análisis ético con nociones como seguridad jurídica, justicia social e interpretación extensiva; (iii) desarrollar explícitamente los dos elementos constitutivos señalados por Finnis (fides y procreación) y su relación con los razonamientos del tribunal; y (iv) adoptar un lenguaje técnico-profesional, mejorando la calidad formal de la escritura.
En contraste, en la segunda actividad se identifica como principal fortaleza el manejo técnico del lenguaje jurídico, especialmente visible en la pregunta 4, donde se demuestra dominio del debido proceso constitucional al citar expresamente el artículo 19 N°3 de la Constitución, integrando correctamente nociones de debido proceso sustantivo y fundamentación razonada de resoluciones judiciales. Esta respuesta revela precisión jurídica adecuada al nivel intermedio. No obstante, el resto del trabajo adolece de debilidades analíticas críticas: las respuestas vinculadas al enfoque de género e interseccionalidad son declarativas y superficiales, sin conexión clara con las medidas del proyecto de ley ni con estándares internacionales. Aunque se mencionan fenómenos estructurales como la violencia intrafamiliar y los roles de cuidado diferenciados por género, estas referencias no se proyectan hacia un análisis del rol transformador del proceso judicial. Asimismo, en la pregunta 3 solo se desarrolla adecuadamente una motivación legislativa (crisis del SENAME), omitiendo la exigencia de al menos dos, y las referencias a la pandemia quedan vagas, sin conexión a hechos políticos específicos del Chile reciente. Para avanzar será necesario: (i) profundizar el análisis crítico, evitando respuestas puramente declarativas; (ii) incorporar una auténtica perspectiva interseccional, mostrando cómo género, edad, clase y otras categorías se entrecruzan en el acceso a la justicia; (iii) equilibrar el sólido manejo constitucional y técnico-legal con un análisis más sociológico y de derechos humanos, que muestre comprensión integral del ordenamiento en contexto.
</t>
  </si>
  <si>
    <t>VIRGINIA ANTONIA MUÑOZ PAREDES</t>
  </si>
  <si>
    <t>PAREDES</t>
  </si>
  <si>
    <t>VIRGINIA ANTONIA</t>
  </si>
  <si>
    <t>El desempeño del estudiante refleja un alto grado de dominio técnico y conceptual en la Actividad 1, contrastando con un nivel intermedio y aún perfectible en la Actividad 2. En conjunto, se aprecia un perfil con fortalezas evidentes en la argumentación jurídico‑técnica y en la correlación filosófico‑jurídica, aunque con la necesidad de homogeneizar el nivel de profundidad crítica y precisión lingüística en ambas evaluaciones.
En la primera actividad, el estudiante demuestra un sobresaliente dominio del análisis técnico jurídico, evaluando impecablemente la idoneidad del precario conforme al art. 2195 del CC, con cita explícita y sistema de referencias bibliográficas profesional. Desarrolla exhaustivamente los tres requisitos copulativos con una argumentación sofisticada, reconociendo que las consideraciones éticas o matrimoniales no son obstáculo para la aplicación estricta de la figura jurídica. Un aspecto destacable es la identificación y correlación magistral de las motivaciones de Finnis con el razonamiento implícito del tribunal, construyendo una relación conceptual entre la filosofía del derecho natural y la valoración del matrimonio como bien humano básico que potencia la realización personal y comunitaria. Esta conexión es articulada con la consideración judicial del hogar común como espacio de desarrollo humano y afectivo, lo que otorga gran coherencia y profundidad al análisis. El lenguaje jurídico es técnico, preciso y de alto nivel profesional. El área de mejora se ubica solo en un plano menor: perfeccionar algunos conceptos técnicos adicionales y afinar aspectos formales de redacción para alcanzar la máxima pulcritud.
En la segunda actividad, el desempeño es correcto pero se encuentra en un nivel intermedio de logro. El estudiante comprende los conceptos centrales del proyecto de ley, identificando adecuadamente mecanismos de participación de NNA, elementos del enfoque de género y problemáticas de desigualdad estructural. Sin embargo, el análisis carece de la profundidad crítica observada en la primera actividad. Las principales debilidades se enmarcan en: (i) un desarrollo insuficiente de la perspectiva interseccional, limitándose a nociones generales sin articular cómo se entrecruzan distintas categorías sociales en el acceso a la justicia; (ii) una fundamentación normativa escasa, que habría ganado rigor con referencias explícitas a tratados internacionales (ej. Convención de Derechos del Niño, CEDAW, Belém do Pará); y (iii) un lenguaje jurídico apropiado en lo básico, pero con falta de precisión técnica y correcciones gramaticales necesarias. Para alcanzar el nivel óptimo deberá reforzar la argumentación crítica con soporte normativo internacional, profundizar en la interseccionalidad y emplear un lenguaje jurídico más técnico y pulido.</t>
  </si>
  <si>
    <t>JAVIER IGNACIO BERRÍOS FARMER</t>
  </si>
  <si>
    <t>BERRÍOS</t>
  </si>
  <si>
    <t>FARMER</t>
  </si>
  <si>
    <t>JAVIER IGNACIO</t>
  </si>
  <si>
    <t>MILTON SIMÓN NAVARRETE DUNN</t>
  </si>
  <si>
    <t>NAVARRETE</t>
  </si>
  <si>
    <t>DUNN</t>
  </si>
  <si>
    <t>MILTON SIMÓN</t>
  </si>
  <si>
    <t>El desempeño del estudiante evidencia un compromiso reflexivo y ético en ambas actividades, con sensibilidad frente a los principios de protección familiar y de género, pero persisten limitaciones técnicas y formales que reducen la calidad académica de sus respuestas.
En la primera actividad, se aprecia como fortaleza la adopción de un posicionamiento ético apropiado, fundamentado en los principios constitucionales de protección a la familia y en la consideración de la situación de la hija menor. Asimismo, identifica correctamente la conexión entre Finnis y el tribunal, destacando la relevancia del matrimonio y la familia como bienes humanos básicos que promueven crianza, compromiso y lealtad. También incorpora elementos fácticos como el conocimiento de la venta y el tiempo de reubicación, en apoyo a la valoración ética del fallo. Sin embargo, el análisis presenta deficiencias técnicas relevantes: ausencia de una cita explícita al art. 2195 del CC y de un desarrollo sistemático de los elementos copulativos del precario; argumentación superficial sin la solidez jurídico‑técnica necesaria; falta de incorporación de conceptos doctrinales solicitados como seguridad jurídica o interpretación extensiva; y un uso limitado e impreciso del lenguaje jurídico, con errores terminológicos (“bien mueble” por inmueble) y expresiones coloquiales que comprometen la formalidad profesional. A ello se suma una redacción con frecuentes errores de puntuación y concordancia, que afectan la claridad y el nivel académico esperado.
En la segunda actividad, el estudiante logra un nivel satisfactorio de desempeño, distinguiéndose en la identificación del enfoque de género del proyecto de ley, en particular al señalar las desigualdades estructurales históricas en los roles de cuidado que afectan a las mujeres. Se valora la incorporación de una perspectiva interseccional explícita, articulada en torno a las necesidades tanto de los niños, niñas y adolescentes como de las mujeres cuidadoras, reconociendo la importancia de la coordinación interinstitucional como mecanismo de protección integral. No obstante, el análisis sigue mostrando dificultades en la precisión terminológica y técnica, requiriendo un uso más riguroso del lenguaje jurídico especializado, así como una profundización en el rol profesional del abogado en sede de familia y en la aplicación práctica de los estándares internacionales de derechos humanos.</t>
  </si>
  <si>
    <t>STEPHAN SEBASTIAN DURÁN MACHUCA</t>
  </si>
  <si>
    <t>MACHUCA</t>
  </si>
  <si>
    <t>STEPHAN SEBASTIAN</t>
  </si>
  <si>
    <t>El desempeño del estudiante evidencia un nivel intermedio‑avanzado de logro, destacando en la claridad expositiva, en el uso generalmente correcto del lenguaje jurídico y en la capacidad de relacionar el derecho positivo con corrientes filosóficas y contextos sociales. Sin embargo, se observan áreas de mejora necesarias en la sistematización del análisis técnico, la profundidad conceptual en materia de ética jurídica y la incorporación de estándares normativos internacionales.
En la primera actividad, el análisis del precario es correctamente planteado, con cita explícita al art. 2195 CC y utilización de argumentos válidos en torno a la interpretación extensiva. Se valora el posicionamiento ético apropiado, en el que se reconoce la corrección de la sentencia y se incorporan consideraciones de justicia social. El punto más fuerte del trabajo radica en la correlación con Finnis, ya que se desarrollan de manera académica y precisa los dos elementos constitutivos del matrimonio (fides y procreación), vinculándolos con la valoración judicial del matrimonio y la familia como bienes humanos básicos. No obstante, el análisis presenta algunas debilidades: falta de sistematicidad en el desarrollo de todos los requisitos copulativos del precario, escasa profundización en la aplicación de conceptos jurídicos específicos (seguridad jurídica, analogía, legalidad), y presencia de errores formales de redacción y estilo que afectan la presentación. Para mejorar, debe estructurar con mayor rigor técnico el análisis de los requisitos del precario, enriquecer el análisis ético con categorías doctrinales más avanzadas y corregir los aspectos formales de redacción.
En la segunda actividad, el estudiante expone con claridad los mecanismos de participación de NNA, particularmente la audiencia directa y la obligación judicial de motivar las decisiones, así como la referencia a estándares del debido proceso, destacando la bilateralidad de la audiencia como garantía básica. El desempeño en esta área refleja dominio del lenguaje jurídico técnico y profesional. Sin embargo, el análisis del enfoque de género es limitado, ya que se restringe a mencionar delitos sexuales sin desarrollar su conexión con medidas procesales específicas con perspectiva de género ni con estándares internacionales de protección (CEDAW, Belém do Pará). De igual modo, la reflexión sobre desigualdades estructurales, si bien identifica fenómenos como el aumento de violencia intrafamiliar y divorcios, carece de desarrollo normativo y de un enfoque interseccional, que articule múltiples factores de vulnerabilidad (género, edad, clase social, territorio). Para avanzar al nivel óptimo, se recomienda incorporar ejemplos de normas internacionales vinculantes, enriquecer el análisis crítico de género con medidas concretas, y aplicar un enfoque interseccional más detallado.</t>
  </si>
  <si>
    <t>GABRIELA LOURDES GIMÉNEZ MUÑOZ</t>
  </si>
  <si>
    <t>GIMÉNEZ</t>
  </si>
  <si>
    <t>GABRIELA LOURDES</t>
  </si>
  <si>
    <t>El estudiante demuestra un nivel sólido de desempeño, con claras fortalezas en la identificación de instituciones jurídicas y en el uso general del lenguaje jurídico; sin embargo, se aprecian oportunidades de mejora en la profundización técnica y en el desarrollo crítico‑analítico de sus respuestas.
En la primera actividad, se destaca la correcta identificación y explicación de los elementos del precario conforme al art. 2195 CC, el manejo adecuado de conceptos clave y una argumentación clara y estructurada. Se valora particularmente la integración pertinente de la teoría ética de Finnis, vinculando los valores del matrimonio y la vida familiar como bienes humanos básicos con el razonamiento judicial, lo que aporta coherencia y solidez al análisis. Del mismo modo, el posicionamiento crítico frente a la tensión entre justicia social y derecho positivo es apropiado, aunque aún se advierte necesidad de profundizar con mayor precisión conceptual y técnica, especialmente en torno a nociones como seguridad jurídica, analogía o interpretación extensiva. A nivel formal, el lenguaje jurídico es correcto y la exposición clara, con solo detalles menores a mejorar en redacción y pulcritud formal. Para aspirar a un nivel de excelencia, se recomienda robustecer la justificación técnica en los razonamientos y perfeccionar el lenguaje para proyectar un estilo plenamente profesional.
En la segunda actividad, se reconoce un análisis adecuado de las novedades procesales en la participación de NNA y una atención correcta a la dimensión de género en contextos de violencia intrafamiliar. Sin embargo, el trabajo se mantiene en un plano predominantemente descriptivo, sin alcanzar un análisis crítico profundo. No se identifican artículos específicos del proyecto ni se vinculan las medidas con estándares internacionales de derechos humanos (ej. Convención sobre Derechos del Niño, CEDAW, Belém do Pará). Asimismo, la perspectiva interseccional no se desarrolla, quedando ausente una reflexión sobre cómo género, edad, clase u otras categorías se cruzan en el acceso a la justicia familiar. Para elevar el nivel de desempeño, se sugiere citar con precisión las disposiciones legales del proyecto, emplear un lenguaje jurídico más técnico y refinado, y articular cómo cada medida contribuye a reducir desigualdades estructurales desde una óptica interseccional.</t>
  </si>
  <si>
    <t>IGNACIA FERNÁNDEZ DONOSO</t>
  </si>
  <si>
    <t>FERNÁNDEZ</t>
  </si>
  <si>
    <t>IGNACIA</t>
  </si>
  <si>
    <t>El trabajo refleja un desempeño heterogéneo: mientras en la primera actividad se observan deficiencias técnicas y formales significativas que limitan la calidad del resultado, en la segunda actividad se aprecia un análisis de alto nivel, crítico y maduro, con proyección profesional avanzada.
En la primera actividad, demuestra un manejo básico de la institución del precario, identificando los elementos centrales de la figura y señalando de manera general la conexión entre el pensamiento de Finnis y el razonamiento judicial, particularmente en torno a la valoración del matrimonio como institución fundamental y la simbología de la vivienda común. No obstante, incurre en una confusión conceptual seria al no distinguir con claridad los derechos derivados del régimen matrimonial del anterior cónyuge frente a los derechos reales de la nueva propietaria, lo que impide adoptar de forma explícita la postura opuesta al tribunal, como exigía la consigna. Asimismo, el análisis crítico carece de profundidad técnica, omitiendo nociones fundamentales como seguridad jurídica o interpretación extensiva. Finalmente, los múltiples problemas de redacción, concordancia y estilo afectan seriamente la claridad de la exposición y ponen de relieve la necesidad de fortalecer la precisión en la comunicación jurídica escrita. Para mejorar, la estudiante debe (i) consolidar su comprensión de instituciones básicas del derecho civil, (ii) enriquecer el análisis crítico con categorías jurídicas avanzadas y (iii) trabajar con rigor en su redacción académica y en el uso formal del lenguaje jurídico.
En contraste, la segunda actividad constituye un ejemplo de análisis crítico de alto nivel. El estudio del proyecto de ley en clave de género es profundo y propositivo, destacando por la identificación de las limitaciones concretas del texto legal y la propuesta de alternativas normativas y procesales realistas. El mayor aporte está en la adopción de una perspectiva interseccional genuina, articulando multiplicidad de categorías sociales (género, edad, clase, etnia, nacionalidad, religión, identidad trans) y mostrando cómo sus intersecciones agravan la desigualdad en el acceso a la justicia familiar. La afirmación de que “la sola escucha y participación de las niñas no resuelve las problemáticas que se viven realmente” refleja un pensamiento crítico, maduro y fundamentado, propio de un perfil en consolidación profesional. Aunque persisten algunas imprecisiones menores de redacción, el contenido técnico‑jurídico es sólido y el lenguaje general es apropiado para proyectar una actuación profesional en el ámbito jurídico.</t>
  </si>
  <si>
    <t>SEBASTIÁN ALFONSO RUIZ CONTRERAS</t>
  </si>
  <si>
    <t>RUIZ</t>
  </si>
  <si>
    <t>SEBASTIÁN ALFONSO</t>
  </si>
  <si>
    <t>El desempeño revela un contraste significativo entre ambas actividades, evidenciando en la primera un dominio avanzado y riguroso de la técnica jurídica y en la segunda un nivel adecuado pero que aún requiere profundización crítica y normativa para alcanzar la excelencia.
En la primera actividad, el análisis del precario es técnicamente impecable: se desarrolla de manera exhaustiva cada uno de los tres requisitos exigidos por el art. 2195 CC, con argumentación sólida que incorpora la dualidad título-modo en materia de derechos de propiedad. El posicionamiento ético crítico es de nivel excepcional, integrando con precisión nociones como justicia social, perspectiva de género, seguridad jurídica y ética jurídica avanzada. La correlación con Finnis alcanza un estándar superior: se logra identificar cómo el tribunal prioriza el matrimonio y la familia como bienes humanos básicos, con plena coherencia conceptual respecto a los elementos constitutivos (fides y procreación). A ello se suma un lenguaje jurídico avanzado, técnico y especializado, con uso preciso de la terminología y una proyección clara hacia un perfil profesional de excelencia.
En la segunda actividad, el trabajo mantiene un nivel satisfactorio, destacando la correcta identificación de los mecanismos de participación de NNA (participación y escucha activa, obligación de motivación de las resoluciones y coordinación interinstitucional), relacionándolos adecuadamente con el interés superior del niño y la autonomía progresiva. Sin embargo, el desempeño presenta carencias relevantes: el análisis de género y de desigualdades estructurales es general y se limita a una aproximación superficial, sin apoyarse en referencias normativas específicas (ej. Ley N° 21.430, Código Civil, CPC o instrumentos internacionales). Asimismo, la perspectiva interseccional apenas es mencionada, sin desplegar cómo se entrecruzan variables sociales como género, edad, clase, o procedencia étnica en el acceso a la justicia. Aunque el lenguaje jurídico es formal y adecuado, el rigor analítico y técnico se vería considerablemente fortalecido con la integración de citas normativas concretas y estándares internacionales de derechos humanos (Convención sobre los Derechos del Niño, CEDAW, Belém do Pará, entre otros).</t>
  </si>
  <si>
    <t>NICOLE ALEXANDRA SÁNCHEZ ADASME</t>
  </si>
  <si>
    <t>NICOLE ALEXANDRA</t>
  </si>
  <si>
    <t>El trabajo de la estudiante evidencia un alto nivel de desarrollo técnico y crítico en la primera actividad, mientras que en la segunda actividad mantiene un nivel correcto pero requiere mayor profundización normativa y crítica para alcanzar consistencia con lo demostrado inicialmente.
En la primera actividad, el análisis del precario es técnicamente impecable: se desarrollan de manera exhaustiva los tres requisitos copulativos establecidos en el art. 2195 CC, con una comprensión sofisticada de los derechos reales y su oponibilidad frente a terceros. El posicionamiento ético es igualmente de excelencia, pues incorpora de manera explícita y adecuada diferentes conceptos técnicos solicitados, como interpretación extensiva, inseguridad jurídica e incorrecta aplicación del derecho, logrando un equilibrio entre la necesidad de protección social y la exigencia de rigor normativo. La correlación entre el pensamiento de Finnis y el razonamiento del tribunal alcanza un nivel conceptual superior: se reconoce al matrimonio como bien humano básico que contribuye al desarrollo individual y comunitario, pero a la vez se mantiene un equilibrio crítico frente a las limitaciones jurídicas de los argumentos éticos. Finalmente, el lenguaje jurídico especializado utilizado es avanzado, preciso y propio de un nivel cercano a la actuación profesional.
En la segunda actividad, el trabajo destaca por la correcta descripción de los mecanismos de participación previstos en el proyecto de ley (audiencias específicas para NNA, obligación de motivación judicial respecto de la opinión del niño o adolescente y coordinación intersectorial), vinculándolos coherentemente con la autonomía progresiva y el interés superior del niño. No obstante, el análisis de género y desigualdades estructurales se mantiene en un plano demasiado general, sin apoyarse en disposiciones normativas concretas (por ejemplo, artículos específicos de la Ley N° 21.430 o de la Ley N° 19.968) ni en estándares internacionales de igualdad (CEDAW, Convención sobre los Derechos del Niño, Belém do Pará). De igual forma, la perspectiva interseccional es limitada, pues no articula cómo otras variables sociales (clase, etnia, nacionalidad, identidad de género, etc.) se cruzan con el género y la edad en el acceso a la justicia. Aunque el lenguaje jurídico es formal y correcto, la fundamentación ganaría fuerza mediante referencias normativas específicas y un análisis más profundo en clave de igualdad de derechos y justicia social.</t>
  </si>
  <si>
    <t>MATILDA VALENTINA BECERRA CAMPOS</t>
  </si>
  <si>
    <t>BECERRA</t>
  </si>
  <si>
    <t>CAMPOS</t>
  </si>
  <si>
    <t>MATILDA VALENTINA</t>
  </si>
  <si>
    <t>El desempeño general en las actividades evaluadas evidencia un nivel insuficiente, con logros aislados que no alcanzan a compensar las debilidades observadas, lo que impide cumplir satisfactoriamente con las competencias esperadas para el perfil intermedio en Derecho.</t>
  </si>
  <si>
    <t>VICTORIA DOMINIQUE ANTILEO ARANCIBIA</t>
  </si>
  <si>
    <t>ANTILEO</t>
  </si>
  <si>
    <t>VICTORIA DOMINIQUE</t>
  </si>
  <si>
    <t>En la primera actividad, el trabajo muestra falencias sustantivas en todas las dimensiones consideradas, ubicándose en su mayoría en el nivel 1 (Insuficiente) y, de manera ocasional, en el nivel 2 (Básico). No se demuestra un conocimiento adecuado de la institución del precario; la argumentación carece de lógica interna y rigor técnico; y se advierte un desconocimiento de los requisitos copulativos establecidos en el artículo 2195 del Código Civil. Asimismo, el posicionamiento crítico se encuentra ausente o poco desarrollado, mientras que los errores de redacción, ortografía y concordancia afectan de manera considerable la claridad y la calidad formal del trabajo.</t>
  </si>
  <si>
    <t>VALERIA ANDREA VARGAS ARCE</t>
  </si>
  <si>
    <t>VALERIA ANDREA</t>
  </si>
  <si>
    <t>En la segunda actividad, es posible reconocer algunos aciertos puntuales que merecen destacarse: se contextualizan de manera adecuada los cambios legislativos en relación con el estallido social de 2019 y la crisis del SENAME; se identifican correctamente aspectos esenciales como el derecho a ser oído de los NNA y la obligación de fundamentación judicial; además, se vincula el proyecto con la garantía del debido proceso en su dimensión de derecho de audiencia, y se reconoce el énfasis en la protección de mujeres y niñas en situaciones de violencia doméstica. Sin embargo, estas fortalezas se ven fuertemente disminuidas por deficiencias de carácter estructural: persistentes problemas de expresión escrita con errores ortográficos, gramaticales y de redacción que afectan la claridad comunicativa; confusión conceptual grave entre intersectorialidad y perspectiva interseccional; análisis de género superficial y limitado a afirmaciones descriptivas; ausencia de identificación de medidas normativas concretas y falta de profundización en la manera en que estas buscan superar desigualdades estructurales. A lo anterior se suma un uso impreciso de terminología jurídica, como la sustitución de “autonomía progresiva” por “independencia progresiva”.</t>
  </si>
  <si>
    <t>DANIELLA ANAYS SANHUEZA ALVEAL</t>
  </si>
  <si>
    <t>SANHUEZA</t>
  </si>
  <si>
    <t>ALVEAL</t>
  </si>
  <si>
    <t>DANIELLA ANAYS</t>
  </si>
  <si>
    <t>ELÍAS ALFREDO BARRERA ORELLANA</t>
  </si>
  <si>
    <t>BARRERA</t>
  </si>
  <si>
    <t>ORELLANA</t>
  </si>
  <si>
    <t>ELÍAS ALFREDO</t>
  </si>
  <si>
    <t>CONSTANZA DEL CARMEN MÁRQUEZ BERRÍOS</t>
  </si>
  <si>
    <t>MÁRQUEZ</t>
  </si>
  <si>
    <t>CONSTANZA DEL CARMEN</t>
  </si>
  <si>
    <t>BELÉN JULIANA REYES MERINO</t>
  </si>
  <si>
    <t>REYES</t>
  </si>
  <si>
    <t>MERINO</t>
  </si>
  <si>
    <t>BELÉN JULIANA</t>
  </si>
  <si>
    <t>El trabajo refleja un desempeño de alto nivel en la primera actividad y un desarrollo correcto pero aún perfectible en la segunda, lo que evidencia dominio técnico sólido en el ámbito dogmático civil y ético‑jurídico, pero necesidad de fortalecer la precisión normativa y la mirada crítica en materias de derecho de familia y enfoque de género.
En la primera actividad,  demuestra dominio técnico notable, evaluando la idoneidad del precario con un análisis meticuloso y exhaustivo de los elementos establecidos en el art. 2195 CC, argumentando con total corrección en torno a los derechos reales de propiedad y su relación con la posesión. El posicionamiento ético es excepcional: incluye explícitamente los conceptos solicitados (como derecho positivo, seguridad jurídica, incorrecta aplicación del derecho) y los desarrolla con gran rigor. Destaca la claridad con la que subraya que el tribunal no emplea el derecho positivo como criterio central en su razonamiento, y su definición técnica de derecho positivo como orden normativo que exige decisiones desvinculadas de criterios subjetivos. En la correlación filosófico‑jurídica, el trabajo alcanza un nivel sobresaliente al conectar la doctrina de Finnis con la jurisprudencia, concluyendo brillantemente que tanto filosofía como derecho positivo coinciden en proteger el matrimonio como medio fundamental de vida comunitaria. Todo ello, expresado con un lenguaje jurídico técnicamente impecable, preciso y especializado, que refleja pensamiento jurídico avanzado y una proyección profesional clara.
En la segunda actividad, logra identificar con corrección los mecanismos de participación de NNA (audiencias adaptadas, obligación de motivar la aceptación o rechazo de la opinión, coordinación intersectorial) y los relaciona con el principio de autonomía progresiva y el interés superior del niño, lo que constituye una base sólida. No obstante, el análisis se mantiene en un plano general al tratar el enfoque de género y las desigualdades estructurales, careciendo de referencias normativas específicas (como la Ley N° 21.430, la Ley N° 19.968, o la Convención sobre los Derechos del Niño). Asimismo, la perspectiva interseccional se menciona solo de manera tangencial, sin explorar con profundidad cómo variables sociales como género, etnia, clase, edad o identidad de género se cruzan en el acceso efectivo a la justicia familiar. El lenguaje jurídico es correcto, pero se recomienda reforzar la precisión técnica mediante citas normativas puntuales y referencias internacionales que sustenten con mayor rigor el análisis crítico.</t>
  </si>
  <si>
    <t>JAVIERA CANELA TAPIA LEPÍN</t>
  </si>
  <si>
    <t>TAPIA</t>
  </si>
  <si>
    <t>LEPÍN</t>
  </si>
  <si>
    <t>JAVIERA CANELA</t>
  </si>
  <si>
    <t>Correo actividad uno. Comentario actividad dos: describe los mecanismos básicos de participación (audiencias adaptadas, interés superior, protección reforzada y coordinación intersectorial) y los vincula con la autonomía progresiva. Sin embargo, el análisis de género y de desigualdades estructurales es superficial, ya que no identifica disposiciones concretas ni normas internacionales de igualdad. La perspectiva interseccional es muy limitada, y sería necesario articular otras variables sociales relevantes. El uso del lenguaje jurídico es correcto, pero el análisis se beneficiaría de referencias a artículos específicos del proyecto de ley o de instrumentos internacionales para fortalecer su fundamento.</t>
  </si>
  <si>
    <t>LIJUAN HE LIN</t>
  </si>
  <si>
    <t>HE</t>
  </si>
  <si>
    <t>LIN</t>
  </si>
  <si>
    <t>LIJUAN</t>
  </si>
  <si>
    <t>El desempeño  refleja un nivel intermedio adecuado, con respuestas que evidencian comprensión de los contenidos centrales de ambas actividades, pero que requieren un mayor rigor técnico, formal y crítico para alcanzar estándares avanzados propios de un perfil intermedio alto.
En la primera actividad,  adopta posturas claras frente a las preguntas planteadas, mostrando comprensión de los elementos del precario y reconociendo la tensión existente entre protección familiar y derechos de propiedad. Es un aporte positivo la incorporación de principios como el enriquecimiento sin causa y el derecho constitucional de propiedad, lo cual muestra amplitud en el manejo conceptual. Asimismo, al mencionar criterios procesales como la sana crítica y el procedimiento sumario, demuestra un conocimiento pertinente del sistema procesal civil. Sin embargo, el análisis técnico aún requiere fortalecimiento en aspectos clave: (i) una mejor fundamentación normativa, en particular la explotación más rigurosa del art. 2195 CC y sus requisitos copulativos; (ii) el perfeccionamiento del lenguaje jurídico, corrigiendo imprecisiones conceptuales (por ejemplo, el uso de “apercibimiento personal” en contextos errados) y evitando expresiones poco rigurosas; y (iii) la mejora sustancial de la calidad formal del texto, especialmente en ortografía, puntuación y concordancia gramatical, pues los errores afectan la claridad y proyección profesional de la respuesta.
Respecto de la segunda actividad, describe adecuadamente los mecanismos de participación de los NNA (audiencias adaptadas, obligación de motivar la decisión judicial y garantías de trato digno), vinculándolos con la bilateralidad de la audiencia y reforzando la pertinencia de este derecho. Además, el uso de un caso real como Ámbar sirve para contextualizar y reforzar la necesidad de mejorar los estándares de protección en sede de familia. Pese a estos aciertos, el análisis de género resulta superficial y no logra profundizar en las desigualdades estructurales ni en la incorporación de una auténtica perspectiva interseccional. Para avanzar, se recomienda: (i) identificar medidas procesales específicas con perspectiva de género que contemple el proyecto; (ii) vincularlas con tratados internacionales relevantes (CEDAW, Convención sobre los Derechos del Niño, Convención de Belém do Pará); y (iii) explicar cómo la interacción de entrecruces sociales (género, edad, clase, etnia, identidad) impacta en la protección o en la reproducción de desigualdades en el acceso a la justicia.</t>
  </si>
  <si>
    <t>KRISS MILLARAY MORENO ABARCA</t>
  </si>
  <si>
    <t>ABARCA</t>
  </si>
  <si>
    <t>KRISS MILLARAY</t>
  </si>
  <si>
    <t>El trabajo refleja un desempeño de nivel intermedio, con bases sólidas en cuanto a la identificación de los elementos centrales de cada problema jurídico planteado, aunque evidenciando todavía limitaciones técnicas y de profundidad analítica que deben resolverse para consolidar las competencias esperadas en el perfil de la carrera.
En la primera actividad, adopta posturas claras y apropiadas respecto de la procedencia del precario, identificando correctamente los requisitos copulativos de dominio, ocupación y consentimiento. Logra además una argumentación básica sobre estos elementos y reconoce con pertinencia la tensión existente entre protección familiar y derechos de propiedad. También identifica la conexión entre la filosofía de John Finnis y el razonamiento del tribunal en torno al matrimonio como institución fundamental, enfatizando su respaldo constitucional, lo que constituye un acierto relevante. Asimismo, la estructura del texto es clara y organizada, lo que facilita la comprensión de sus planteamientos. Sin embargo, el análisis presenta deficiencias importantes: se limita a un desarrollo técnico básico, sin citar de manera explícita el artículo 2195 del Código Civil ni profundizar en elementos conceptuales complejos. El análisis ético es superficial y no incorpora conceptos técnicos solicitados, tales como interpretación extensiva, analogía o seguridad jurídica, lo que evidencia aún una comprensión limitada de las tensiones jurídico‑éticas avanzadas. Las correlaciones conceptuales entre la filosofía y el derecho resultan muy elementales y no alcanzan un nivel sofisticado, mientras que el lenguaje jurídico empleado es simple, con expresiones de carácter general que no logran la precisión técnica requerida para el ejercicio profesional. De este modo, si bien se reconoce un avance en la organización argumentativa y en la comprensión básica, el área de mejora más significativa se encuentra en elevar el rigor técnico mediante un uso explícito de las normas, el desarrollo conceptual más exhaustivo y la precisión terminológica.
En lo relativo a la segunda actividad, describe de manera general los mecanismos de protección de niños, niñas y adolescentes, aludiendo a la motivación del legislador y al principio de autonomía progresiva, y refuerza el análisis identificando la importancia de la motivación judicial en la consideración de la voluntad de los menores. La mención del caso Lissette Villa contribuye a contextualizar el problema de manera concreta y dota al argumento de relevancia social. Sin embargo, el análisis presenta limitaciones similares a las observadas en la primera actividad. El enfoque de género y el análisis de las desigualdades estructurales carecen de la profundidad normativa necesaria, limitándose a planteamientos generales sin identificar medidas procesales específicas de género ni vincularse con estándares internacionales de protección, como la CEDAW, la Convención sobre los Derechos del Niño o la Convención de Belém do Pará. Tampoco desarrolla una verdadera perspectiva interseccional, al circunscribirse únicamente al género sin articular otras variables sociales como edad, clase, etnia o identidad de género que resultan relevantes para comprender cómo se reproducen o transforman las desigualdades dentro del proceso judicial.</t>
  </si>
  <si>
    <t>MÁXIMO JOSÉ VILLANUEVA HERNÁNDEZ</t>
  </si>
  <si>
    <t>HERNÁNDEZ</t>
  </si>
  <si>
    <t>MÁXIMO JOSÉ</t>
  </si>
  <si>
    <t>El desempeño en ambas actividades evidencia un manejo adecuado de los conceptos fundamentales y un uso correcto del lenguaje jurídico, con una expresión escrita en general clara y pertinente al nivel esperado. En la primera actividad se aprecia una valoración acertada de la naturaleza del derecho real inscrito y una reflexión crítica sobre la tensión entre el derecho positivo y los valores morales, estableciendo vínculos pertinentes con la filosofía de Finnis, aunque sin un desarrollo exhaustivo de sus implicancias jurídicas. Para fortalecer este análisis, sería recomendable explicitar de manera completa los requisitos del precario previstos en el artículo 2195 del Código Civil e integrar con mayor profundidad las nociones de justicia social, analogía y seguridad jurídica en la argumentación.
En la segunda actividad se describen de manera clara los mecanismos de participación que el proyecto de ley otorga a niños, niñas y adolescentes, relacionándolos con la autonomía progresiva y el principio del interés superior del niño. No obstante, el análisis de las dimensiones de género e interseccionalidad resulta general, sin identificar medidas concretas ni relacionarlas con normas jurídicas nacionales o internacionales aplicables. Asimismo, el rigor del razonamiento podría enriquecerse mediante la cita expresa de artículos relevantes de la Ley N° 21.430, de la Convención sobre los Derechos del Niño o del propio proyecto en análisis.</t>
  </si>
  <si>
    <t>VALENTINA PAZ PEÑA RODRÍGUEZ</t>
  </si>
  <si>
    <t>VALENTINA PAZ</t>
  </si>
  <si>
    <t>En términos generales, el trabajo evidencia un manejo técnico y conceptual sólido, con un uso claro y pertinente del lenguaje jurídico y una presentación formal de excelente calidad. En la primera actividad destaca el análisis bien estructurado de la acción de precario, con cita textual al artículo 2195 del Código Civil y un desarrollo exhaustivo de los tres requisitos copulativos, lo que permitió sostener con consistencia la postura contraria al tribunal. Asimismo, se aprecia un adecuado posicionamiento ético-crítico al valorar la sentencia como una “incorrecta aplicación del Derecho”, priorizando el derecho fundamental de propiedad (art. 19 N°23 CPR) frente a los principios derivados del matrimonio y alertando sobre el riesgo de inseguridad jurídica. De forma positiva, el trabajo demuestra la capacidad de relacionar el razonamiento judicial con la filosofía de Finnis, reconociendo el matrimonio como institución fundamental. Aun así, sería recomendable perfeccionar el análisis con el uso explícito de categorías técnicas adicionales como analogía e interpretación extensiva, además de profundizar cómo la visión filosófica de Finnis se traduce en términos estrictamente jurídicos y elevar el nivel de sofisticación mediante un vocabulario legal más variado y especializado.
En la segunda actividad se demuestra comprensión de los mecanismos de participación efectiva de niños, niñas y adolescentes, vinculándolos de manera acertada con la autonomía progresiva y el principio del interés superior del niño. No obstante, el análisis de género y desigualdades estructurales permanece en un nivel demasiado general, sin identificar medidas normativas específicas ni referencias a convenciones internacionales o lineamientos concretos de igualdad. Del mismo modo, la perspectiva interseccional es abordada de forma limitada, sin entrar en la interacción entre distintos factores sociales relevantes. Para reforzar la argumentación, resulta aconsejable incluir referencias expresas a artículos de la Ley N° 21.430, del Código Civil y de la Convención sobre los Derechos del Niño.</t>
  </si>
  <si>
    <t>CATALINA IGNACIA SÁNCHEZ RIVERA</t>
  </si>
  <si>
    <t>RIVERA</t>
  </si>
  <si>
    <t>En la primera actividad se observa un desempeño sobresaliente, marcado por un análisis técnico extraordinario de la acción de precario, en el que se integran con precisión conceptos complejos relativos a la sociedad conyugal, administración de bienes y responsabilidades matrimoniales. El posicionamiento ético-crítico es igualmente destacado, ya que desarrolla con equilibrio la tensión entre justicia social y derechos individuales, incorporando de manera explícita múltiples nociones teóricas y técnicas solicitadas. La correlación establecida entre la filosofía de Finnis y la argumentación del tribunal alcanza un nivel superior, reflejando una comprensión profunda de los fundamentos filosóficos del derecho. Todo lo anterior se complementa con un dominio excepcional del lenguaje jurídico especializado, que demuestra un manejo terminológico de altísima precisión, y con una calidad formal profesional que supera ampliamente los estándares académicos exigidos.
En la segunda actividad, si bien el trabajo presenta un uso correcto del lenguaje jurídico y una adecuada estructuración de ideas, el análisis alcanza un nivel satisfactorio más que sobresaliente. Se responden las preguntas de manera pertinente, evidenciando comprensión de los cambios legislativos y de los principios involucrados, pero el nivel de profundidad, las conexiones críticas y las referencias normativas podrían haberse desarrollado con mayor detalle. El análisis de género, de desigualdades estructurales y de perspectiva interseccional, si bien presente, resulta más general que exhaustivo, lo que explica la obtención de un puntaje intermedio en cada criterio.</t>
  </si>
  <si>
    <t>SEBASTIAN ANDRES REBECO AGUILAR</t>
  </si>
  <si>
    <t>REBECO</t>
  </si>
  <si>
    <t>SEBASTIAN ANDRES</t>
  </si>
  <si>
    <t>El desempeño presenta importantes contrastes entre ambas actividades. En la primera, si bien se logra establecer una correlación básica entre la filosofía de Finnis y el quinto considerando de la sentencia —reconociendo la centralidad del matrimonio como institución de compromiso mutuo y vinculando la noción de amistad o fides con lo expresado por el tribunal—, el análisis global resulta insuficiente. Se detectan errores conceptuales graves que comprometen la dirección argumentativa, pues se sostiene la idoneidad de la acción de precario sobre la base del matrimonio, contrariando el sentido exigido por la consigna. Esto revela deficiencias críticas en la comprensión lectora y en la interpretación de las instrucciones. Además, el posicionamiento ético es superficial, con escasa incorporación de categorías jurídicas pertinentes y una débil articulación entre ética y derecho positivo. El uso del lenguaje jurídico, aunque básico, presenta imprecisiones relevantes, acompañado de redacción informal, problemas de puntuación y concordancia que afectan la formalidad y profesionalismo de la presentación. Para alcanzar los mínimos del perfil intermedio se requiere mejorar de manera urgente la capacidad de análisis técnico, el rigor terminológico y la calidad formal del escrito.
En la segunda actividad, el rendimiento se eleva significativamente. El análisis es claro y bien estructurado, describiendo con precisión los mecanismos de participación de niños, niñas y adolescentes, y vinculándolos correctamente con la autonomía progresiva y el interés superior del niño. El enfoque de género se aborda de forma adecuada, destacando medidas de protección reforzada en contextos de violencia intrafamiliar, y el análisis de las desigualdades estructurales reconoce la exclusión histórica de los NNA. Asimismo, se incorpora una mirada interseccional, identificando la interacción entre género, edad y vulnerabilidad, lo que refuerza la pertinencia del razonamiento. El análisis jurídico se fortalece además con referencias explícitas al artículo 19 Nº3 de la Constitución, lo que otorga rigor normativo y coherencia argumentativa.</t>
  </si>
  <si>
    <t>JULIAN CAMILO RIVEROS ASTUDILLO</t>
  </si>
  <si>
    <t>RIVEROS</t>
  </si>
  <si>
    <t>ASTUDILLO</t>
  </si>
  <si>
    <t>JULIAN CAMILO</t>
  </si>
  <si>
    <t>El trabajo muestra un desempeño sólido en ambas actividades, con un mejor desarrollo en la primera. En la actividad uno, se evidencia un posicionamiento ético-crítico bien elaborado, incorporando correctamente los conceptos técnicos solicitados y señalando que la sentencia privilegia razones de carácter ético por sobre una aplicación estrictamente normativa, lo que genera un riesgo para la seguridad jurídica y puede afectar el principio de legalidad al relativizar el derecho de propiedad. El análisis logra relacionar de manera adecuada la argumentación del tribunal con las ideas de Finnis, identificando en ello una visión más centrada en lo humano que en la aplicación rígida de la norma, y se adopta con acierto una postura contraria al tribunal, planteando la ausencia de vínculo jurídico entre demandada e inmueble. No obstante, sería recomendable mejorar la precisión técnica mediante la cita expresa del artículo 2195 del Código Civil, profundizar en aspectos específicos relativos al matrimonio y Finnis, además de cuidar la terminología y revisar aspectos de redacción y concordancia gramatical para mayor formalidad.
En la actividad dos, se describe con claridad el funcionamiento de los mecanismos de participación reconocidos para niños, niñas y adolescentes —audiencias adaptadas, derecho a ser oído y obligación de justificación judicial— vinculándolos adecuadamente con la autonomía progresiva y el interés superior del niño. Del mismo modo, se aborda el enfoque de género al considerar medidas frente a la violencia intrafamiliar y se reflexiona sobre la necesidad de superar prácticas meramente formales para asegurar una participación real. Como puntos de mejora, conviene enriquecer la perspectiva interseccional con otras variables sociales y fortalecer el análisis mediante referencia explícita a disposiciones del proyecto de ley y de normas nacionales e internacionales aplicables.</t>
  </si>
  <si>
    <t>BENJAMÍN EDUARDO MORA VÁSQUEZ</t>
  </si>
  <si>
    <t>MORA</t>
  </si>
  <si>
    <t>BENJAMÍN EDUARDO</t>
  </si>
  <si>
    <t>El desempeño global refleja un muy buen nivel de dominio técnico y capacidad crítica en ambas actividades. En la primera, se aprecia un análisis jurídico muy completo de la acción de precario, con cita íntegra del artículo 2195 del Código Civil y un desarrollo exhaustivo de sus elementos, argumentando correctamente que los vínculos matrimoniales no constituyen un amparo jurídico frente a la falta de título en la ocupación. El posicionamiento ético es particularmente destacable, pues examina con claridad la tensión entre justicia social y seguridad jurídica, incorporando conceptos avanzados como interpretación extensiva, analogía e incorrecta aplicación del derecho, identificando el riesgo de que privilegiar consideraciones éticas debilite la uniformidad normativa. Además, logra integrar de forma acertada las motivaciones filosóficas de Finnis como fundamento implícito de la sentencia, relacionando doctrina académica y razonamiento jurisdiccional en torno al matrimonio como institución de carácter más amplio que lo meramente contractual.
En la segunda actividad, el trabajo mantiene un desempeño sólido: identifica con precisión las medidas del proyecto de ley que refuerzan el enfoque de género y las relaciona con instrumentos internacionales como la Convención sobre los Derechos del Niño, así como con principios de igualdad y no discriminación. Se valora positivamente la reflexión sobre desigualdades estructurales al conectar el rol del tribunal con fenómenos sociales recientes, como el estallido de 2019, y la incorporación de un análisis interseccional que articula variables de género, edad y condición social. No obstante, el ejercicio podría fortalecerse incluyendo ejemplos prácticos que ilustren cómo dichas variables interactúan en audiencias reales y ampliando aún más las referencias normativas específicas. El lenguaje jurídico utilizado es preciso, técnico y bien aplicado, con un manejo adecuado de estándares internacionales de derechos humanos.</t>
  </si>
  <si>
    <t>MARÍA IGNACIA FLORES SALINAS</t>
  </si>
  <si>
    <t>SALINAS</t>
  </si>
  <si>
    <t>MARÍA IGNACIA</t>
  </si>
  <si>
    <t>El trabajo refleja un desempeño adecuado en términos de cumplimiento básico de las consignas y uso del lenguaje jurídico, aunque con diferencias notables entre ambas actividades. En la primera, la estudiante adopta correctamente una posición contraria a la del tribunal, cita expresamente el artículo 2195 del Código Civil y utiliza terminología jurídica apropiada, mostrando comprensión de los elementos básicos del precario. Su argumentación sobre la relación entre título de dominio y ocupación es coherente, lo que evidencia manejo de la estructura de la acción. No obstante, las respuestas resultan excesivamente breves y superficiales en los apartados 2 y 3, donde no desarrolla de forma suficiente conceptos claves como la interpretación extensiva, la seguridad jurídica ni los elementos constitutivos del matrimonio según Finnis. El análisis crítico se limita a observaciones generales sin la profundidad técnica necesaria, lo que impide alcanzar el nivel de desarrollo esperado. Para avanzar, es importante que profundice en el análisis, amplíe sus respuestas incorporando sistemáticamente los conceptos solicitados, y fortalezca su capacidad para abordar principios complejos desde una perspectiva técnico-jurídica y crítica.
En la segunda actividad, se observa una buena comprensión general de la estructura y fines del proyecto de ley, identificando su vinculación con la protección de mujeres, niñas y adolescentes. Se valoran especialmente las referencias a la coordinación intersectorial y a la creación de unidades técnicas especializadas como mecanismos relevantes. Sin embargo, la argumentación carece de la suficiente profundidad al no abordar de manera detallada las medidas específicas propuestas ni vincularlas explícitamente con los estándares internacionales en derechos humanos. También la perspectiva interseccional se presenta de forma general, sin una articulación clara de cómo diferentes categorías sociales interactúan en el acceso a la justicia. Para mejorar, resulta aconsejable citar artículos concretos del proyecto, ejemplificar con casos o incisos relevantes, así como desarrollar con mayor precisión cómo cada medida contribuye a enfrentar desigualdades estructurales.</t>
  </si>
  <si>
    <t>GABRIEL BRUNO ESTEBAN VILLALOBOS SOTELO</t>
  </si>
  <si>
    <t>VILLALOBOS</t>
  </si>
  <si>
    <t>SOTELO</t>
  </si>
  <si>
    <t>GABRIEL BRUNO ESTEBAN</t>
  </si>
  <si>
    <t>menciona derechos de accesibilidad y referencias fragmentarias a normas (art. 1447 CC, art. 6 Ley 21.430), pero no explica mecanismos claros de participación ni articulación con la autonomía progresiva. Tampoco desarrolla un análisis de género ni interseccional, limitándose a afirmaciones vagas sobre violencia doméstica y consecuencias penales. El uso del lenguaje jurídico es impreciso y carece de fundamentación técnica robusta, así como de citas normativas concretas para sustentar las afirmaciones.</t>
  </si>
  <si>
    <t>MARÍA JOSÉ GONZÁLEZ ESPINOZA</t>
  </si>
  <si>
    <t>El desempeño en ambas actividades es muy sólido y refleja un dominio completo de los contenidos jurídicos, con capacidad crítica y argumentativa que supera lo esperado para el nivel intermedio. En la primera actividad, la estudiante desarrolla un análisis técnico impecable de los elementos del precario, distinguiendo con claridad los efectos del cambio de titularidad y evaluando de forma crítica la idoneidad de la acción. Su argumentación incorpora conceptos complejos como interpretación extensiva, seguridad jurídica y ética del cuidado, relacionándolos de manera coherente con la problemática planteada. Destaca además la integración profunda de la filosofía de Finnis con el razonamiento del tribunal, explicando cómo los valores morales influyen en la interpretación del derecho, y mostrando comprensión de la tensión entre protección familiar y coherencia normativa. El uso de lenguaje técnico preciso y formal contribuye a reforzar la solidez de las respuestas.
En la segunda actividad, se mantiene un buen nivel de desempeño, con un análisis ordenado y profesional. Se identifican con claridad medidas concretas del proyecto de ley en clave de género e interseccionalidad, así como un uso adecuado de tecnicismos jurídicos. La reflexión sobre el rol transformador del proceso judicial y la incorporación de estándares internacionales de protección de la niñez aparece bien integrada, aunque se hace de manera implícita. Igualmente, el tratamiento del debido proceso es correcto y aporta pertinencia normativa al análisis. Como aspecto de mejora, se sugiere complementar el trabajo con referencias explícitas a tratados internacionales y ejemplos prácticos que permitan evidenciar de manera más concreta el impacto de las medidas en audiencias o casos reales.</t>
  </si>
  <si>
    <t>JAVIERA ANAÍS ALFARO MATUS</t>
  </si>
  <si>
    <t>ALFARO</t>
  </si>
  <si>
    <t>MATUS</t>
  </si>
  <si>
    <t>JAVIERA ANAÍS</t>
  </si>
  <si>
    <t>KIARA YAMILET PÉREZ MOLINA</t>
  </si>
  <si>
    <t>MOLINA</t>
  </si>
  <si>
    <t>KIARA YAMILET</t>
  </si>
  <si>
    <t>El desempeño en ambas actividades es correcto y muestra un manejo adecuado de los contenidos jurídicos, aunque con distinto nivel de desarrollo. En la primera actividad, se valora la exposición clara y precisa de los tres requisitos copulativos del artículo 2195 del Código Civil, así como la adopción de una postura contraria al tribunal sustentada en la ausencia de título y falta de consentimiento. Destaca también un posicionamiento ético coherente al señalar la incorrecta aplicación del derecho, priorizando el derecho de propiedad como fundamental e incorporando nociones de seguridad jurídica. Sin embargo, el análisis podría adquirir mayor solidez si integrara otros conceptos técnicos solicitados, como interpretación extensiva o analogía, a fin de enriquecer la argumentación. En la relación entre Finnis y el fallo, se identifica la coincidencia en la valoración del matrimonio, pero el desarrollo se mantiene en un plano descriptivo básico, con espacio para profundizar en cómo esa visión filosófica se refleja en el razonamiento judicial. El uso del lenguaje jurídico es correcto y formal, aunque podría beneficiarse de mayor precisión terminológica y de una argumentación más compleja. Desde el punto de vista formal, el texto cumple plenamente con las normas ortográficas y gramaticales, presentando claridad y coherencia.
En la segunda actividad, la respuesta demuestra un buen manejo de los mecanismos de participación de niños, niñas y adolescentes, destacando audiencias adaptadas, la obligación de motivar las resoluciones y el reconocimiento del derecho constitucional a ser oído, vinculándolos acertadamente con la autonomía progresiva y el interés superior del niño. El enfoque de género se aborda mediante medidas de protección frente a violencia intrafamiliar y la reflexión sobre desigualdades estructurales enfatiza la necesidad de traducir formalidades en incidencia real. Sin embargo, el análisis queda limitado en la perspectiva interseccional, donde podría ampliarse a otras variables sociales relevantes y su interacción con género y edad. Asimismo, se sugiere reforzar la fundamentación mediante referencias explícitas a artículos concretos del proyecto de ley y a normas internacionales, lo que añadiría mayor rigor técnico.</t>
  </si>
  <si>
    <t>NICOLAS ALEJANDRO MORAGA SAAVEDRA</t>
  </si>
  <si>
    <t>MORAGA</t>
  </si>
  <si>
    <t>SAAVEDRA</t>
  </si>
  <si>
    <t>NICOLAS ALEJANDRO</t>
  </si>
  <si>
    <t>El trabajo evidencia un muy buen desempeño en ambas actividades. En la primera, se aprecia una evaluación completa de la idoneidad del precario, sustentada en una postura clara y técnicamente bien fundamentada contraria al tribunal. La estudiante cita expresamente el artículo 2195 del Código Civil y desarrolla exhaustivamente los tres requisitos copulativos —dominio de la actora, ocupación de la demandada y ausencia de título que legitime la ocupación frente a la actual propietaria—, argumentando de manera correcta la extinción de la relación jurídica previa y aplicando con precisión la institución. Además, destaca la identificación de la tensión entre las consideraciones éticas del matrimonio y los principios del derecho positivo, así como la correcta conexión entre la filosofía de Finnis y la valoración del tribunal sobre el matrimonio como bien humano básico. El uso del lenguaje jurídico es adecuado, con terminología pertinente y una estructura ordenada y clara, lo que otorga al texto coherencia formal. Como aspectos de mejora, convendría fortalecer el análisis ético incorporando explícitamente conceptos técnicos solicitados —interpretación extensiva, seguridad jurídica e incorrecta aplicación del derecho—, así como profundizar en la explicación de las correlaciones conceptuales y perfeccionar la precisión terminológica en expresiones concretas.
En la segunda actividad se mantiene un nivel sólido de desempeño. Se identifican y describen con claridad las medidas específicas del proyecto de ley que refuerzan el enfoque de género, vinculándolas apropiadamente con instrumentos internacionales como la Convención sobre los Derechos del Niño y con principios de igualdad. La reflexión sobre desigualdades estructurales es pertinente, al relacionar el rol proactivo del tribunal con fenómenos sociales como el estallido social de 2019, lo que demuestra una conciencia adecuada del contexto que motiva la reforma normativa. El análisis interseccional también aparece bien planteado, integrando género, edad y condición social, aunque ganaría en fuerza si se incorporaran ejemplos prácticos que ilustren cómo estos cruces afectan a audiencias reales. El lenguaje jurídico en esta parte es preciso, formal y bien aplicado, con referencias a estándares de derechos humanos que enriquecen la fundamentación presentada.</t>
  </si>
  <si>
    <t>NADIA ESTEFANÍA MATURANA SANDOVAL</t>
  </si>
  <si>
    <t>MATURANA</t>
  </si>
  <si>
    <t>SANDOVAL</t>
  </si>
  <si>
    <t>NADIA ESTEFANÍA</t>
  </si>
  <si>
    <t>El desempeño en ambas actividades es sólido y muestra un manejo técnico y crítico destacado, con ciertos aspectos específicos a perfeccionar. En la primera actividad, se aprecia un posicionamiento ético crítico de gran calidad, en el que se evalúa con claridad la tensión entre las consideraciones morales y la aplicación objetiva del derecho positivo, desarrollando correctamente la distinción entre derecho y moral como instituciones distintas con principios propios. También se valoran las correlaciones establecidas entre las motivaciones de Finnis y las razones implícitas del tribunal, logrando un análisis profundo sobre el matrimonio como bien humano básico y su reconocimiento constitucional, con explicación clara sobre cómo ambas perspectivas lo conciben como un espacio de desarrollo humano integral. A ello se suma la adopción de una postura argumentada sobre la procedencia del precario, la correcta diferenciación entre nexos matrimoniales previos y derechos actuales, así como el uso de lenguaje jurídico adecuado con estructura formal clara y ordenada. Como área de mejora, se sugiere profundizar más explícitamente en el desarrollo de todos los elementos copulativos del artículo 2195 del Código Civil y perfeccionar la precisión técnica de algunas expresiones jurídicas.
Respecto a la segunda actividad, se observa un manejo conceptual adecuado, con la identificación de la exclusión histórica del género femenino y la incorporación del lenguaje inclusivo en el proyecto de ley, además de la vinculación entre la transformación normativa y el contexto del estallido social de 2019. El análisis resalta correctamente la función interpretativa del tribunal en la corrección de desigualdades estructurales y reconoce de forma pertinente el principio de autonomía progresiva de los NNA. Sin embargo, el enfoque interseccional aparece limitado al cruce de género y edad, sin abordar otras variables relevantes ni su interacción práctica en el proceso judicial. Asimismo, aunque el lenguaje jurídico utilizado es correcto, el análisis podría reforzarse con la inclusión de artículos específicos de la Ley N.º 19.968 o 21.430, junto con referencias directas a estándares internacionales de derechos humanos, lo que otorgaría mayor precisión técnica y respaldo normativo.</t>
  </si>
  <si>
    <t>MATÍAS NICOLÁS SALAZAR MADRID</t>
  </si>
  <si>
    <t>MADRID</t>
  </si>
  <si>
    <t>MATÍAS NICOLÁS</t>
  </si>
  <si>
    <t>El trabajo evidencia un desempeño muy sólido en ambas actividades, con un alto nivel de manejo técnico y argumentativo en los contenidos jurídicos. En la primera actividad, se destaca un análisis técnico impecable del precario, con desarrollo exhaustivo de los tres requisitos copulativos del artículo 2195 del Código Civil y una correcta incorporación del principio de seguridad jurídica. El posicionamiento ético es crítico y bien estructurado, identificando la incorrecta aplicación del derecho y cuestionando los argumentos extralegales utilizados por el tribunal. También sobresale la correlación conceptual lograda entre Finnis y el tribunal, integrando un análisis sobre la sobreposición de bienes jurídicos y la concepción del matrimonio como bien humano básico. El uso del lenguaje jurídico es preciso, formal y especializado, lo que refuerza la coherencia general del análisis.
En la segunda actividad, la estudiante demuestra un análisis sólido y bien fundamentado, describiendo con claridad los mecanismos de participación de niños, niñas y adolescentes —audiencias específicas y obligación de motivar la aceptación o rechazo de su opinión—, vinculándolos correctamente con la autonomía progresiva y el interés superior del niño. El enfoque de género se aborda en la identificación de medidas de protección reforzada frente a violencia intrafamiliar, y se reconoce la exclusión histórica de los NNA como grupo vulnerable. Asimismo, se aprecia la incorporación de referencias constitucionales, en especial al artículo 19 N°3 sobre el derecho a ser oído, lo cual aporta rigurosidad normativa. No obstante, los puntos en los que no alcanza el nivel óptimo son precisamente la falta de mayor profundidad en la perspectiva de género y en el análisis interseccional, que si bien aparecen en la respuesta, quedan limitados y podrían ampliarse con el cruce de más categorías sociales relevantes (clase, etnia, discapacidad, entre otras) y ejemplos específicos de aplicación práctica.</t>
  </si>
  <si>
    <t>VALENTINA EUGENIA RAMOS VALENCIA</t>
  </si>
  <si>
    <t>RAMOS</t>
  </si>
  <si>
    <t>VALENCIA</t>
  </si>
  <si>
    <t>VALENTINA EUGENIA</t>
  </si>
  <si>
    <t>El desempeño en ambas actividades evidencia un manejo técnico muy sólido y un estilo argumentativo bien estructurado. En la primera actividad, la estudiante demuestra absoluto dominio de la institución del precario, desarrollando exhaustivamente los tres requisitos copulativos del artículo 2195 del Código Civil y argumentando con propiedad sobre nociones avanzadas como la “solemnidad del derecho de propiedad” y la facultad de “usar, gozar y disponer”. La respuesta refleja comprensión completa del derecho civil con un análisis técnico impecable, un dominio preciso del lenguaje jurídico y una presentación formal sobresaliente, sin errores significativos de redacción. La postura crítica adoptada es consistente, afirmando correctamente que el derecho positivo de dominio debe prevalecer y ponderando de manera adecuada la seguridad jurídica en contraste con los valores invocados por el tribunal. También se reconoce la conexión conceptual entre Finnis y la valoración judicial del matrimonio como núcleo familiar. Las oportunidades de mejora se concentran en una incorporación sistemática de otros conceptos técnicos solicitados —como interpretación extensiva, analogía e incorrecta aplicación del derecho— así como en una profundización mayor de las correlaciones conceptuales expuestas.
En la segunda actividad, la respuesta describe con claridad los mecanismos de participación de los NNA —derecho a ser oído mediante audiencias adaptadas y la obligación de motivar las resoluciones judiciales— vinculándolos acertadamente con el principio de autonomía progresiva y el interés superior del niño. Se reconoce el enfoque de género y la importancia de la coordinación intersectorial, aunque el análisis resulta general y no profundiza en desigualdades estructurales concretas. La perspectiva interseccional está presente, pero queda limitada al cruce de pocas variables sociales, sin un desarrollo completo en cuanto a su impacto práctico en el proceso judicial. El lenguaje jurídico es correcto y formal, pero la fundamentación ganaría en precisión mediante citas explícitas a la Ley N° 21.430, a la Convención sobre los Derechos del Niño y a disposiciones del Código Civil y del Código de Procedimiento Civil que consolidarían la solidez técnica del análisis.</t>
  </si>
  <si>
    <t>PAZ ALMENDRA MERINO BAHAMONDE</t>
  </si>
  <si>
    <t>BAHAMONDE</t>
  </si>
  <si>
    <t>PAZ ALMENDRA</t>
  </si>
  <si>
    <t>El desempeño en ambas actividades refleja un cumplimiento básico de los requerimientos, con aciertos puntuales, pero también con deficiencias significativas que afectan la solidez general del trabajo. En la primera actividad, la estudiante demuestra una comprensión adecuada de la diferencia entre la tolerancia del cónyuge anterior y los derechos válidos frente a terceros adquirientes, adoptando una postura clara y técnicamente aceptable sobre la procedencia del precario. Destaca también la cita correcta del artículo 2195 del Código Civil y la mención de la tensión entre la protección familiar y la supremacía del derecho positivo. Sin embargo, el análisis es superficial e incompleto en varias dimensiones: el desarrollo ético no incorpora los conceptos técnicos solicitados, la correlación con Finnis y el tribunal resulta muy básica y sin profundidad conceptual, y se observan imprecisiones terminológicas que debilitan la precisión técnica del razonamiento. A ello se suma una calidad formal deficiente, con errores de expresión que sugieren un trabajo incompleto. Para alcanzar niveles satisfactorios, resulta indispensable ampliar el desarrollo de las respuestas, perfeccionar la terminología jurídica, incorporar conceptos técnicos avanzados (interpretación extensiva, analogía, incorrecta aplicación del derecho) y fortalecer la capacidad de establecer correlaciones conceptuales más sofisticadas.
En la segunda actividad, la respuesta cumple de manera mínima con lo exigido en la pauta. Se reconoce el enfoque de género a través de la alusión a la violencia intrafamiliar, pero no se identifican ni explican las medidas específicas que el proyecto de ley contempla para enfrentar desigualdades estructurales que afectan a mujeres, niñas y adolescentes. Las reflexiones sobre el rol judicial en la protección de menores no están suficientemente desarrolladas ni conectadas con fenómenos sociales relevantes. El enfoque interseccional aparece de forma limitada, reduciéndose a la mera identificación de los NNA como grupo vulnerable, sin integrar categorías adicionales como clase o etnia que permitirían un análisis más completo. Finalmente, el lenguaje jurídico empleado resulta funcional, pero insuficientemente técnico, al omitir referencias explícitas a normas, principios o estándares internacionales que habrían otorgado mayor respaldo a la argumentación.</t>
  </si>
  <si>
    <t>MATÍAS PATRICIO YÁÑEZ VEJAR</t>
  </si>
  <si>
    <t>YÁÑEZ</t>
  </si>
  <si>
    <t>VEJAR</t>
  </si>
  <si>
    <t>MATÍAS PATRICIO</t>
  </si>
  <si>
    <t>El desempeño global en las actividades evaluadas refleja un nivel aceptable, aunque con aspectos importantes por mejorar que, de ser trabajados, permitirán alcanzar de manera más plena las competencias esperadas del perfil intermedio en Derecho.
En la primera actividad, el estudiante demuestra ciertos avances en la comprensión de la institución del precario y de los requisitos establecidos en el artículo 2195 del Código Civil. Sin embargo, la argumentación aún se presenta con debilidades en la precisión técnica y en la organización de las ideas, lo que limita la claridad y solidez del razonamiento. El posicionamiento crítico es incipiente y requiere un mayor sustento normativo y doctrinario. Además, se observan problemas de redacción y ortografía que afectan la calidad formal del trabajo, por lo que se recomienda dedicar especial atención a la revisión de los textos antes de su entrega.
En la segunda actividad, se evidencian progresos en la contextualización sociojurídica, al reconocer los efectos del estallido social de 2019 y la crisis del SENAME en las discusiones legislativas, así como al identificar adecuadamente principios esenciales como el derecho a ser oído y la obligación de fundamentación judicial. No obstante, el análisis de género resulta superficial, limitado a descripciones generales, y el uso de la terminología jurídica presenta imprecisiones que restan rigor a los argumentos. Asimismo, falta una profundización en la identificación de medidas normativas y en la explicación de cómo estas buscan superar desigualdades estructurales.
En términos generales, el estudiante evidencia disposición para avanzar, pero requiere fortalecer la precisión conceptual, la capacidad crítica y el uso técnico del lenguaje jurídico, así como mejorar la calidad de la expresión escrita.</t>
  </si>
  <si>
    <t>NOEMÍ ANTONIA FARFÁN CARRASCO</t>
  </si>
  <si>
    <t>FARFÁN</t>
  </si>
  <si>
    <t>NOEMÍ ANTONIA</t>
  </si>
  <si>
    <t>El trabajo evidencia un desempeño sólido en ambas actividades, con dominio conceptual del derecho y un estilo argumentativo riguroso. En la primera actividad, se observa un entendimiento maduro de la figura del precario, acompañado de un análisis crítico que integra de manera equilibrada aspectos técnicos, éticos y filosóficos. La argumentación mantiene coherencia y emplea un lenguaje jurídico preciso y adecuado al nivel universitario, lo cual refuerza la calidad del análisis. Se aprecia, sin embargo, una omisión menor en la profundización del concepto de mera tolerancia y algunos lapsos ortográficos, que aunque leves, deben corregirse en futuras entregas para alcanzar mayor prolijidad formal.
En la segunda actividad, el análisis demuestra buena comprensión de los mecanismos de participación, perspectiva de género y medidas de protección que incluye el proyecto de ley, así como de su vínculo con fenómenos sociales como la violencia intrafamiliar. Destaca el reconocimiento de la importancia de la intersectorialidad en la protección de derechos, aunque se aprecia cierta confusión conceptual con la noción de interseccionalidad. El uso del lenguaje jurídico es correcto y formal, pero la argumentación se resentiría menos si se incorporara una mayor profundización en los estándares normativos internacionales pertinentes (Convención sobre los Derechos del Niño, CEDAW, entre otros), junto con ejemplos precisos que muestren cómo las modificaciones legales propuestas buscan combatir de manera directa las desigualdades estructurales.</t>
  </si>
  <si>
    <t>TAMARA BELÉN VARGAS DÍAZ</t>
  </si>
  <si>
    <t>TAMARA BELÉN</t>
  </si>
  <si>
    <t>El trabajo presenta un desempeño desigual entre las dos actividades. En la primera, la estudiante muestra un entendimiento razonable del elemento de la ausencia de ignorancia como clave para descartar la configuración del precario, junto con una reflexión ética dirigida a la mala fe de la demandada. También reconoce la dimensión emocional atribuida por Finnis al matrimonio y logra conectarla con el considerando judicial, lo que refleja una aproximación reflexiva. Sin embargo, el análisis carece de profundidad técnica: no se incorporan nociones doctrinales más amplias ni se integran con suficiente rigor las categorías jurídicas relevantes. Además, el uso del lenguaje jurídico resulta frágil en cuanto a precisión y profesionalismo, y se observan falencias ortográficas y de estilo que dificultan la claridad expositiva. Para avanzar, se recomienda reforzar el vocabulario jurídico, estructurar los argumentos con mayor rigor doctrinal y revisar cuidadosamente la expresión escrita para alcanzar un estándar académico más sólido.
En contraste, la segunda actividad logra un mejor desempeño. La estudiante evidencia una comprensión sólida de los mecanismos de participación previstos en el proyecto de ley —audiencias específicas, obligación de motivar las resoluciones y coordinación intersectorial— vinculándolos coherentemente con el principio de autonomía progresiva y el interés superior del niño. Se valora positivamente el análisis del enfoque de género, especialmente al destacar la protección diferencial para mujeres y niñas en contextos de violencia intrafamiliar y la relevancia de generar confianza en el sistema judicial para evitar revictimización. No obstante, la perspectiva interseccional podría enriquecerse al incorporar otras variables sociales (clase, etnia, discapacidad) y su cruce con género y edad. Asimismo, el desarrollo doctrinal ganaría en rigor con la inclusión de citas específicas a artículos de la Ley N° 21.430, la Convención sobre los Derechos del Niño y estándares internacionales de igualdad y no discriminación.</t>
  </si>
  <si>
    <t>ARANTXA BELÉN LIRA MUÑOZ</t>
  </si>
  <si>
    <t>LIRA</t>
  </si>
  <si>
    <t>ARANTXA BELÉN</t>
  </si>
  <si>
    <t>El trabajo evidencia un desempeño de nivel superior en ambas actividades, con un desarrollo técnico, crítico y formal de excelencia. En la primera actividad, la estudiante construye una argumentación jurídica impecable, distinguiendo con precisión entre vínculos personales y títulos jurídicos válidos, un concepto fundamental en el ámbito del derecho civil. Se aprecia un análisis crítico altamente sofisticado que examina con rigor la tensión entre interpretación extensiva judicial y la correcta aplicación del derecho positivo, destacando cómo las consideraciones morales pueden, en ciertos casos, comprometer la certeza del derecho y, en consecuencia, la seguridad jurídica. Asimismo, se logra establecer una correlación conceptual profunda entre la filosofía de Finnis y el razonamiento del tribunal, explicando de manera detallada la tensión entre los ideales filosóficos y la mediación normativa dentro del marco jurídico. La redacción utiliza un lenguaje técnico especializado, propio de un pensamiento jurídico maduro, con terminología precisa y estructuración formal impecable que potencia la claridad argumentativa y la solidez expositiva.
En la segunda actividad, el desempeño mantiene la misma calidad técnica y analítica. La respuesta se distingue por la claridad con que identifica medidas específicas en materia de género y protección reforzada, por el desarrollo riguroso de una perspectiva interseccional que incluye múltiples variables sociales, y por la articulación coherente del rol transformador del proceso judicial en la superación de desigualdades estructurales. Además, incorpora citas a tratados internacionales y referencias normativas que otorgan robustez técnica y respaldo jurídico a la argumentación. Destaca también la explicación profesional del vínculo con los estándares de debido proceso y la manera en que la reforma legislativa impulsa un cambio de paradigma hacia un enfoque de derechos, lo que evidencia un dominio sólido de la teoría y práctica jurídica.</t>
  </si>
  <si>
    <t>CATALINA BEATRIZ ARAVENA HUILIPÁN</t>
  </si>
  <si>
    <t>ARAVENA</t>
  </si>
  <si>
    <t>HUILIPÁN</t>
  </si>
  <si>
    <t>CATALINA BEATRIZ</t>
  </si>
  <si>
    <t>FERNANDA BELÉN GRABUZ SALAZAR</t>
  </si>
  <si>
    <t>GRABUZ</t>
  </si>
  <si>
    <t>El desempeño en ambas actividades presenta un desarrollo sólido, con aciertos destacables tanto en el plano técnico como en el ético, aunque subsisten aspectos a perfeccionar. En la primera actividad, la estudiante demuestra una excelente comprensión de la relación conceptual entre Finnis y el tribunal, profundizando con claridad en cómo los elementos constitutivos del matrimonio —en especial la crianza de los hijos— se reflejan en la decisión judicial. El posicionamiento ético adoptado es coherente y bien fundamentado, pues reconoce adecuadamente la tensión entre derechos de propiedad y protección familiar, integrando consideraciones de proporcionalidad y vulnerabilidad. La argumentación jurídica sobre la procedencia del precario es consistente, con cita correcta al artículo 2195 del Código Civil y una postura contraria al tribunal desarrollada de manera lógica y estructurada. Las áreas de mejora son menores: sería valioso profundizar más en el análisis técnico de categorías como seguridad jurídica e interpretación extensiva, ajustar algunas expresiones para mayor precisión terminológica, y corregir errores menores de redacción para elevar aún más la calidad formal del trabajo.
En la segunda actividad, la estudiante identifica correctamente los mecanismos de participación y la necesidad de igualdad de género y protección ante violencia intrafamiliar. Asimismo, destaca la interseccionalidad al aludir a la situación de mujeres mapuches, aportando una mirada enriquecida al análisis. No obstante, la exposición es principalmente descriptiva y carece de la profundidad crítica que el nivel intermedio exige. Faltan referencias explícitas a artículos concretos de la Ley N° 21.430 o del proyecto de ley, así como a estándares internacionales pertinentes (CEDAW, Convención sobre los Derechos del Niño). Para mejorar, convendría ejemplificar medidas procesales concretas —como audiencias adaptadas o protocolos de género— y relacionarlas directamente con dichos marcos normativos, desarrollando de manera más articulada cómo interactúan las categorías de género, etnia y edad en la reproducción o superación de desigualdades. Por último, el lenguaje jurídico, aunque funcional, debería ser reforzado para alcanzar mayor tecnicismo y precisión.</t>
  </si>
  <si>
    <t>ALISSON FERNANDA PADILLA SOTO</t>
  </si>
  <si>
    <t>PADILLA</t>
  </si>
  <si>
    <t>ALISSON FERNANDA</t>
  </si>
  <si>
    <t>VÍCTOR ANGEL SAMUEL ULLOA ESPINOZA</t>
  </si>
  <si>
    <t>ULLOA</t>
  </si>
  <si>
    <t>VÍCTOR ANGEL SAMUEL</t>
  </si>
  <si>
    <t>Actividad uno por correo. Comentario actividad dos: La respuesta expone claramente los mecanismos de participación—audiencias específicas, obligación de motivar la incorporación o rechazo de la opinión del NNA y extensión del derecho a ser oído a todos los procedimientos—y su vínculo con la autonomía progresiva y el interés superior del niño. Sin embargo, el análisis de género carece de concreción normativa al no citar medidas específicas ni normas internacionales de igualdad, y la reflexión sobre desigualdades estructurales e interseccionales permanece limitada a la dimensión del derecho a ser oído sin profundizar en otros factores sociales.</t>
  </si>
  <si>
    <t>NOELIA KAREN PÉREZ AMPUERO</t>
  </si>
  <si>
    <t>AMPUERO</t>
  </si>
  <si>
    <t>NOELIA KAREN</t>
  </si>
  <si>
    <t>MARTÍN ANTONIO VILLARROEL QUEIROLO</t>
  </si>
  <si>
    <t>VILLARROEL</t>
  </si>
  <si>
    <t>QUEIROLO</t>
  </si>
  <si>
    <t>MARTÍN ANTONIO</t>
  </si>
  <si>
    <t>TANIA ANDREA OJEDA ALVARADO</t>
  </si>
  <si>
    <t>ALVARADO</t>
  </si>
  <si>
    <t>TANIA ANDREA</t>
  </si>
  <si>
    <t>Comentarios actividad uno:  desarrolla análisis excepcionalmente profundo en la tercera pregunta, identificando y relacionando perfectamente las motivaciones de Finnis como fundamentación filosófica de la decisión tribunal, estableciendo conexión magistral entre matrimonio como bien humano básico y valoración judicial, correlacionando sofisticadamente el concepto de fides (compromiso inseparable) con casa común como símbolo de compromiso y vida conjunta, demostrando análisis conceptual de nivel superior que evidencia capacidades analíticas excepcionales. Adicionalmente, adopta posición clara contraria al tribunal citando explícitamente art. 2195 del CC y argumenta apropiadamente sobre configuración de mera tolerancia; utiliza lenguaje jurídico básico apropiado con terminología pertinente; y mantiene calidad formal aceptable sin errores significativos. Sin embargo, presenta deficiencias críticas que comprometen la evaluación integral: desarrollo técnico básico e incompleto en primera pregunta sin profundizar aspectos solicitados sobre matrimonio y Finnis; respuesta incompleta en segunda pregunta que se corta abruptamente sin desarrollar posicionamiento ético crítico requerido, omitiendo conceptos técnicos específicos solicitados; y brevedad excesiva en desarrollo argumentativo que no alcanza sofisticación técnica apropiada. Para consolidar competencias del perfil intermedio,  debe concentrarse urgentemente en: completitud en respuestas académicas desarrollando exhaustivamente todos los aspectos solicitados; profundización técnica incorporando conceptos especializados requeridos; y expansión argumentativa hacia estándares profesionales apropiados con mayor extensión y profundidad analítica. Axctividad dos por correo.</t>
  </si>
  <si>
    <t>ENZO AGUSTÍN OROZCO PÉREZ</t>
  </si>
  <si>
    <t>OROZCO</t>
  </si>
  <si>
    <t>ENZO AGUSTÍN</t>
  </si>
  <si>
    <t>El trabajo presenta un rendimiento desigual entre la primera y la segunda actividad: se aprecia un potencial analítico sobresaliente en algunos apartados, pero también carencias críticas que limitan el desempeño integral.
En la primera actividad, destaca de forma excepcional la respuesta a la tercera pregunta, en la que se desarrolla un análisis filosófico-jurídico de nivel superior al identificar y relacionar con gran precisión las motivaciones de Finnis como fundamentación implícita en la decisión del tribunal. La conexión entre el matrimonio como bien humano básico y la valoración judicial se establece de manera sofisticada, correlacionando el concepto de fides (compromiso inseparable) con la casa común como símbolo de vida conjunta, lo cual evidencia una capacidad analítica destacable. Asimismo, se valora la posición contraria al tribunal, correctamente fundamentada en el artículo 2195 del Código Civil y apoyada en el argumento de la mera tolerancia. El lenguaje jurídico empleado es apropiado y la calidad formal, correcta. Sin embargo, la respuesta a la primera pregunta resulta técnica y temáticamente incompleta en cuanto a la incorporación de Finnis y el matrimonio; la segunda se interrumpe abruptamente sin desplegar el posicionamiento ético crítico requerido y omite nociones claves como seguridad jurídica o interpretación extensiva. Además, la extensión de los análisis es demasiado breve, lo cual afecta la profundidad esperada en este nivel académico.
En la segunda actividad, se evidencia un trabajo de nivel básico-satisfactorio. Su fortaleza radica en reconocer explícitamente las limitaciones del proyecto respecto a la integración del enfoque de género, lo que da cuenta de capacidad crítica. Sin embargo, esta misma observación refleja un entendimiento superficial, ya que no profundiza en cómo las medidas de protección reforzada en violencia intrafamiliar o los mecanismos de participación activa de NNA también constituyen manifestaciones concretas de dicho enfoque. El lenguaje jurídico se mantiene adecuado y la terminología es correcta, pero falta rigor analítico y profundidad en el desarrollo de la perspectiva interseccional, así como en la reflexión sobre desigualdades estructurales.</t>
  </si>
  <si>
    <t>ISIDORA EMILIA BERRÍOS MIRANDA</t>
  </si>
  <si>
    <t>MIRANDA</t>
  </si>
  <si>
    <t>ISIDORA EMILIA</t>
  </si>
  <si>
    <t>El desempeño de la estudiante en ambas actividades muestra un contraste significativo entre logros parciales y áreas de mejora pendientes.
En la primera actividad, se demuestra una comprensión básica de la institución del precario y se adopta una posición clara respecto de su procedencia. Se valoran el reconocimiento de los elementos centrales del caso y la referencia a conceptos jurídicos pertinentes, junto con un posicionamiento ético mínimamente coherente. Sin embargo, el análisis carece de la profundidad técnica y del desarrollo sistemático que se espera en este nivel, lo que impide alcanzar un estándar académico sólido. El vínculo con Finnis resulta demasiado general y no se detiene en ambos elementos constitutivos del matrimonio (fides y procreación/crianza), mientras que las dimensiones éticas quedan tratadas de forma superficial. Para mejorar, se recomienda desarrollar cada requisito del precario conforme al artículo 2195 del Código Civil, enriquecer el análisis ético-jurídico con nociones más avanzadas, precisar con mayor rigor la relación con la filosofía de Finnis, adoptar un lenguaje jurídico más técnico y profesional, y perfeccionar la calidad formal de la redacción.
En la segunda actividad, el desempeño es más sólido y consistente. La estudiante evidencia buena comprensión del proyecto de ley, identificando de manera acertada la conexión entre violencia intrafamiliar y violencia de género, así como el reconocimiento crítico de debilidades institucionales, en particular los cuestionamientos al SENAME. La terminología jurídica empleada es apropiada, y la respuesta sobre las motivaciones del legislador se destaca al vincular la iniciativa con compromisos internacionales y falencias estructurales del sistema. Aun así, algunas respuestas son excesivamente breves, lo que reduce su potencial analítico. Especialmente, se requiere mayor desarrollo en la perspectiva interseccional, así como mayor profundización en referencias normativas concretas (artículos de la Ley N° 21.430, Convención sobre los Derechos del Niño, CEDAW). Para alcanzar un nivel óptimo, conviene expandir el análisis crítico y examinar con mayor detalle cómo las medidas propuestas pueden transformar las desigualdades estructurales en la práctica.</t>
  </si>
  <si>
    <t>JAVIERA CONSTANZA GÓMEZ HERNÁNDEZ</t>
  </si>
  <si>
    <t>JAVIERA CONSTANZA</t>
  </si>
  <si>
    <t>El trabajo evidencia un desempeño insuficiente en ambas actividades, marcado por falencias conceptuales y metodológicas que requieren un refuerzo integral.
En la primera actividad, se observa una confusión conceptual fundamental respecto a los elementos básicos que configuran la institución del precario. La estudiante no logra adoptar una postura clara ni argumentada conforme al artículo 2195 del Código Civil, omitiendo el desarrollo sistemático de los requisitos copulativos y la distinción precisa entre titularidad, ocupación y mera tolerancia. El uso de un lenguaje coloquial y subjetivo (“bastante absurdo”, “me parece bastante pertinente”) resulta inadecuado para el contexto jurídico, evidenciando falta de apropiación del registro formal esperado en el ámbito académico. Asimismo, se confunden roles procesales y se omite el análisis técnico requerido. Como único aspecto positivo, se reconoce de manera superficial la conexión entre el pensamiento de Finnis y la valoración judicial del matrimonio, sin mayor elaboración. Para avanzar, se recomienda reforzar urgentemente la comprensión de nociones fundamentales del derecho civil, adoptar un lenguaje jurídico preciso y técnico, estructurar argumentaciones coherentes y desarrollar un análisis crítico con rigor académico.
En la segunda actividad, la respuesta se limita a un nivel muy general en el tratamiento del proyecto de ley. El enfoque de género se presenta mediante meras enunciaciones sin referencia a medidas procesales específicas (como audiencias adaptadas o protocolos de protección reforzada), ni a normas internacionales relevantes (CEDAW, Convención sobre los Derechos del Niño), lo que debilita la solidez técnica. Del mismo modo, la reflexión sobre desigualdades estructurales resulta superficial, sin articular críticamente el rol transformador que debe desempeñar el proceso judicial. La ausencia de un análisis interseccional que cruce género con otras variables (edad, nivel socioeconómico, pertenencia étnica) reduce considerablemente la profundidad de la respuesta. Para alcanzar un nivel mayor, se recomienda fortalecer la investigación normativa, citar marcos internacionales pertinentes, e incorporar un desarrollo interseccional que permita visibilizar categorías sociales múltiples en el análisis.</t>
  </si>
  <si>
    <t>NOELIA MONSERRAT CUETO CONTRERAS</t>
  </si>
  <si>
    <t>CUETO</t>
  </si>
  <si>
    <t>NOELIA MONSERRAT</t>
  </si>
  <si>
    <t>ROSA SOFÍA CÁRDENAS GODOY</t>
  </si>
  <si>
    <t>CÁRDENAS</t>
  </si>
  <si>
    <t>GODOY</t>
  </si>
  <si>
    <t>ROSA SOFÍA</t>
  </si>
  <si>
    <t>FRANCISCO ESTEBAN CASAS CASTILLO</t>
  </si>
  <si>
    <t>CASAS</t>
  </si>
  <si>
    <t>FRANCISCO ESTEBAN</t>
  </si>
  <si>
    <t>El desempeño de la estudiante en esta evaluación evidencia avances en la identificación de los elementos centrales de los casos, pero también presenta carencias técnicas y conceptuales importantes que afectan la solidez general de las respuestas.
En la primera actividad, se aprecia una comprensión básica del caso, pero con deficiencias de rigor técnico y precisión conceptual. El análisis del precario revela confusiones graves, pues se mezclan categorías ajenas al instituto estudiado, como la anulación contractual y los vicios del consentimiento, lo que evidencia falta de distinción procesal y dogmática. El posicionamiento ético resulta interesante al introducir la crítica a la comunicación conyugal, pero carece de un desarrollo académico profundo que articule principios jurídicos con nociones de justicia social. La correlación con Finnis, aunque pertinente, queda solo en un nivel superficial, al no desglosar los dos elementos constitutivos del matrimonio (fides y procreación-crianza). Asimismo, el lenguaje jurídico presenta múltiples imprecisiones terminológicas y conceptuales. Para mejorar, se recomienda clarificar y sistematizar los requisitos del precario de acuerdo al artículo 2195, evitar confusiones con otras instituciones jurídicas, enriquecer las reflexiones éticas con categorías doctrinales específicas, profundizar en la relación con Finnis y perfeccionar el uso de un lenguaje técnico y formal.
En la segunda actividad, el desempeño es claramente más sólido. Se identifican adecuadamente los mecanismos de participación de los NNA, el principio del interés superior del niño y las adecuaciones normativas del proyecto. El análisis de género reconoce la protección reforzada para mujeres y niñas, y el componente institucional aparece bien logrado al aludir a la coordinación interinstitucional con organismos como SENDA y a la creación de unidades técnicas de apoyo a tribunales. El vocabulario jurídico utilizado es pertinente, pero faltó desarrollar con mayor profundidad la perspectiva interseccional y la vinculación explícita con normas internacionales (CEDAW, Convención sobre los Derechos del Niño), lo que habría aportado robustez crítica al análisis. Para alcanzar un nivel superior, se recomienda articular de manera sistemática cómo interactúan múltiples categorías de vulnerabilidad y fundamentar el examen en estándares internacionales de derechos humanos.</t>
  </si>
  <si>
    <t>SHAYEÑÑ SHAKIÑÑ ROJAS ROMERO</t>
  </si>
  <si>
    <t>SHAYEÑÑ SHAKIÑÑ</t>
  </si>
  <si>
    <t xml:space="preserve">
En la primera actividad, el estudiante demuestra una aproximación inicial a la institución del precario, identificando algunos de sus elementos y requisitos, aunque de manera parcial y con limitaciones en la precisión técnica. La argumentación aparece fragmentada y no siempre logra sostener conclusiones sólidas, lo que evidencia la necesidad de fortalecer la estructura lógica del razonamiento y el manejo conceptual. Además, se observan problemas de redacción y ortografía que afectan la presentación formal del trabajo, restándole claridad y fluidez.
En la segunda actividad, se describe de manera acertada el derecho a ser oído mediante audiencias adaptadas y la obligación de motivación, vinculándolos con los principios de interés superior y autonomía progresiva. Se reconoce además la importancia de medidas de protección reforzada en contextos de violencia intrafamiliar, aunque sin un anclaje normativo que dé mayor solidez al análisis. La reflexión sobre desigualdades estructurales y perspectiva interseccional se presenta de manera superficial, sin profundizar en los cruces de categorías sociales. El lenguaje jurídico resulta funcional, pero la argumentación se vería enriquecida con referencias a la Ley 21.430, la Convención sobre los Derechos del Niño y disposiciones procesales pertinentes. En conjunto, el desempeño refleja avances relevantes, aunque requiere mejorar en la precisión técnica, la profundización del análisis crítico y el uso de referencias normativas específicas.</t>
  </si>
  <si>
    <t>BÁRBARA PAOLA RIFFO JIMÉNEZ</t>
  </si>
  <si>
    <t>RIFFO</t>
  </si>
  <si>
    <t>JIMÉNEZ</t>
  </si>
  <si>
    <t>BÁRBARA PAOLA</t>
  </si>
  <si>
    <t>El desempeño en ambas actividades refleja contrastes importantes entre fortalezas puntuales y deficiencias críticas que afectan de forma significativa la evaluación integral.
En la primera actividad, si bien la estudiante logra identificar una conexión mínima entre el pensamiento de Finnis y el quinto considerando de la sentencia —reconociendo al matrimonio como institución fundamental y vinculando la idea de vida en "conjunto" con la valoración judicial—, lo cierto es que el análisis global presenta deficiencias severas. Se incurre en errores conceptuales graves al confundir términos fundamentales (como "demanda" por "demandada") y al aludir a contextos inexistentes, como supuestas reglas de herencia. La argumentación sobre la idoneidad de la acción de precario resulta incoherente y no se justifica en forma técnica conforme al artículo 2195 del Código Civil. El posicionamiento ético es superficial, sin integrar conceptos jurídicos avanzados ni categorías solicitadas como justicia social, seguridad jurídica o interpretación extensiva. Además, el lenguaje jurídico básico se utiliza con múltiples imprecisiones y confusiones terminológicas que evidencian falta de apropiación del registro profesional. Estos problemas se agravan por errores sistemáticos en ortografía, puntuación y concordancia que comprometen gravemente la comprensión y la calidad académica del trabajo. Para alcanzar competencias mínimas del perfil intermedio, resulta urgente reforzar la comprensión lectora de textos jurídicos, clarificar nociones dogmáticas elementales, eliminar errores conceptuales, desarrollar capacidad argumentativa con rigor técnico, profesionalizar el uso del lenguaje jurídico y mejorar integralmente la calidad formal de la redacción.
En la segunda actividad, el desempeño es relativamente más sólido. Se demuestra comprensión de los mecanismos de participación previstos en el proyecto de ley, como la celebración de audiencias adaptadas y la obligación de motivar las decisiones judiciales, conectando con acierto la autonomía progresiva y la necesidad de un trato digno hacia NNA. Asimismo, se elabora una reflexión interesante sobre desigualdades estructurales vinculadas a factores económicos y psicológicos, proponiendo incluso la incorporación de asesoría técnica especializada para evitar decisiones arbitrarias. Sin embargo, el análisis de enfoque de género carece de concreción normativa, pues no se refieren artículos específicos del proyecto ni instrumentos internacionales que sustenten la argumentación (CEDAW, Convención sobre los Derechos del Niño). La perspectiva interseccional resulta insuficiente al no analizar en detalle la interacción de género con otras categorías como clase, etnia o discapacidad. Finalmente, aunque el lenguaje jurídico es adecuado, sería recomendable fortalecerlo con citas expresas a la Ley N° 19.968, Ley N° 21.430 y marcos internacionales pertinentes, lo cual otorgaría mayor rigor doctrinal.</t>
  </si>
  <si>
    <t>BENJAMÍN ANTONIO DOMÍNGUEZ ESPINOZA</t>
  </si>
  <si>
    <t>BENJAMÍN ANTONIO</t>
  </si>
  <si>
    <t>BENJAMÍN VICENTE MUÑOZ LEÓN</t>
  </si>
  <si>
    <t>LEÓN</t>
  </si>
  <si>
    <t>BENJAMÍN VICENTE</t>
  </si>
  <si>
    <t xml:space="preserve">El trabajo evidencia contrastes claros entre un desempeño muy deficiente en la primera actividad y un nivel más cercano a lo suficiente en la segunda.
En la primera actividad, el estudiante muestra únicamente una comprensión básica de la relación conceptual entre la filosofía de Finnis y el razonamiento del tribunal sobre la importancia del matrimonio como institución fundamental. Si bien logra establecer correlaciones conceptuales elementales, su desempeño se ve gravemente comprometido por deficiencias generalizadas que afectan la calidad académica global: comprensión técnica deficiente del instituto del precario, con argumentación confusa y desorganizada que refleja falta de dominio conceptual básico; análisis ético superficial, repetitivo y sin uso de categorías técnicas solicitadas; uso impreciso de terminología jurídica, acompañado de una estructura argumentativa incoherente e incompleta; y serias deficiencias de forma, con errores recurrentes de ortografía, puntuación, concordancia y redacción que obstaculizan la comprensión y no alcanzan estándares académicos mínimos. Para progresar, resulta urgente reforzar la comprensión de los fundamentos del derecho civil con apoyo docente especializado, mejorar las competencias de argumentación jurídica ordenada y coherente, y realizar una corrección integral de las habilidades de redacción y lenguaje técnico.
En la segunda actividad, el estudiante demuestra un desempeño más consistente, describiendo correctamente los mecanismos de participación de los niños, niñas y adolescentes y la obligación de fundamentar las decisiones. El lenguaje jurídico utilizado es más claro y funcional. Sin embargo, el análisis del enfoque de género es superficial, pues no identifica medidas procesales específicas ni alude a estándares internacionales aplicables (CEDAW, Convención sobre los Derechos del Niño). Asimismo, no se desarrolla auténticamente una mirada interseccional que permita articular categorías de género, edad, etnia o nivel socioeconómico en el acceso a la justicia. Para alcanzar niveles superiores, sería recomendable identificar protocolos concretos de género, referenciar marcos normativos internacionales y profundizar en un análisis interseccional robusto sobre desigualdades estructurales.
</t>
  </si>
  <si>
    <t>JAVIERA CONSTANZA ROJAS RAMOS</t>
  </si>
  <si>
    <t>El desempeño de la estudiante en ambas actividades muestra un nivel adecuado en la identificación de conceptos jurídicos clave y en la toma de posiciones claras, pero también presenta deficiencias significativas que limitan el logro pleno de las competencias esperadas en el perfil intermedio.
En la primera actividad, se valora la adopción de una postura contraria al tribunal sustentada con cita expresa al artículo 2195 del Código Civil y el desarrollo de un análisis técnico sobre el régimen patrimonial matrimonial, argumentando que el administrador de los bienes era el cónyuge de la demandada y que, por tanto, la demandante nunca tuvo relación jurídica con ella. El posicionamiento crítico es pertinente al calificar de “negativo” que el tribunal haya otorgado prevalencia a vínculos familiares sobre actos jurídicos traslaticios, destacando la mala fe y un eventual incumplimiento contractual. Además, se identifica apropiadamente la conexión entre el pensamiento de Finnis y el razonamiento judicial, concluyendo que aunque el entendimiento filosófico pueda ser lógico, resulta incongruente jerarquizarlo frente a normas civiles. El lenguaje jurídico básico, en general, es pertinente y demuestra comprensión de fundamentos esenciales. Sin embargo, la respuesta adolece de limitaciones: no profundiza suficientemente en los elementos constitutivos del matrimonio según Finnis, omite la incorporación sistemática de conceptos técnicos solicitados (como seguridad jurídica, interpretación extensiva o analogía) y presenta múltiples deficiencias formales en redacción, puntuación y concordancia que afectan la claridad y el profesionalismo del texto. Para mejorar, se requiere un refuerzo en rigor técnico con uso explícito de categorías solicitadas y una corrección integral de la expresión escrita.
En la segunda actividad, se aprecia progreso mediante el empleo de evidencia empírica —referida a violencia intrafamiliar— para subrayar la urgencia de proteger a los NNA, junto a una correcta descripción de obligaciones normativas y judiciales como la escucha activa y la capacitación permanente de jueces. El uso de lenguaje jurídico técnico y la inclusión de referencias a datos internacionales fortalecen la respuesta. No obstante, el enfoque de género carece de desarrollo normativo específico y no se vincula con estándares internacionales de igualdad y no discriminación. Asimismo, la reflexión sobre desigualdades estructurales resulta superficial al no examinar críticamente el rol del proceso judicial, y la perspectiva interseccional se muestra incompleta al omitir categorías sociales adicionales como etnia o nivel socioeconómico. Para avanzar al nivel superior, es indispensable relacionar las medidas procesales con disposiciones concretas de la Ley N° 21.430, la Ley N° 19.968 y tratados internacionales como la Convención sobre los Derechos del Niño o la CEDAW, además de integrar un análisis interseccional más robusto.</t>
  </si>
  <si>
    <t>FRANCISCA ANDREA VALENZUELA CANIU</t>
  </si>
  <si>
    <t>CANIU</t>
  </si>
  <si>
    <t>FRANCISCA ANDREA</t>
  </si>
  <si>
    <t>MARTÍN ERNESTO FUENZALIDA MARISCAL</t>
  </si>
  <si>
    <t>MARISCAL</t>
  </si>
  <si>
    <t>MARTÍN ERNESTO</t>
  </si>
  <si>
    <t>El desempeño en ambas actividades evidencia un manejo básico de los contenidos y una cierta capacidad de pensamiento crítico, pero presenta limitaciones importantes en rigor técnico, profundidad analítica y precisión conceptual.
En la primera actividad, se valoran aspectos positivos como la referencia explícita al artículo 2195 del Código Civil, la adopción de posiciones claras y contrarias al razonamiento del tribunal —lo cual demuestra capacidad mínima de objetar y proponer alternativas— y el reconocimiento de diferencias esenciales entre título legal y mera tolerancia, así como la conexión básica entre Finnis y el razonamiento judicial. También se aprecia un intento de organización sistemática, aunque excesivamente fragmentado en viñetas. Sin embargo, el desempeño queda fuertemente limitado por deficiencias relevantes: la confusión entre “bien mueble” e “inmueble” constituye un error conceptual grave, particularmente en un caso de derecho civil sobre bienes raíces; las respuestas a las preguntas dos y tres carecen de profundidad crítica y no desarrollan categorías solicitadas como seguridad jurídica, interpretación extensiva o los dos elementos constitutivos del matrimonio en Finnis; y la calificación del razonamiento del tribunal como “sentimentalismo” resulta poco precisa y ajena al lenguaje jurídico profesional. En lo formal, la redacción presenta problemas de concordancia y construcción sintáctica que afectan la claridad. Para alcanzar mejores resultados, se requiere reforzar la precisión conceptual en derecho civil, profundizar en el análisis crítico de principios jurídicos fundamentales, adoptar un lenguaje técnico más riguroso y pulir sustancialmente la redacción académica.
En la segunda actividad, se observa una comprensión superficial de la dimensión de género y del rol que deben jugar medidas judiciales sensibles a esa perspectiva. La respuesta identifica en términos generales la importancia de la protección, pero no desarrolla ejemplos normativos concretos (protocolos de evaluación de riesgo, reformas procesales específicas) ni referencias a instrumentos internacionales (CEDAW, Convención sobre los Derechos del Niño) que habrían consolidado la argumentación. La reflexión carece de un enfoque interseccional y no articula de manera profunda fenómenos sociales clave como violencia de género o desigualdades estructurales. Aunque se aprecia un uso básico adecuado del lenguaje jurídico, este puede alcanzar un mayor nivel técnico. Para mejorar, es necesario incorporar marcos internacionales, detallar cómo cada modificación legislativa atiende desigualdades específicas y reforzar la exposición con un estilo más propio del ejercicio profesional.</t>
  </si>
  <si>
    <t>MARCELA PAZ GALAZ MANRÍQUEZ</t>
  </si>
  <si>
    <t>GALAZ</t>
  </si>
  <si>
    <t>MANRÍQUEZ</t>
  </si>
  <si>
    <t>MARCELA PAZ</t>
  </si>
  <si>
    <t>OLIVER EMANUEL SALINAS AGUILAR</t>
  </si>
  <si>
    <t>OLIVER EMANUEL</t>
  </si>
  <si>
    <t>SONIA MARTINA ANTONIA ESCALANTE REYES</t>
  </si>
  <si>
    <t>ESCALANTE</t>
  </si>
  <si>
    <t>SONIA MARTINA ANTONIA</t>
  </si>
  <si>
    <t>El desempeño de la estudiante en ambas actividades evidencia contraste entre logros puntuales y deficiencias conceptuales y analíticas que limitan alcanzar un nivel intermedio pleno de competencias jurídicas.
En la primera actividad, los mayores problemas corresponden a falencias conceptuales graves en nociones básicas del derecho civil. La expresión “poseedora de la titularidad” refleja desconocimiento de las diferencias esenciales entre dominio, posesión y mera tenencia, lo que compromete la calidad técnica del análisis. También es incorrecta la interpretación de la función del Conservador de Bienes Raíces, y la argumentación sobre el vínculo jurídico resulta circular y poco coherente. El análisis ético-jurídico es superficial, sin desarrollo de categorías fundamentales evaluadas en la pauta como seguridad jurídica, interpretación extensiva o analogía. La conclusión apelando a un “mero razonamiento moral” carece de rigor analítico. Como aspecto positivo, en la pregunta tres la estudiante logra establecer adecuadamente la conexión entre el pensamiento de Finnis y el tribunal, identificando el valor simbólico de la casa común como materialización del bien humano básico del matrimonio, lo que muestra un avance mínimo en correlación conceptual. Para mejorar, es indispensable reforzar el estudio de conceptos fundamentales de derecho civil (dominio, posesión, tenencia), practicar redacción clara y precisa, y desarrollar una capacidad de análisis crítico mucho más profundo y riguroso.
En la segunda actividad, se observa un mejor desempeño en términos de estructura y profesionalidad. La estudiante identifica correctamente mecanismos de participación procesal de NNA —como la escucha activa, la obligación de motivar decisiones y el interés superior del niño— y los conecta con la autonomía progresiva. El lenguaje jurídico utilizado es adecuado y formal. No obstante, el análisis del enfoque de género es superficial, al carecer de ejemplos normativos específicos y de referencia a estándares internacionales relevantes. La reflexión sobre desigualdades estructurales se mantiene general, sin conexión con fenómenos sociales o ejemplos concretos. Igualmente, la perspectiva interseccional se queda en un nivel demasiado amplio y no articula distintas variables (género, clase, etnia, discapacidad). Para avanzar, se sugiere fortalecer el enfoque normativo con citas de instrumentos internacionales (CEDAW, Convención de Belém do Pará), mostrar cómo el proyecto aborda desigualdades específicas y desarrollar un análisis interseccional más robusto.</t>
  </si>
  <si>
    <t>EMILIA CAROLINA ÁLVAREZ PUELLES</t>
  </si>
  <si>
    <t>ÁLVAREZ</t>
  </si>
  <si>
    <t>PUELLES</t>
  </si>
  <si>
    <t>EMILIA CAROLINA</t>
  </si>
  <si>
    <t>El desempeño de la estudiante en ambas actividades demuestra cumplimiento de lo básico, con fortalezas claras en comprensión de los enunciados y capacidad de establecer relaciones conceptuales pertinentes, pero carece de la profundidad técnica y crítica esperada en el perfil intermedio de Derecho.
En la primera actividad, se aprecia un adecuado cumplimiento de la instrucción: adopta la posición opuesta al tribunal, responde las tres preguntas solicitadas, y utiliza correctamente el artículo 2195 del Código Civil, identificando los requisitos del precario. Asimismo, establece conexiones apropiadas con el pensamiento de Finnis, vinculándolo al razonamiento del tribunal, y adopta una postura ética clara en torno a la interpretación judicial. No obstante, la argumentación jurídica resulta insuficientemente desarrollada: el análisis del tercer elemento del precario (ocupación por ignorancia o mera tolerancia) carece de profundidad al no explicar con claridad cómo se configuraría frente a la nueva propietaria. El posicionamiento ético es correcto pero superficial, sin un desarrollo matizado que incorpore categorías específicas como seguridad jurídica, interpretación extensiva o justicia social. La conexión con Finnis se limita a lo general, sin profundizar en los dos elementos constitutivos del matrimonio (fides y procreación-crianza). Finalmente, existen debilidades formales relevantes: errores de redacción, ortografía y terminología técnica que disminuyen la calidad académica. Para mejorar, se recomienda reforzar el análisis del tercer elemento del precario, elaborar una reflexión ética más compleja que considere distintas perspectivas, incorporar los elementos constitutivos de Finnis de forma sistemática, y mejorar sustancialmente la corrección formal y el uso del lenguaje jurídico.
En la segunda actividad, se observan progresos en el abordaje de un proyecto legislativo relevante. Entre sus fortalezas destacan la correcta identificación de los mecanismos de participación de NNA, la mención adecuada del enfoque de género en relación con violencia intrafamiliar, y la acertada relación entre fenómenos sociales —como el estallido social y la participación juvenil— y las motivaciones legislativas. Estos aportes evidencian comprensión del contexto político-social chileno y de los desafíos de reforma en la justicia de familia. Sin embargo, el análisis sigue siendo limitado en profundidad crítica: la perspectiva interseccional se presenta de modo muy general, sin articular categorías sociales diversas (género, clase, etnia, discapacidad) en torno al acceso a la justicia. Además, el uso de lenguaje jurídico, aunque adecuado, permanece en un nivel básico sin alcanzar tecnicidad avanzada. Una falencia mayor es la respuesta incompleta a la pregunta 4 sobre debido proceso, lo que afecta la evaluación integral. Para mejorar, debe desarrollar mayor profundidad crítica, incorporar referencias explícitas a estándares internacionales (Convención sobre los Derechos del Niño, CEDAW), y asegurar completitud en todas las respuestas.</t>
  </si>
  <si>
    <t>TOMÁS IGNACIO OYARZÚN GALAZ</t>
  </si>
  <si>
    <t>OYARZÚN</t>
  </si>
  <si>
    <t>TOMÁS IGNACIO</t>
  </si>
  <si>
    <t>El desempeño demostrado en ambas actividades refleja un nivel de análisis jurídico y ético de gran calidad, con una capacidad de argumentación sólida y proyección profesional sobresaliente. En la primera actividad, destaca el posicionamiento ético-crítico excepcional, que reconoce la falta de idoneidad de la acción interpuesta sin clausurar otras vías procesales posibles. Además, se logra integrar con maestría consideraciones sobre el matrimonio como vínculo jurídico y bien humano básico, incorporando principios constitucionales y filosóficos (Finnis), con un razonamiento avanzado que distingue entre el matrimonio como contrato técnico y su dimensión simbólica y social. Estos elementos se complementan con un lenguaje jurídico pertinente y un uso consistente del rol profesional. Como aspectos a perfeccionar, se sugiere incluir una referencia más explícita al artículo 2195 del Código Civil y afinar la precisión terminológica en ciertos pasajes.
En la segunda actividad, se evidencia una comprensión profunda y articulada del enfoque de género y de la participación de los NNA en sede judicial, resaltando con acierto cómo estos mecanismos pueden beneficiar especialmente a mujeres, niñas y adolescentes en contextos de vulnerabilidad. El análisis incorpora una perspectiva interseccional e identifica con claridad los alcances del proyecto de ley, utilizando un lenguaje jurídico adecuado y un enfoque profesional consistente. Para alcanzar un nivel óptimo, sería recomendable profundizar en la fundamentación normativa internacional y desarrollar de manera más crítica la reflexión sobre el rol transformador del proceso judicial frente a desigualdades estructurales.</t>
  </si>
  <si>
    <t>SOFÍA ANTONIA BURGOS VERA</t>
  </si>
  <si>
    <t>BURGOS</t>
  </si>
  <si>
    <t>VERA</t>
  </si>
  <si>
    <t>El trabajo en ambas actividades evidencia un dominio sólido de las competencias evaluadas, combinando capacidad técnica, análisis crítico y manejo adecuado del lenguaje jurídico. En la primera actividad, se demuestra un conocimiento claro y sistemático de la institución del precario, desarrollando de forma ordenada los tres requisitos del artículo 2195 del Código Civil y argumentando con coherencia la procedencia de la acción. Destaca, además, un análisis ético sofisticado que integra nociones jurídicas complejas —como justicia social, dignidad humana, seguridad jurídica y derecho de propiedad—, acompañado de propuestas alternativas que equilibran la protección de derechos fundamentales. El empleo del lenguaje jurídico es preciso y especializado, proyectando seguridad profesional. Como oportunidad de perfeccionamiento, se recomienda explicitar con mayor claridad los dos fines constitutivos del matrimonio en la teoría de Finnis, profundizando en la correlación académica entre ética matrimonial y razonamiento judicial, así como mejorar algunos aspectos formales de redacción.
En la segunda actividad, se aprecian fortalezas relevantes en la correcta identificación de los mecanismos de participación de niños, niñas y adolescentes y en el manejo adecuado de terminología técnica. Sin embargo, el análisis en materia de género resulta limitado, al centrarse principalmente en el plano discursivo sin identificar medidas específicas orientadas a reducir desigualdades estructurales. Asimismo, la perspectiva interseccional es mencionada, aunque sin un desarrollo crítico que articule categorías sociales relevantes —como género, edad o vulnerabilidad— con el contexto procesal de familia. Para alcanzar niveles de excelencia, se aconseja profundizar en la reflexión crítica sobre el rol del proceso judicial frente a la reproducción o transformación de desigualdades, relacionar explícitamente las reformas con fenómenos sociales y políticos recientes en Chile, y expandir el enfoque interseccional en el acceso a la justicia.</t>
  </si>
  <si>
    <t>KATHERINE AYLEEN DURÁN ESPINOZA</t>
  </si>
  <si>
    <t>KATHERINE AYLEEN</t>
  </si>
  <si>
    <t>El desempeño en ambas actividades refleja esfuerzos significativos por abordar los problemas jurídicos planteados, aunque presenta diferencias notables en cuanto al nivel de análisis, rigor técnico y calidad formal. En la primera actividad, si bien se evidencia una comprensión básica del caso y se logra adoptar una postura, el trabajo manifiesta debilidades sustanciales en aspectos conceptuales y técnicos. Se observa confusión entre posesión y tenencia, omisión de la cita expresa al artículo 2195 del Código Civil y falta de un desarrollo sistemático de los requisitos del precario. El posicionamiento ético se limita a contraponer lo moral y lo legal sin profundizar en categorías jurídicas concretas, aunque destaca positivamente la identificación de ambos elementos constitutivos del matrimonio según Finnis, lo que constituye la parte más sólida de la respuesta. El lenguaje jurídico es básico y con imprecisiones, situación agravada por numerosos errores formales que afectan la claridad y proyectan insuficiente competencia profesional. Para elevar el nivel, es necesario subsanar las confusiones conceptuales, reforzar la estructura argumentativa, citar adecuadamente el artículo 2195, enriquecer el análisis ético y mejorar tanto la precisión terminológica como la corrección formal.
En la segunda actividad, se aprecia un avance en rigor y claridad, destacando la correcta identificación de los mecanismos de participación de los niños, niñas y adolescentes —derecho a ser oídos, audiencias adaptadas a su comprensión y obligación del tribunal de motivar— vinculándolos de manera pertinente al principio de autonomía progresiva. El lenguaje jurídico aquí es adecuado y se sostiene una proyección más profesional. No obstante, el enfoque de género se aborda superficialmente, sin incluir medidas concretas ni referencias normativas; la reflexión sobre desigualdades carece de conexión con fenómenos sociales específicos; y la perspectiva interseccional se menciona, pero sin análisis ni articulación sustantiva. Para alcanzar un nivel más alto, se recomienda profundizar en la revisión crítica de desigualdades de género mediante ejemplos y normativa internacional, así como ampliar el enfoque interseccional integrando la confluencia de múltiples vulnerabilidades.</t>
  </si>
  <si>
    <t>FREDDY XANDER SOTO PONCE</t>
  </si>
  <si>
    <t>PONCE</t>
  </si>
  <si>
    <t>FREDDY XANDER</t>
  </si>
  <si>
    <t>En el desarrollo de ambas actividades se evidencia un desempeño con avances importantes en la argumentación ética y en el uso del lenguaje jurídico, aunque con limitaciones relevantes en lo técnico y conceptual. En la primera actividad, se destaca un posicionamiento ético crítico de alto nivel, que incorpora reflexiones sofisticadas en torno a la seguridad jurídica y cuestiona con fundamentos la primacía del matrimonio frente a normas legales vigentes. Asimismo, se observa un manejo avanzado del lenguaje jurídico especializado, con terminología precisa y citas normativas adecuadas, además de una correcta identificación de la relación entre las ideas de John Finnis y el razonamiento del tribunal. No obstante, aparece una deficiencia central en la comprensión del precario, confundiéndolo conceptualmente con la posesión o la mera tenencia, lo cual lleva a perder el foco de la consigna que exigía fundamentar la procedencia de la acción. Para mejorar, es necesario clarificar los elementos específicos de esta institución jurídica, ajustar la argumentación a la consigna solicitada y corregir los errores formales de redacción.
En la segunda actividad, la respuesta demuestra una buena comprensión de los mecanismos de participación de niños, niñas y adolescentes —escucha activa, autonomía progresiva y articulación interinstitucional—, vinculándolos adecuadamente con el principio del interés superior del niño, así como un reconocimiento del reforzamiento de las obligaciones de los tribunales y de la creación de instancias de apoyo psicosocial. Sin embargo, el análisis de género y de desigualdades estructurales es superficial, al no precisar medidas normativas concretas ni vincularse con normas internacionales en materia de igualdad. La perspectiva interseccional carece de amplitud, pues omite variables sociales adicionales relevantes. Finalmente, aunque el lenguaje jurídico es adecuado, la respuesta mejoraría notablemente si incorporara referencias específicas a artículos de la Ley N° 21.430, la Ley N° 19.968 o instrumentos internacionales como la Convención sobre los Derechos del Niño.</t>
  </si>
  <si>
    <t>MARTINA ARIADNA SILVA CAROCA</t>
  </si>
  <si>
    <t>CAROCA</t>
  </si>
  <si>
    <t>MARTINA ARIADNA</t>
  </si>
  <si>
    <t>El desempeño alcanzado en ambas actividades evidencia un nivel académico elevado, con un manejo técnico sólido y un lenguaje jurídico especializado que proyecta competencias profesionales avanzadas. En la primera actividad, se presenta un análisis técnico impecable de la institución del precario, con desarrollo exhaustivo y sistemático de los tres requisitos del artículo 2195 del Código Civil y citación expresa al mismo. Asimismo, la correlación conceptual entre la teoría de Finnis y el razonamiento del tribunal se desarrolla con madurez académica, incorporando de manera articulada ambos elementos constitutivos del matrimonio (amistad y procreación), lo que aporta profundidad filosófico-jurídica a la reflexión. El posicionamiento crítico frente a los límites de las consideraciones éticas en contraste con normas legales explícitas es apropiado y bien fundamentado. El texto se caracteriza por un dominio del lenguaje jurídico especializado, precisión terminológica y una presentación formal sin errores relevantes. Como oportunidad menor de mejora, se recomienda la incorporación sistemática de conceptos técnicos adicionales solicitados, tales como justicia social, interpretación extensiva, analogía y seguridad jurídica, a fin de potenciar aún más la completitud del análisis.
En la segunda actividad, destaca la comprensión clara y estructurada de los mecanismos de participación de niños, niñas y adolescentes —audiencias adaptadas, motivación judicial y articulación intersectorial con asesoría técnica—, relacionándolos adecuadamente con los principios de autonomía progresiva e interés superior del niño. También sobresale la identificación de motivaciones legislativas relevantes, vinculando la adecuación normativa a la Ley N° 21.430 y a fenómenos sociales recientes, como la crisis de violencia intrafamiliar agudizada durante la pandemia. No obstante, el análisis del enfoque de género resulta limitado al no incluir referencias a medidas concretas ni a estándares internacionales de igualdad; del mismo modo, la perspectiva interseccional se muestra restringida por la ausencia de categorías sociales complementarias en el razonamiento. Aunque el lenguaje jurídico se mantiene pertinente y profesional, la calidad del análisis aumentaría con un respaldo más específico en normas nacionales e internacionales aplicables.</t>
  </si>
  <si>
    <t>JAEL MAGDALENA MARÍN SERRANO</t>
  </si>
  <si>
    <t>MARÍN</t>
  </si>
  <si>
    <t>JAEL MAGDALENA</t>
  </si>
  <si>
    <t>El trabajo evaluado en ambas actividades refleja un nivel de análisis avanzado, destacando especialmente la capacidad de articular razonamientos éticos y jurídicos con un lenguaje técnico propio de la disciplina. En la primera actividad, se desarrolla un análisis excepcionalmente profundo y sofisticado, en el que se identifican y relacionan de manera magistral las motivaciones de Finnis como contenidos implícitos en el razonamiento del tribunal. El estudiante logra explicar con claridad la tensión entre el enfoque ético-humanista del matrimonio entendido como bien humano básico y la aplicación estricta del derecho positivo, lo que demuestra una comprensión madura de los límites entre consideraciones morales y la aplicación rigurosa de la ley. Entre sus fortalezas, se resalta también la adopción de una postura clara y contraria a la del tribunal, con fundamentación jurídica consistente, la distinción correcta entre derechos inter partes y efectos frente a terceros, y la reflexión crítica sobre cómo la primacía de consideraciones morales sobre normas claras puede repercutir en la seguridad jurídica. Además, utiliza terminología jurídica pertinente y mantiene coherencia argumentativa. Como oportunidades de mejora, sería aconsejable perfeccionar ciertas precisiones terminológicas (p. ej., corrección de errores menores como “contrato de promedio”), enriquecer el análisis técnico del precario con mayor profundidad normativa e incorporar conceptos adicionales en el análisis ético (tales como la interpretación extensiva o la incorrecta aplicación del derecho).
En la segunda actividad, la respuesta expone adecuadamente los mecanismos de participación de niños, niñas y adolescentes, la obligación de fundamentación de las decisiones y su vinculación con la autonomía progresiva, utilizando un lenguaje jurídico claro y correcto. Sin embargo, el enfoque de género es tratado de manera superficial, sin referencia a medidas procesales específicas, y la reflexión sobre desigualdades estructurales carece de un desarrollo robusto que integre contextos sociales concretos. Asimismo, la perspectiva interseccional se menciona, pero sin desplegar un análisis auténtico ni articular diferentes categorías sociales en el acceso a la justicia. Para alcanzar un nivel superior, se recomienda identificar expresamente medidas procesales con perspectiva de género, aportar referencias a instrumentos internacionales relevantes —como la CEDAW o la Convención sobre los Derechos del Niño— y ampliar el análisis interseccional para mostrar cómo se cruzan variables como género, edad, clase u otras vulnerabilidades en la práctica judicial.</t>
  </si>
  <si>
    <t>SEBASTIAN ALEJANDRO ARAYA SILVA</t>
  </si>
  <si>
    <t>SEBASTIAN ALEJANDRO</t>
  </si>
  <si>
    <t>25.08.2025</t>
  </si>
  <si>
    <t>El desempeño alcanzado en las actividades evaluadas muestra avances iniciales, aunque aún se encuentra por debajo de lo esperado para el perfil intermedio en Derecho. Se identifican logros puntuales que evidencian disposición al aprendizaje, pero persisten debilidades que requieren un trabajo más sistemático para consolidar competencias jurídicas y comunicativas.</t>
  </si>
  <si>
    <t>FRANCISCA DANIELA BELÉN VERA CONCHA</t>
  </si>
  <si>
    <t>CONCHA</t>
  </si>
  <si>
    <t>FRANCISCA DANIELA BELÉN</t>
  </si>
  <si>
    <t>En la primera actividad, el estudiante logra aproximarse al análisis de la institución del precario y hace referencia al artículo 2195 del Código Civil. Sin embargo, la argumentación se presenta incompleta y con limitaciones en la precisión conceptual y técnica. El razonamiento jurídico carece de una estructura clara y no alcanza a sostener conclusiones bien fundamentadas. Además, la presencia de errores de redacción y ortografía afecta la claridad del escrito y resta formalidad a la presentación.</t>
  </si>
  <si>
    <t>CRISTIÁN EDUARDO SANTIBÁÑEZ LILLO</t>
  </si>
  <si>
    <t>SANTIBÁÑEZ</t>
  </si>
  <si>
    <t>LILLO</t>
  </si>
  <si>
    <t>CRISTIÁN EDUARDO</t>
  </si>
  <si>
    <t>En la segunda actividad, se advierte un esfuerzo por contextualizar los cambios legislativos y se reconoce la importancia de ciertos principios, como el derecho a ser oído de los NNA y la obligación de fundamentación judicial. No obstante, el análisis permanece en un nivel descriptivo y superficial, sin desarrollar un posicionamiento crítico ni profundizar en la identificación de medidas normativas concretas. El uso del lenguaje jurídico requiere mayor precisión y cuidado, a fin de evitar confusiones conceptuales que debilitan la calidad del trabajo.</t>
  </si>
  <si>
    <t>VICENTE EZEQUIEL MAXIMILIANO MUÑOZ ABURTO</t>
  </si>
  <si>
    <t>ABURTO</t>
  </si>
  <si>
    <t>VICENTE EZEQUIEL MAXIMILIANO</t>
  </si>
  <si>
    <t>En conjunto, el estudiante debe focalizar sus esfuerzos en mejorar la claridad de la expresión escrita, fortalecer el dominio conceptual de las instituciones jurídicas y desarrollar un análisis crítico más sólido, lo que le permitirá avanzar hacia un desempeño más consistente y cercano a las exigencias del perfil intermedio.</t>
  </si>
  <si>
    <t>ANDRÉS VLADIMIR KATRIEL BEJARANO QUINTEROS</t>
  </si>
  <si>
    <t>BEJARANO</t>
  </si>
  <si>
    <t>QUINTEROS</t>
  </si>
  <si>
    <t>ANDRÉS VLADIMIR KATRIEL</t>
  </si>
  <si>
    <t>SOFÍA ANTONIA MUÑOZ CAMPROVIN</t>
  </si>
  <si>
    <t>CAMPROVIN</t>
  </si>
  <si>
    <t>En términos globales, el desempeño en ambas actividades refleja claridad expositiva, organización adecuada y un manejo correcto del lenguaje jurídico, aunque aún requiere avanzar hacia una mayor profundidad crítica y rigor técnico para alcanzar un nivel óptimo.
En la primera actividad, se aprecia una argumentación coherente sobre el concepto de mera tolerancia y un uso apropiado de terminología jurídica, con estructura profesional organizada y formalmente correcta. A su vez, se valora la capacidad de conectar la filosofía del derecho de John Finnis con el razonamiento del tribunal en torno a la importancia del matrimonio, articulando los elementos constitutivos del mismo (amistad/fides y procreación) con el valor jurídico que se le atribuye en la sentencia. No obstante, las áreas de mejora se concentran en fortalecer el análisis ético y de justicia social, incorporando de manera específica conceptos técnicos como interpretación extensiva, seguridad jurídica o incorrecta aplicación del derecho. Asimismo, se requiere un desarrollo más exhaustivo y técnico del análisis jurídico del precario para evitar imprecisiones conceptuales menores, y una profundización del rigor crítico en la exposición de correlaciones conceptuales. Para avanzar hacia niveles superiores, se recomienda integrar con mayor sistematicidad categorías doctrinales y técnicas, a fin de reforzar las competencias propias de la proyección profesional en el ejercicio del derecho.
En la segunda actividad, se exponen correctamente los mecanismos de participación de NNA en sede judicial, la obligación de motivación de las decisiones y las adecuaciones normativas, empleando un lenguaje jurídico claro y consistente. Sin embargo, el análisis del enfoque de género resulta superficial al no profundizar en medidas procesales concretas ni en referencias normativas internacionales. De igual forma, la perspectiva interseccional no se desarrolla de manera auténtica, limitándose a un reconocimiento general. Para alcanzar un nivel de excelencia, sería necesario vincular el análisis con normas internacionales aplicables (CEDAW, Convención sobre los Derechos del Niño) e incorporar un enfoque interseccional robusto que explique cómo variables sociales como género, edad, etnia o condición socioeconómica se intersectan en la práctica judicial para impactar en el acceso a la justicia y la protección de derechos.</t>
  </si>
  <si>
    <t>ERICK ALEXANDER VÁSQUEZ PEÑA</t>
  </si>
  <si>
    <t>ERICK ALEXANDER</t>
  </si>
  <si>
    <t>El desempeño en ambas actividades evidencia avances en la capacidad de identificar conceptos centrales y relacionarlos con fundamentos teóricos y normativos, aunque se observan diferencias relevantes en cuanto a la solidez técnica y la profundidad analítica alcanzada en cada una.
En la primera actividad, se aprecia un entendimiento básico de los conceptos jurídicos involucrados, acompañado de una contribución positiva al establecer conexiones entre la filosofía del derecho de John Finnis y el razonamiento judicial, en particular respecto a la valoración del matrimonio como bien humano básico. Sin embargo, el análisis técnico de la institución del precario carece de precisión y rigor, pues se advierten confusiones respecto de los elementos constitutivos definidos en el artículo 2195 del Código Civil. Esto se traduce en argumentaciones superficiales que no alcanzan el nivel de profundidad exigido para el perfil intermedio, lo que limita una adecuada comprensión de las implicancias jurídicas del caso. Adicionalmente, la redacción presenta errores de forma y el uso del lenguaje técnico resulta impreciso, afectando la claridad y profesionalismo del texto. Para mejorar, es necesario reforzar la comprensión de las instituciones del derecho civil, estructurar con mayor rigor los argumentos y elevar la calidad de la expresión escrita con un uso más exacto de la terminología jurídica.
En la segunda actividad, se observa un dominio más sólido. El estudiante identifica correctamente los mecanismos de participación de los NNA —como audiencias adaptadas, obligación de motivar la incorporación de su opinión y creación de unidades técnicas de apoyo—, además de reconocer su vinculación con el principio del interés superior del niño y la necesidad de reforzar la coordinación intersectorial para dar respuestas integrales. No obstante, el tratamiento del enfoque de género resulta superficial, al no incluir referencias a normas específicas ni vincularse con estándares internacionales de igualdad y no discriminación. La perspectiva interseccional, a su vez, podría enriquecerse incorporando variables adicionales como la condición socioeconómica o étnica en el acceso efectivo a la justicia. El uso del lenguaje jurídico es correcto, aunque el análisis se beneficiaría de referencias doctrinales o normativas más precisas que aporten solidez técnica.</t>
  </si>
  <si>
    <t>MISAEL ALEJANDRO DAMASO ROJAS TALY</t>
  </si>
  <si>
    <t>TALY</t>
  </si>
  <si>
    <t>MISAEL ALEJANDRO DAMASO</t>
  </si>
  <si>
    <t>El desempeño en las dos actividades muestra un contraste importante entre fortalezas técnicas en algunos apartados y deficiencias críticas en otros, lo que afecta la consistencia global del trabajo académico presentado.
En la primera actividad, se valora positivamente el análisis técnico del precario, en el que se citan expresamente los tres requisitos señalados en el artículo 2195 del Código Civil, acompañado de argumentación sofisticada en torno a derechos de propiedad y obligaciones contractuales. Asimismo, se evidencia un dominio avanzado del lenguaje jurídico especializado, con terminología precisa, así como un posicionamiento crítico pertinente frente a la tensión entre consideraciones éticas y derecho positivo. Sin embargo, esta calidad no se mantiene de manera uniforme, pues se advierte una deficiencia grave: la ausencia total de respuesta en la pregunta 3, reemplazada por un texto incoherente que no cumple con los mínimos exigibles. Esta omisión implica una pérdida sustancial en la evaluación integral. Para mejorar, es indispensable responder en su totalidad todas las preguntas planteadas, integrar de forma sistemática los conceptos técnicos solicitados (como seguridad jurídica, interpretación extensiva, incorrecta aplicación del derecho) y revisar errores menores de redacción para proyectar plena solidez académica.
En la segunda actividad, el desempeño resulta insatisfactorio. La respuesta refleja un enfoque parcial y falto de rigor jurídico, caracterizándose por un lenguaje informal y politizado que dificulta la proyección profesional. No se reconocen de manera adecuada las disposiciones de género del proyecto de ley, ni se desarrolla un análisis crítico sobre desigualdades estructurales o interseccionales. Además, se omite citar referencias normativas específicas (Ley N° 21.430, CEDAW, Convención sobre los Derechos del Niño), debilitando el respaldo técnico de los argumentos. Para avanzar, es necesario utilizar un lenguaje estrictamente jurídico, estructurar el análisis sobre fundamentos normativos y doctrinales, e integrar categorías sociales múltiples (género, edad, condición socioeconómica, etnia) que permitan enriquecer el enfoque interseccional.</t>
  </si>
  <si>
    <t>BENJAMÍN NICOLÁS SALEM LARENAS ARAYA</t>
  </si>
  <si>
    <t>LARENAS</t>
  </si>
  <si>
    <t>BENJAMÍN NICOLÁS SALEM</t>
  </si>
  <si>
    <t>El desempeño en ambas actividades muestra bases positivas en la identificación de contenidos y en la organización de la respuesta, pero también presenta debilidades significativas que deben ser atendidas con urgencia para alcanzar el nivel de exigencia correspondiente al perfil intermedio de la carrera de Derecho.
En la primera actividad, el desarrollo evidencia aspectos rescatables: adopta posturas claras frente a las preguntas, reconoce adecuadamente la tensión entre consideraciones morales y la aplicación del derecho positivo, e identifica conexiones pertinentes entre la filosofía de Finnis y el razonamiento judicial sobre el matrimonio como institución fundamental. Además, mantiene una presentación formal aceptable. Estas fortalezas constituyen un punto de partida valioso. Sin embargo, se observan deficiencias técnicas importantes: confusiones conceptuales graves respecto de la comprensión del caso y de los requisitos del precario; un análisis superficial que no desarrolla en profundidad las dimensiones críticas del problema; uso impreciso de la terminología jurídica; y una argumentación que se mantiene en un plano demasiado general, limitando el grado de rigor técnico alcanzado. Para mejorar, es imprescindible reforzar la comprensión de las instituciones esenciales del derecho civil, perfeccionar el uso de terminología jurídica especializada, y desarrollar una capacidad de argumentación más profunda, estructurada y sofisticada.
En la segunda actividad, se logra describir de forma correcta los mecanismos básicos de participación y ciertas garantías procesales, reconociendo su vínculo con la autonomía progresiva. No obstante, el tratamiento del enfoque de género carece de profundidad, omite la referencia a estándares internacionales de igualdad y no discriminación, y no desarrolla una auténtica perspectiva interseccional al abordar desigualdades estructurales. Para avanzar, es altamente recomendable vincular el análisis a normas concretas del proyecto, además de citar tratados internacionales relevantes como la CEDAW o la Convención sobre los Derechos del Niño. Asimismo, debe incorporarse un examen crítico más elaborado de cómo las reformas buscan superar desigualdades de género y cómo estas interactúan con categorías sociales adicionales como clase, edad o etnia.</t>
  </si>
  <si>
    <t>CONSTANZA BEATRIZ ARÉVALO SALAZAR</t>
  </si>
  <si>
    <t>CONSTANZA BEATRIZ</t>
  </si>
  <si>
    <t>El trabajo en ambas actividades revela ciertos avances en el reconocimiento de elementos centrales de los problemas jurídicos planteados, pero también refleja deficiencias significativas en la profundidad técnica, el rigor conceptual y la calidad formal que deben ser abordadas de manera prioritaria para alcanzar el nivel de exigencia del perfil intermedio en Derecho.
En la primera actividad, se observa una comprensión básica de la institución del precario y el esfuerzo por relacionar a Finnis con el razonamiento del tribunal acerca del matrimonio como institución fundamental. Asimismo, el posicionamiento ético planteado es pertinente, aunque limitado. Sin embargo, el análisis carece del desarrollo sistemático esperado: no se abordan con rigor los requisitos del artículo 2195 del Código Civil; la argumentación jurídica es general y poco precisa; la relación con Finnis se mantiene muy superficial sin explicar en detalle los elementos constitutivos del matrimonio (amistad/fides y procreación); y el uso del lenguaje jurídico no alcanza el nivel técnico esperado. Para mejorar, es necesario estructurar un análisis más exhaustivo del precario, profundizar en la correlación con Finnis, enriquecer el posicionamiento ético con conceptos avanzados (seguridad jurídica, interpretación extensiva, incorrecta aplicación del derecho), y cuidar la precisión y formalidad de la escritura.
En la segunda actividad, se reconoce la identificación de elementos relevantes del proyecto de ley, como la implementación de audiencias específicas para NNA y la existencia de medidas de protección reforzada. No obstante, las respuestas permanecen en un nivel descriptivo y superficial, sin un análisis crítico consistente. Resulta especialmente problemático el uso de expresiones ajenas a los enfoques de derechos humanos —como la referencia negativa a inmigración y “malas costumbres de otras culturas”—, que evidencia falta de sensibilidad en la aplicación de perspectivas jurídicas modernas. Además, se constata la ausencia de una verdadera perspectiva interseccional, un análisis de género débil sin referencia a estándares internacionales (como CEDAW o la Convención sobre los Derechos del Niño), errores técnicos en terminología (por ejemplo, “ad liten” en lugar de ad litem), y la incapacidad de articular acontecimientos políticos y sociales específicos de Chile en los últimos diez años con las motivaciones legislativas. Para superar estas limitaciones, resulta fundamental desarrollar capacidades de análisis crítico, incorporar genuinamente enfoques de género e interseccionalidad, perfeccionar el uso del lenguaje jurídico técnico y precisar la relación entre el proyecto normativo y el contexto sociopolítico reciente de manera fundamentada y profesional.</t>
  </si>
  <si>
    <t>RENATO ALEJANDRO DE JESÚS SALAZAR AMPUERO</t>
  </si>
  <si>
    <t>RENATO ALEJANDRO DE JESÚS</t>
  </si>
  <si>
    <t>El análisis realizado en ambas actividades evidencia avances relevantes en la capacidad para tomar postura y articular reflexiones normativas y éticas, pero presenta limitaciones técnicas y de redacción que afectan la consistencia global del trabajo.
En la primera actividad, se valoran positivamente varios aspectos: el desarrollo de posturas coherentes en las tres dimensiones conceptuales planteadas, la mención explícita al artículo 2195 del Código Civil y la formulación de argumentos sobre derechos de propiedad; un posicionamiento crítico adecuado respecto de la tensión entre moral y derecho positivo; y la identificación correcta de la relación entre Finnis y el tribunal, incorporando los dos elementos constitutivos del matrimonio (amistad/fides y procreación). Estas fortalezas denotan comprensión conceptual de fondo. No obstante, persisten oportunidades relevantes de mejora: el desarrollo de los requisitos del precario no alcanza aún un nivel exhaustivo ni sistemático; falta la incorporación específica de los conceptos técnicos solicitados (justicia social, interpretación extensiva, analogía, seguridad jurídica); se requiere mayor precisión terminológica y la eliminación de confusiones conceptuales puntuales; así como la corrección integral de errores de redacción, puntuación y concordancia, que afectan la calidad formal del texto.
En la segunda actividad, la respuesta muestra comprensión básica sobre la relevancia del enfoque de género y del principio del interés superior del niño dentro del proceso de familia. Sin embargo, el análisis resulta insuficiente, pues no identifica disposiciones concretas del proyecto de ley ni apoya su desarrollo con normas, instrumentos o principios internacionales. Tampoco se articula un enfoque interseccional sólido que permita analizar cómo se cruzan distintas categorías sociales en el acceso a la justicia y la protección de derechos, lo que limita la profundidad crítica esperada.</t>
  </si>
  <si>
    <t>BENJAMÍN IGNACIO CORTÉS APABLAZA</t>
  </si>
  <si>
    <t>CORTÉS</t>
  </si>
  <si>
    <t>APABLAZA</t>
  </si>
  <si>
    <t>BENJAMÍN IGNACIO</t>
  </si>
  <si>
    <t>El trabajo realizado en ambas actividades muestra avances importantes en la comprensión y aplicación del derecho, reflejando un progreso académico consistente. No obstante, persisten aspectos que deben fortalecerse para alcanzar un nivel de excelencia en el perfil intermedio de la carrera de Derecho.
En la primera actividad, se aprecia un buen dominio de la institución del precario. La respuesta desarrolla de manera coherente los tres requisitos copulativos del artículo 2195 del Código Civil y articula una argumentación sólida sobre la procedencia de la acción. El análisis ético es pertinente, especialmente al cuestionar la decisión del tribunal desde la perspectiva de la seguridad jurídica y los derechos registrales, aunque podría enriquecerse con conceptos más específicos como interpretación extensiva e incorrecta aplicación del derecho. La correlación con la filosofía de Finnis es adecuada, explicando académicamente los elementos constitutivos del matrimonio (amistad/fides y procreación) y distinguiendo claramente entre el enfoque teórico y el judicial. Además, se utiliza un lenguaje jurídico técnico apropiado. Para un perfeccionamiento integral, se recomienda citar directamente el art. 2195 CC, incorporar de manera expresa conceptos técnicos adicionales en la crítica ética, mantener un registro formal más homogéneo y corregir detalles menores de construcción sintáctica.
En la segunda actividad, la respuesta evidencia comprensión fundamental del proyecto de ley, identificando correctamente los mecanismos de participación de NNA, el principio de debida fundamentación judicial y referencias esenciales al debido proceso. Destaca también la identificación de motivaciones legislativas en relación con compromisos internacionales y demandas sociales emergidas tras el estallido de 2019. Sin embargo, el análisis resulta limitado: el enfoque de género y la interseccionalidad se abordan de manera superficial, sin especificar disposiciones normativas concretas ni analizar su aplicación práctica. El uso del lenguaje jurídico es en general adecuado, aunque la estructura de las ideas podría mejorarse con mayor rigor académico. Para avanzar, se recomienda integrar ejemplos normativos concretos del proyecto y de tratados internacionales (como CEDAW), articular un enfoque interseccional auténtico que considere categorías sociales diversas (género, edad, etnia, condición socioeconómica) y fortalecer la redacción académica con un estilo más técnico y crítico.</t>
  </si>
  <si>
    <t>CAMILA IGNACIA ARRIAGADA GÁLVEZ</t>
  </si>
  <si>
    <t>ARRIAGADA</t>
  </si>
  <si>
    <t>GÁLVEZ</t>
  </si>
  <si>
    <t>CAMILA IGNACIA</t>
  </si>
  <si>
    <t>El desempeño en ambas actividades es excepcional y refleja un nivel de madurez académica plenamente consistente con las exigencias del perfil intermedio de la carrera de Derecho, proyectando con claridad competencias propias de un ejercicio jurídico profesional.
En la primera actividad, el análisis de la institución del precario es técnicamente impecable: se desarrollan de manera rigurosa y sistemática los requisitos copulativos del artículo 2195 del Código Civil, fundamentando de forma sólida la ausencia de un nexo jurídico válido que justifique la tenencia. El posicionamiento ético es de alto nivel, pues conjuga múltiples nociones avanzadas —como seguridad jurídica, coherencia sistémica y protección de la parte vulnerable— logrando equilibrar la dimensión moral con el derecho positivo. La correlación con la filosofía de John Finnis, además, se expone con notable solvencia académica, identificando y desarrollando los dos elementos constitutivos del matrimonio (amistad/fides y procreación) y vinculándolos con la valoración judicial del considerando respectivo. El uso del lenguaje jurídico es preciso, técnico y especializado, proyectando dominio conceptual y seguridad profesional.
En la segunda actividad, las respuestas evidencian un nivel igualmente sobresaliente. Se demuestra comprensión profunda del proyecto de ley y se desarrolla una capacidad analítica destacada en relación con el enfoque de género y la interseccionalidad, en coherencia con los criterios de la rúbrica. Se identifican con precisión medidas normativas específicas —como la protección reforzada frente a violencia intrafamiliar, la articulación interinstitucional y la capacitación permanente de operadores de justicia— vinculándolas con estándares internacionales y tratados relevantes, como la CEDAW y la Convención de Belém do Pará. El análisis interseccional es particularmente valioso, al integrar categorías sociales múltiples (género, edad, condición socioeconómica, origen étnico) y explicar cómo su confluencia profundiza contextos de discriminación y desigualdad. Además, las respuestas articulan las reformas legislativas con fenómenos sociales y políticos contemporáneos de gran significación, como la crisis del SENAME y el impacto del estallido social de 2019, otorgando profundidad contextual al análisis normativo. El lenguaje jurídico empleado es sofisticado y exacto, incorporando de manera adecuada expresiones como autonomía progresiva, principio de contradicción y control jurisdiccional.</t>
  </si>
  <si>
    <t>NICOLÁS CARIM VARGAS MERCADO</t>
  </si>
  <si>
    <t>MERCADO</t>
  </si>
  <si>
    <t>NICOLÁS CARIM</t>
  </si>
  <si>
    <t>CONSTANZA CAROLINA GUSCOVICH GONZÁLEZ</t>
  </si>
  <si>
    <t>GUSCOVICH</t>
  </si>
  <si>
    <t>CONSTANZA CAROLINA</t>
  </si>
  <si>
    <t>El desempeño del estudiante en ambas actividades es sobresaliente, demostrando dominio técnico, madurez crítica y proyección plenamente profesional en el campo jurídico.
En la primera actividad, se observa un manejo completo y riguroso de la institución del precario, con un análisis que articula de manera impecable los requisitos establecidos en el artículo 2195 del Código Civil. El estudiante adopta posiciones claras y sólidas, sustentadas tanto en el examen normativo como en reflexiones éticas de gran profundidad. Destaca particularmente la capacidad para evaluar la tensión entre derecho positivo y consideraciones morales, integrando en su argumentación conceptos complejos como interpretación extensiva, seguridad jurídica e incorrecta aplicación del derecho, lo que proyecta un nivel de madurez intelectual excepcional. La correlación entre la filosofía del matrimonio según John Finnis y el razonamiento del tribunal se desarrolla con precisión conceptual, vinculando de forma coherente los elementos constitutivos de la doctrina (amistad/fides y procreación) con la valoración judicial del matrimonio como institución. Todo ello expresado en un lenguaje jurídico consistente, técnico y profesional, acompañado de una calidad formal impecable.
En la segunda actividad, se mantiene el mismo nivel de excelencia. El estudiante demuestra profundidad analítica y un uso riguroso del lenguaje jurídico, identificando con claridad medidas específicas del proyecto de ley en materia de género —como la protección reforzada frente a violencia intrafamiliar, la articulación interinstitucional y la capacitación especializada— y vinculándolas directamente con fenómenos sociales y con obligaciones emanadas de estándares internacionales (CEDAW, Convención sobre los Derechos del Niño, Convención de Belém do Pará). La reflexión crítica sobre desigualdades estructurales no solo es completa, sino que otorga al proceso judicial un papel de agente transformador en la protección de derechos. Además, se desarrolla una perspectiva interseccional auténtica, articulando variables como género, edad, condición socioeconómica y etnia, junto a propuestas institucionales concretas para abordarlas.</t>
  </si>
  <si>
    <t>BENJAMÍN ANDRÉS VALDEBENITO CATALÁN</t>
  </si>
  <si>
    <t>VALDEBENITO</t>
  </si>
  <si>
    <t>BENJAMÍN ANDRÉS</t>
  </si>
  <si>
    <t>El conjunto de las actividades evidencia un sólido desempeño en el manejo del razonamiento filosófico-jurídico y del lenguaje técnico especializado. En la primera actividad destaca la capacidad de articular de manera magistral la doctrina de Finnis con el razonamiento judicial, ofreciendo una correlación conceptual precisa que logra vincular instituciones jurídicas con valores ético-sociales de gran relevancia, particularmente en torno al matrimonio como bien humano básico. Asimismo, se observa un posicionamiento ético equilibrado y reflexivo que reconoce la tensión entre normatividad y justicia social, acompañado de un uso avanzado del lenguaje jurídico y un cuidado adecuado de la forma.
No obstante, se advierten oportunidades de mejora en la profundización del análisis técnico de los elementos propios del precario, especialmente en la distinción entre ocupación por mera tolerancia o por desconocimiento, así como en la integración explícita de conceptos solicitados tales como interpretación extensiva, analogía, seguridad jurídica y correcta aplicación del derecho.
En relación con la segunda actividad, si bien se reconoce un esfuerzo por identificar la relevancia del enfoque de género en sede de familia, el análisis resulta insuficiente al no precisar medidas concretas contempladas en el proyecto ni relacionarlas de manera crítica con desigualdades estructurales o con estándares internacionales de igualdad y no discriminación. Asimismo, el examen carece de perspectiva interseccional, al omitir la consideración de variables como edad, clase u origen social que refuerzan la situación de vulnerabilidad en NNA y mujeres. El lenguaje jurídico empleado es correcto, pero en este caso se echa de menos un apoyo en citas normativas o doctrinarias que respalden con mayor solidez los argumentos.</t>
  </si>
  <si>
    <t>JOAQUÍN IGNACIO VIDELA RIQUELME</t>
  </si>
  <si>
    <t>VIDELA</t>
  </si>
  <si>
    <t>JOAQUÍN IGNACIO</t>
  </si>
  <si>
    <t>MILLARAY IGNACIA TORRES CUEVAS</t>
  </si>
  <si>
    <t>TORRES</t>
  </si>
  <si>
    <t>MILLARAY IGNACIA</t>
  </si>
  <si>
    <t>El desempeño global en ambas actividades refleja un alto nivel de dominio académico y técnico, particularmente en la primera, donde se observa un análisis jurídico-filosófico excepcional. La argumentación elaborada en torno al precario demuestra sofisticación en la distinción entre derechos reales y personales, destacando la idea de que el matrimonio no otorga un derecho real de habitación, y precisando la aplicación del concepto de mera tolerancia en casos de ocupación posterior a la adquisición. A ello se suma un posicionamiento ético crítico sobresaliente, en el que se integran con precisión múltiples conceptos técnicos solicitados, abordando con equilibrio la tensión entre seguridad jurídica y consideraciones valorativas propias de la justicia social. La correlación conceptual entre la teoría de Finnis y el razonamiento judicial es de una calidad sobresaliente, conectando magistralmente los conceptos de bien familiar y espacio común para la plena realización de los cónyuges. Todo ello se acompaña de un dominio excepcional del lenguaje jurídico especializado, con terminología de altísima precisión técnica y una redacción formal impecable, por sobre los estándares académicos esperados.
En la segunda actividad, se advierte un desempeño intermedio-satisfactorio, que si bien identifica de manera adecuada medidas relevantes como la protección reforzada ante violencia intrafamiliar y reconoce el rol transformador del proceso judicial frente a desigualdades estructurales, presenta un análisis que requiere mayor profundidad. Para alcanzar un nivel superior, resulta necesario fortalecer la fundamentación normativa internacional, articulando con mayor claridad la relación del proyecto con estándares de derechos humanos, así como incorporar una perspectiva interseccional más robusta, mostrando cómo género, edad y clase se entrecruzan en la vulnerabilidad en sede de familia. Asimismo, se recomienda perfeccionar la precisión técnica en el uso del lenguaje jurídico profesional para otorgar mayor fuerza y coherencia al análisis.</t>
  </si>
  <si>
    <t>SHERWIN CARLOS TIRADO MOLINA</t>
  </si>
  <si>
    <t>TIRADO</t>
  </si>
  <si>
    <t>SHERWIN CARLOS</t>
  </si>
  <si>
    <t>En conjunto, las actividades demuestran un desempeño satisfactorio con proyección de mejora, evidenciando fortalezas importantes en el plano ético y en el reconocimiento de enfoques de género e interseccionalidad, pero también limitaciones en la precisión conceptual y técnica.
En la primera actividad, se valora positivamente el posicionamiento ético apropiado, en el que se identifican dilemas relevantes de justicia social y se reconocen los problemas y tensiones que afectan a ambas partes del litigio. Asimismo, se observa una identificación correcta de la conexión entre Finnis y el razonamiento del tribunal, destacando el matrimonio como institución fundamental en la protección de bienes humanos básicos. El nivel formal es satisfactorio, con cumplimiento de los elementos básicos de presentación académica. Sin embargo, persisten confusiones conceptuales relevantes relativas al precario, particularmente en lo que respecta a la distinción entre ocupación por ignorancia o mera tolerancia del dueño frente al título de ocupación del tenedor. Se evidencia también un análisis superficial, que no integra de manera explícita los conceptos técnicos solicitados (interpretación extensiva, analogía, seguridad jurídica), junto a un uso impreciso del lenguaje jurídico, con expresiones confusas que afectan la claridad técnica y la falta de referencia explícita al artículo 2195 del Código Civil.
En la segunda actividad, el análisis alcanza un nivel satisfactorio, destacando la identificación clara de medidas con enfoque de género e interseccionalidad y la correcta vinculación con estándares internacionales de protección de derechos humanos. Su mayor fortaleza se observa en el análisis crítico de la violencia intrafamiliar y en la propuesta de un rol transformador del proceso judicial frente a desigualdades estructurales. Para alcanzar el nivel óptimo, se sugiere profundizar con ejemplos específicos de implementación práctica de las medidas propuestas, además de ampliar el desarrollo de la dimensión interseccional con casos concretos que ilustren cómo las categorías de género, edad y clase social interactúan en contextos de vulnerabilidad.</t>
  </si>
  <si>
    <t>FRANCO IVAN CARREÑO GALLARDO</t>
  </si>
  <si>
    <t>CARREÑO</t>
  </si>
  <si>
    <t>GALLARDO</t>
  </si>
  <si>
    <t>FRANCO IVAN</t>
  </si>
  <si>
    <t>ANTONIA SOFÍA ARAYA MORALES</t>
  </si>
  <si>
    <t>ANTONIA SOFÍA</t>
  </si>
  <si>
    <t>Comentarios actividad uno: identifica correctamente los elementos del precario y argumenta su procedencia invocando la ignorancia y la tolerancia, pero confunde la naturaleza de esa ignorancia y no expone con claridad el nexo jurídico. No aborda la valoración ética solicitada en la segunda pregunta y su análisis de Finnis resulta superficial. Para mejorar, debe responder todas las preguntas, profundizar la argumentación ética con conceptos jurídicos avanzados, desarrollar académicamente los dos fines de Finnis vinculándolos al considerando quinto y emplear un lenguaje jurídico más preciso y profesional. Actividad dos por correo</t>
  </si>
  <si>
    <t>GUADALUPE DEL ROSARIO SALGADO ROJAS</t>
  </si>
  <si>
    <t>SALGADO</t>
  </si>
  <si>
    <t>GUADALUPE DEL ROSARIO</t>
  </si>
  <si>
    <t>En el desarrollo de las actividades se aprecia un desempeño intermedio con proyección hacia niveles superiores, especialmente en lo relativo al análisis técnico del derecho privado y la aplicación crítica de principios en sede de familia.
En la primera actividad, se destaca un análisis técnico completo del precario, con adecuada cita expresa al artículo 2195 del Código Civil y un correcto desarrollo de los requisitos copulativos, concluyendo de manera fundada sobre la procedencia de la acción y la ausencia de consentimiento que caracteriza esta institución. Asimismo, se valora la adopción de un posicionamiento crítico sólido, en el que se cuestiona la incorrecta aplicación del derecho en tensión con fundamentos constitucionales relativos al derecho de propiedad. No obstante, se observan relevantes oportunidades de mejora consistentes en: incorporar más sistemáticamente los conceptos solicitados (justicia social, interpretación extensiva, analogía, seguridad jurídica), profundizar en la correlación conceptual con la teoría de Finnis y su vínculo con el valor del matrimonio, mejorar la precisión terminológica en el uso del lenguaje jurídico y corregir de forma integral errores gramaticales y de puntuación.
En la segunda actividad, se evidencia un nivel intermedio-satisfactorio, con uso correcto de terminología fundamental como "sujetos de derechos", "interés superior del niño" y "debido proceso". En su mejor expresión, el trabajo logra identificar de manera adecuada las medidas de protección reforzada en contextos de violencia intrafamiliar, valorando su impacto para mujeres, niñas y adolescentes, así como el potencial rol transformador del proceso judicial frente a desigualdades estructurales. Sin embargo, en otras partes el análisis aparece más descriptivo que crítico, careciendo de un desarrollo consistente de la perspectiva de género e interseccional, lo que implica ausencia de reflexión sobre la interacción entre género, edad y clase social en el acceso a la justicia familiar. Además, la precisión en el lenguaje jurídico técnico resulta insuficiente, sumado a ciertas imprecisiones expresivas que afectan la claridad profesional. Para alcanzar un nivel óptimo, resulta fundamental integrar de manera plena el enfoque de género, consolidar la perspectiva interseccional y profundizar en los impactos sociales y jurídicos de las reformas propuestas en el proyecto de ley.</t>
  </si>
  <si>
    <t>ANTONIA GRACIELA MANCILLA REYES</t>
  </si>
  <si>
    <t>MANCILLA</t>
  </si>
  <si>
    <t>ANTONIA GRACIELA</t>
  </si>
  <si>
    <t>MABELYN PAOLA REGALADO TORRES</t>
  </si>
  <si>
    <t>REGALADO</t>
  </si>
  <si>
    <t>MABELYN PAOLA</t>
  </si>
  <si>
    <t>ANGELES GABRIELA DEL JESUS QUEVEDO PAREJO</t>
  </si>
  <si>
    <t>QUEVEDO</t>
  </si>
  <si>
    <t>PAREJO</t>
  </si>
  <si>
    <t>ANGELES GABRIELA DEL JESUS</t>
  </si>
  <si>
    <t>El desempeño evidenciado en ambas actividades refleja un nivel básico de logro, con ciertos aciertos en la identificación conceptual, pero también con deficiencias críticas que limitan el cumplimiento de las competencias propias del perfil intermedio en Derecho.
En la primera actividad, se valora la identificación apropiada de la conexión entre el pensamiento de Finnis y el quinto considerando de la sentencia, destacando el reconocimiento del matrimonio como un bien humano básico complejo y la relación de sus elementos constitutivos con el razonamiento del tribunal. No obstante, esta fortaleza puntual se ve seriamente debilitada por errores graves de comprensión lectora y confusiones fácticas fundamentales, como afirmar incorrectamente que la demandante es “hermana del anterior dueño”, en circunstancias de que se trata de personas distintas sin tal vínculo. Ello evidencia lectura comprensiva insuficiente del caso. Además, el análisis técnico del precario resulta confuso y conceptualmente equivocado, sin fundamentar claramente la idoneidad de la acción según lo dispuesto en el art. 2195 CC. El posicionamiento crítico es superficial, al no incorporar conceptos solicitados como seguridad jurídica, interpretación extensiva o analogía, y el lenguaje jurídico utilizado, aunque básico, carece de la precisión técnica mínima requerida, acompañado de múltiples errores de redacción, puntuación y concordancia que afectan la presentación global. Para alcanzar las competencias esperadas, resulta indispensable un mejoramiento sustancial en: comprensión lectora aplicada a casos jurídicos, dominio técnico de los elementos del precario, argumentación crítica con fundamentos conceptuales sólidos, precisión terminológica y corrección integral de la escritura académica.
En la segunda actividad, el análisis se ubica igualmente en un nivel básico de logro. Se observa un uso adecuado de terminología jurídica general y una referencia inicial al enfoque de género e interseccionalidad, pero el tratamiento es superficial y meramente declarativo. No se identifican medidas concretas del proyecto de ley ni se establece un vínculo crítico entre las desigualdades estructurales (como en la violencia intrafamiliar) y el contenido normativo. A ello se suma la ausencia de desarrollo interseccional en la interacción de categorías como género, edad y clase social. Para avanzar, es necesario profundizar en ejemplos específicos de las medidas legislativas, articular con mayor claridad las desigualdades estructurales que justifican dichas reformas, y fortalecer la argumentación mediante un uso sistemático de normas internacionales y principios de igualdad y no discriminación.</t>
  </si>
  <si>
    <t>PERSONAS QUE RINDIERON LA EVALUACIÓN DE PERFIL INTERMEDIO PERO NO ESTÁN EN ESTA BASE DE DATOS</t>
  </si>
  <si>
    <t>Andra Belén Aguilera Lagos</t>
  </si>
  <si>
    <t>Ingresó a Derecho por conducencia</t>
  </si>
  <si>
    <t>El desempeño global en las actividades evaluadas refleja un nivel insuficiente con logros puntuales aislados, lo que impide alcanzar adecuadamente las competencias esperadas del perfil intermedio en Derecho.
En la primera actividad, el trabajo presenta deficiencias significativas en todas las dimensiones evaluadas, situándose principalmente en el nivel 1 (Insuficiente) y ocasionalmente en el nivel 2 (Básico). No se demuestra un dominio suficiente de la institución del precario, la argumentación carece de estructura lógica y técnica, y se evidencia desconocimiento de los requisitos copulativos establecidos en el artículo 2195 del Código Civil. El posicionamiento crítico resulta inexistente o poco fundamentado, y los problemas formales —errores de redacción, ortografía y concordancia— afectan significativamente el nivel de claridad y profesionalismo de la presentación.
En la segunda actividad, se identifican fortalezas puntuales que requieren ser reconocidas: el estudiante logra contextualizar sociopolíticamente los cambios legislativos mediante la referencia adecuada al estallido social de 2019 y a la crisis del SENAME, reconoce correctamente aspectos nucleares como el derecho a ser oído de los NNA, la obligación de fundamentación judicial, y vincula apropiadamente el proyecto con la garantía del debido proceso en relación al derecho de audiencia. Además, logra identificar el foco en la protección de mujeres y niñas en contextos de violencia doméstica. No obstante, estas fortalezas se ven fuertemente opacadas por deficiencias críticas permanentes: problemas severos de expresión escrita con errores ortográficos, gramaticales y de redacción que comprometen la claridad comunicativa; confusión conceptual grave entre intersectorialidad y perspectiva interseccional; análisis de género superficial y limitado a descripciones declarativas; ausencia de identificación concreta de medidas normativas y falta de profundización en la manera en que dichas medidas buscan superar desigualdades estructurales. El uso de terminología jurídica presenta imprecisiones relevantes, como la sustitución de “autonomía progresiva” por “independencia progresiva”.</t>
  </si>
  <si>
    <t>Bazán Garrido, Benjamín Nicolas; </t>
  </si>
  <si>
    <t>El desempeño global en las dos actividades refleja un nivel intermedio con avances puntuales pero también con deficiencias notorias que limitan el cumplimiento pleno de las competencias esperadas en el perfil intermedio de Derecho.
En la primera actividad, el trabajo demuestra comprensión básica del caso, logrando captar la problemática central, pero presenta serias deficiencias en coherencia argumentativa y desarrollo técnico. El análisis del precario es superficial y carece de un desarrollo sistemático de los requisitos legales contemplados en el artículo 2195 del Código Civil. El posicionamiento ético se mantiene en un nivel general, sin densidad conceptual ni respaldo en categorías técnicas. La correlación con el pensamiento de Finnis se limita a una mención general sin desarrollar los elementos constitutivos del matrimonio como bien humano básico, privando a la argumentación de la profundidad filosófico-jurídica requerida. En términos de lenguaje, se observa un uso básico, con necesidad urgente de mayor precisión técnica y un mejor manejo de redacción formal. Para mejorar, será indispensable adoptar una posición argumentativa coherente y fundamentada, desarrollar en forma sistemática los elementos del precario, enriquecer el enfoque ético con conceptos jurídicos específicos, profundizar la relación con Finnis y elevar el nivel de formalidad expresiva.
En la segunda actividad, se observa una ejecución más lograda y consistente, donde destaca la capacidad de conectar el proyecto de ley con fenómenos sociales específicos, en particular la referencia al caso de Lissette Villa y la crisis del SENAME como hechos motivadores de la reforma legislativa, y su vinculación con demandas surgidas a partir del estallido social de 2019. Además, el análisis de género, aunque todavía básico, logra identificar medidas concretas como la protección reforzada frente a la violencia intrafamiliar, integrando incluso un respaldo estadístico pertinente. El uso del lenguaje jurídico es adecuado, con empleo de terminología técnica apropiada como “control jurisdiccional” y “derechos procesales”, lo cual constituye una fortaleza. Sin embargo, las respuestas son breves y carentes de desarrollo crítico en profundidad, especialmente en torno al principio de autonomía progresiva y en el tratamiento de la interseccionalidad, que queda superficial y sin explorar plenamente la interacción entre género, edad y clase. Se recomienda ampliar significativamente la extensión de las respuestas, reforzar el análisis crítico de las implicaciones normativas y desarrollar marcos teóricos interseccionales de forma integral, especialmente en materia de acceso a la justicia de grupos en situación de vulnerabilidad.</t>
  </si>
  <si>
    <t xml:space="preserve">Carla Ignacia Navarro Romero </t>
  </si>
  <si>
    <t xml:space="preserve">
El desempeño global en las actividades evaluadas refleja un nivel suficiente, con avances importantes que permiten constatar un progreso en el desarrollo de las competencias esperadas del perfil intermedio en Derecho, aunque persisten aspectos que requieren mayor consolidación.
En la primera actividad, el trabajo evidencia una comprensión general de la institución del precario y de los requisitos establecidos en el artículo 2195 del Código Civil. La argumentación presenta una estructura básica coherente, aunque con limitaciones en el desarrollo técnico y en la precisión conceptual. Se aprecia un intento de posicionamiento crítico, pero este aún resulta incipiente y poco sustentado en fundamentos normativos o doctrinarios. En el plano formal, el escrito es comprensible y cumple con una adecuada presentación, si bien se observan errores de redacción y ortografía que conviene revisar para alcanzar un mayor nivel de claridad y profesionalismo.
En la segunda actividad, se advierten logros significativos que muestran un mejor desempeño. El estudiante logra contextualizar de manera pertinente los cambios legislativos, aludiendo al estallido social de 2019 y a la crisis del SENAME, y reconoce con acierto principios esenciales como el derecho a ser oído de los NNA y la obligación de fundamentación judicial. También se establece un vínculo adecuado entre el proyecto y la garantía del debido proceso, además de destacar la importancia de la protección de mujeres y niñas en contextos de violencia doméstica. Pese a estos avances, subsisten áreas de mejora, particularmente en el uso de terminología jurídica, que a veces presenta imprecisiones, y en la necesidad de profundizar el análisis de género más allá de descripciones generales, incorporando una reflexión crítica sobre cómo las medidas normativas buscan enfrentar desigualdades estructurales.</t>
  </si>
  <si>
    <t>Carlos  Felipe Pardo Gatica</t>
  </si>
  <si>
    <t>El conjunto de las actividades evidencia un desempeño heterogéneo, caracterizado por un trabajo de excelencia en la primera parte y un nivel más limitado en la segunda, lo que refleja distintos grados de consolidación de las competencias esperadas en el perfil intermedio de Derecho.
En la primera actividad, el estudiante demuestra un dominio técnico sobresaliente al evaluar de manera exhaustiva la idoneidad del precario, desarrollando con precisión los elementos del artículo 2195 del Código Civil. El posicionamiento ético-crítico es excepcional, pues integra con rigor los conceptos técnicos solicitados —interpretación extensiva, incorrecta aplicación del derecho, seguridad jurídica y justicia social—, logrando un razonamiento de evidente madurez argumentativa. La correlación conceptual con el pensamiento de Finnis se articula con gran solvencia, identificando las motivaciones filosófico-jurídicas implícitas en el razonamiento del tribunal y concluyendo que la preocupación por el matrimonio responde a su concepción como bien humano básico esencial para el pleno desarrollo humano. Asimismo, el manejo del lenguaje jurídico es impecable, alcanzando un nivel de excelencia académica.
En la segunda actividad, el desempeño resulta adecuado pero con carencias relevantes. Se valora la identificación precisa de los mecanismos de participación de los NNA —derecho a ser oído, audiencias adaptadas y obligación de fundamentar la consideración de su opinión—, vinculándolos correctamente con el interés superior del niño y la autonomía progresiva. Sin embargo, se observa una falta de desarrollo en aspectos sustantivos, particularmente en la ausencia de un enfoque de género y de una perspectiva interseccional, lo que lleva a tratar a los NNA como un grupo homogéneo. El análisis de las desigualdades estructurales se limita a observaciones superficiales, sin profundizar en el rol que el proceso judicial puede tener como herramienta transformadora. El lenguaje jurídico empleado es apropiado, aunque la fundamentación se beneficiaría considerablemente de referencias normativas y convencionales explícitas —por ejemplo, la Ley N° 21.430, la Convención sobre los Derechos del Niño, el Código Civil y el Código de Procedimiento Civil—, lo que fortalecería la solidez técnica y académica del trabajo.</t>
  </si>
  <si>
    <t>Daniela Alexandra Vilches Banda</t>
  </si>
  <si>
    <t>El rendimiento evidenciado en las dos actividades permite apreciar ciertos avances en la comprensión de los problemas jurídicos y en la capacidad de establecer vínculos entre las dimensiones normativas y éticas; sin embargo, persisten deficiencias conceptuales y técnicas que limitan el logro de un perfil intermedio en Derecho.
En la actividad uno, se reconoce positivamente un posicionamiento ético claro, en el que se califica la sentencia como injusta y se advierte críticamente la mixtura entre derecho y moral. Además, se constata una correcta identificación de la conexión entre el pensamiento de Finnis y la valoración del matrimonio efectuada por el tribunal, lo que denota una capacidad incipiente de crítica al razonamiento judicial. No obstante, el análisis presenta confusiones conceptuales importantes sobre los elementos del precario, omitiendo la referencia expresa al artículo 2195 del Código Civil. Asimismo, el razonamiento es superficial en términos técnicos, sin justificar adecuadamente la eventual procedencia de la acción. El lenguaje jurídico utilizado resulta impreciso, con expresiones coloquiales poco acordes al rigor profesional requerido, y el análisis ético se limita a consideraciones generales sin incorporar los conceptos técnicos solicitados (como seguridad jurídica, interpretación extensiva o analogía). Finalmente, se observan deficiencias formales en redacción, puntuación y estructura, que afectan la coherencia comunicativa y el nivel de profesionalismo del escrito.
En la actividad dos, se valoran el esfuerzo descriptivo y la identificación de los mecanismos de participación (derecho a ser oído, motivación judicial y audiencias adaptadas), así como la vinculación al principio de autonomía progresiva y la mención de la capacitación continua de los operadores del sistema de justicia. Igualmente, constituye una fortaleza haber reconocido avances hacia la corresponsabilidad parental y la protección reforzada en contextos de violencia intrafamiliar. Sin embargo, estos logros se ven debilitados por la ausencia de un análisis profundo del enfoque de género, al no incorporar disposiciones normativas específicas que lo desarrollan. De igual modo, la perspectiva interseccional se reduce a referencias generales acerca de la vulnerabilidad de las niñas, sin desarrollar un examen sobre cómo se entrecruzan diversas categorías sociales en el acceso a la justicia. El lenguaje jurídico, aunque funcional, carece de densidad técnica, y la argumentación se fortalecería incorporando citas explícitas a la Ley N° 21.430, la Convención sobre los Derechos del Niño y disposiciones del Código Civil y del Código de Procedimiento Civil, lo que permitiría dotar de mayor solidez y respaldo normativo al análisis efectuado.</t>
  </si>
  <si>
    <t xml:space="preserve">Francisco Antonio Linqueo Barahona </t>
  </si>
  <si>
    <t>El desempeño evidenciado en ambas actividades revela algunos intentos de aproximación a los problemas planteados, pero persisten deficiencias graves y generalizadas que limitan fuertemente el cumplimiento de las competencias esperadas en un perfil intermedio de Derecho.
En la actividad uno, si bien se observa la intención de adoptar posturas frente a las preguntas planteadas, así como un reconocimiento básico de la tensión entre la protección matrimonial y los derechos de propiedad, además de cierta conexión entre el pensamiento de Finnis y la argumentación judicial, el trabajo presenta fallas fundamentales. La comprensión de los conceptos jurídicos es superficial y confusa, lo que se refleja en errores conceptuales graves que evidencian falta de dominio de la materia. El desarrollo del análisis es extremadamente insuficiente en todas las dimensiones críticas, sin aportar rigor técnico ni fundamentación normativa sólida. El uso de terminología jurídica es inadecuado e impreciso, incurriendo en errores serios como referirse a “la imputada” en lugar de “la demandada”. La argumentación carece de rigor y sistematicidad, limitándose a afirmaciones sin respaldo técnico. Finalmente, la calidad formal del escrito resulta claramente deficiente, con problemas de estructura y redacción que no alcanzan estándares mínimos de presentación académica y profesional. Para progresar, se requiere con urgencia una revisión y refuerzo integral de los conceptos jurídicos fundamentales, un desarrollo intensivo de habilidades de análisis técnico-argumentativo, la corrección inmediata de errores terminológicos, y una mejora sustantiva de la calidad formal y del lenguaje jurídico empleado.
En la actividad dos, se aprecia una mejora en relación con la claridad del lenguaje, ya que el estudiante logra describir adecuadamente los mecanismos de participación de los NNA y reconoce la obligación de fundamentación en las decisiones judiciales, utilizando un vocabulario funcional y en ocasiones técnicamente correcto. No obstante, el análisis presenta limitaciones relevantes: la incorporación del enfoque de género y de las desigualdades estructurales es superficial, sin vinculación con estándares internacionales de derechos humanos; además, no se desarrolla una auténtica perspectiva interseccional que permita comprender cómo las distintas categorías sociales inciden en el acceso a la justicia. Para mejorar, resulta imprescindible profundizar en la vinculación normativa, citando artículos específicos del proyecto y refiriendo expresamente a tratados internacionales como la CEDAW y la Convención sobre los Derechos del Niño, además de desarrollar un análisis más sólido sobre la interseccionalidad en la práctica judicial.</t>
  </si>
  <si>
    <t xml:space="preserve">Isidora Catalina León Pérez </t>
  </si>
  <si>
    <t>Actividad uno por correo. Comentarios actividad dos: describe con claridad los mecanismos de participación y la obligación de motivación, usando un lenguaje jurídico riguroso. Reconoce la incorporación de una perspectiva de género y alude a un enfoque interseccional, mencionando variables como etnia y discapacidad. Para optimizar el análisis, se recomienda citar artículos específicos del proyecto, normas internacionales (por ejemplo, CEDAW), y ejemplificar cómo se cruzan categorías sociales en la práctica judicial.</t>
  </si>
  <si>
    <t>Juan Eduardo Machuca Macías</t>
  </si>
  <si>
    <t>Comentarios actividad dos: evidencia un nivel satisfactorio de logro con una comprensión sólida del enfoque de género del proyecto de ley, identificando correctamente las desigualdades estructurales que afectan a mujeres, niñas y adolescentes en contextos familiares. Su fortaleza principal radica en la capacidad para articular el rol transformador del proceso judicial y la necesidad de capacitación especializada para los operadores del sistema. Sin embargo, requiere mayor desarrollo en la perspectiva interseccional, donde aunque menciona múltiples grupos vulnerables, no logra explicar profundamente cómo se cruzan las diferentes categorías sociales. El lenguaje jurídico es apropiado y demuestra comprensión del contexto procesal, constituyéndose en una de las respuestas más equilibradas del grupo evaluado.</t>
  </si>
  <si>
    <t>Juana Marjiore Patricia Caballero Peláez</t>
  </si>
  <si>
    <t>El desempeño evidenciado en ambas actividades refleja una comprensión incipiente de los problemas planteados, con ciertos logros en el reconocimiento de vínculos normativos y contextuales, pero acompañado de deficiencias técnicas, formales y argumentativas que limitan el cumplimiento de las competencias propias del perfil intermedio en Derecho.
En la actividad uno, si bien el estudiante demuestra una comprensión básica del caso y logra formular un posicionamiento ético pertinente, el trabajo presenta problemas sustantivos en el plano técnico y argumentativo. El análisis de la figura del precario resulta confuso y carente de sistematicidad, pues no se cita expresamente el artículo 2195 del Código Civil ni se desarrollan de manera ordenada los requisitos legales allí contemplados. El posicionamiento ético, aunque relevante, permanece superficial y requiere mayor densidad conceptual, del mismo modo que la correlación con el pensamiento de Finnis, limitada a una referencia general sin verdadero desarrollo académico. A ello se suma un uso impreciso e incluso informal del lenguaje jurídico, el cual no proyecta competencia profesional, y la presencia de numerosos errores ortográficos y gramaticales que afectan la claridad y la calidad formal del escrito. Para avanzar, resulta imprescindible citar normativamente el art. 2195 CC, sistematizar los requisitos del precario, enriquecer el análisis ético con categorías jurídicas, profundizar la correlación con Finnis, emplear lenguaje técnico apropiado y corregir íntegramente los aspectos formales de redacción.
En la actividad dos, el trabajo muestra un mejor desempeño en la vinculación entre el marco normativo y los fenómenos sociales, destacando la conexión entre el estallido social de 2019 y la crisis institucional del SENAME como motivaciones legislativas de reforma. Además, el análisis del enfoque de género, aunque general, logra identificar medidas concretas como la protección reforzada contra la violencia intrafamiliar, reconociendo de manera adecuada que estas problemáticas afectan principalmente a mujeres, niñas y niños. La perspectiva interseccional se encuentra en etapa de desarrollo, pues menciona categorías sociales relevantes (género, edad, vulnerabilidad) pero sin articular de manera profunda sus intersecciones en la práctica judicial. No obstante, estos aciertos se ven limitados por deficiencias en la expresión técnica, marcadas por errores gramaticales, imprecisiones de redacción y un uso restringido del lenguaje jurídico especializado. Para mejorar, se recomienda fortalecer las competencias de escritura académica, ampliar el vocabulario jurídico técnico y desarrollar un análisis crítico más riguroso de las implicaciones normativas específicas del proyecto de ley, integrando referencias explícitas a disposiciones legales y tratados internacionales aplicables.</t>
  </si>
  <si>
    <t xml:space="preserve">Katrywska Ignacia Cea Jara </t>
  </si>
  <si>
    <t>El desempeño evidenciado en las dos actividades refleja una combinación de fortalezas puntuales en la identificación de aspectos éticos y sociales relevantes, junto con deficiencias técnicas, argumentativas y formales que limitan significativamente el logro de las competencias esperadas en el nivel intermedio de la carrera de Derecho.
En la actividad uno, el estudiante logra demostrar una comprensión básica del caso y adopta una posición coherente, reconociendo la tensión entre la protección matrimonial y los derechos de propiedad. Se valora, en particular, la correlación establecida con Finnis, que identifica adecuadamente valores compartidos en torno al matrimonio, constituyendo el aspecto más sólido del trabajo. Sin embargo, el análisis presenta deficiencias técnicas relevantes: aunque se cita parcialmente el artículo 2195 del Código Civil, la explicación del precario es confusa y carece de sistematicidad, incluyendo incluso confusiones relativas al perfeccionamiento de contratos. El posicionamiento ético, aunque pertinente, resulta superficial, pues se limita a señalar la desprotección de la demandante sin profundizar en nociones jurídicas específicas. El lenguaje jurídico empleado es básico e impreciso, lo cual no refleja la competencia profesional esperada, y además se observan errores formales de redacción, ortografía y puntuación que afectan la claridad y calidad de la presentación. Para mejorar, el estudiante debe desarrollar sistemáticamente los elementos del precario, enriquecer su análisis ético con conceptos técnicos, adoptar un lenguaje jurídico más riguroso y corregir todos los errores formales.
En la actividad dos, el trabajo presenta una valiosa sensibilidad social, manifestada en la identificación de múltiples vulnerabilidades interseccionales (como niñas indígenas, de bajos recursos y pertenecientes al sistema de protección), junto con un reconocimiento de traumas diferenciados por género y complejidades comunicacionales en víctimas de violencia. Su análisis de las desigualdades estructurales es perceptivo, visibilizando problemáticas reales como la violencia institucional, las manipulaciones en contextos familiares y los efectos de medidas disciplinarias violentas en el desarrollo infantil. Estas observaciones reflejan una comprensión empática y socialmente consciente del fenómeno jurídico. No obstante, el desempeño se ve gravemente limitado por el uso de un lenguaje coloquial e informal, la ausencia de terminología jurídica técnica y la falta de estructura académica apropiada. Asimismo, las respuestas no evidencian una comprensión clara del rol profesional del abogado ni el rigor analítico requerido en este nivel de formación. Para mejorar de manera significativa, se recomienda un fortalecimiento integral de la escritura académica, incorporación sistemática de vocabulario jurídico especializado y estructuración de argumentos con densidad técnica, manteniendo a la vez la valiosa perspectiva social que constituye una de las principales fortalezas del trabajo.</t>
  </si>
  <si>
    <t>Luis Felipe Edwards</t>
  </si>
  <si>
    <t xml:space="preserve">Verificar rinde excepcionalmente </t>
  </si>
  <si>
    <t>El desempeño global alcanzado en las actividades evaluadas refleja un nivel satisfactorio, con avances sólidos que permiten evidenciar el desarrollo progresivo de las competencias esperadas en el perfil intermedio en Derecho. Se observan fortalezas relevantes en la comprensión conceptual y en la capacidad de contextualizar los contenidos, aunque aún existen aspectos que, de ser trabajados, podrían potenciar de manera significativa el rendimiento académico.
En la primera actividad, el estudiante demuestra un conocimiento adecuado de la institución del precario y de los requisitos copulativos señalados en el artículo 2195 del Código Civil. La argumentación presenta una estructura coherente y evidencia un esfuerzo por sostener un razonamiento jurídico fundamentado, aunque se advierten ciertos vacíos en la precisión técnica y en la articulación de los argumentos. El posicionamiento crítico está presente, pero requiere mayor profundidad para consolidarse como una reflexión jurídica robusta. En términos formales, el trabajo se encuentra bien presentado, con redacción en general clara, aunque con errores puntuales de ortografía y estilo que pueden ser corregidos con una revisión más detallada.
En la segunda actividad, el desempeño resulta especialmente destacable. El estudiante logra vincular de manera pertinente los cambios legislativos con procesos sociales relevantes, como el estallido social de 2019 y la crisis del SENAME, evidenciando una adecuada contextualización sociojurídica. Asimismo, identifica correctamente principios fundamentales como el derecho a ser oído de los NNA, la obligación de fundamentación judicial y la relevancia del debido proceso en su dimensión de derecho de audiencia. También sobresale la capacidad de reconocer el foco normativo en la protección de mujeres y niñas frente a la violencia doméstica, integrando esta perspectiva con el análisis general del proyecto. Como aspecto a reforzar, se recomienda profundizar en el análisis de género, evitando limitarlo a descripciones generales y orientándolo hacia una reflexión más crítica y sustantiva. Igualmente, se sugiere revisar con mayor cuidado el uso de la terminología jurídica para evitar imprecisiones que puedan restar rigor al trabajo.</t>
  </si>
  <si>
    <t>Tamara del Pilar Bustos Fuentes</t>
  </si>
  <si>
    <t>El desempeño en ambas actividades refleja una comprensión inicial de los problemas jurídicos y sociales planteados, pero al mismo tiempo presenta deficiencias significativas en precisión técnica, claridad argumentativa y calidad formal, que limitan el logro de las competencias esperadas en el perfil intermedio de Derecho.
En la actividad uno, el estudiante demuestra una comprensión básica del caso y logra formular un posicionamiento ético coherente, donde reconoce la tensión existente entre la protección de la familia y los derechos patrimoniales. También se aprecia una correlación pertinente con el pensamiento de Finnis, aunque desarrollada de manera muy superficial. No obstante, el análisis sufre de deficiencias críticas: el estudio de la figura del precario es confuso y contradictorio, sin exponer de forma sistemática los requisitos del artículo 2195 del Código Civil ni adoptar una posición clara sobre la procedencia de la acción. Se observan además errores procesales graves, como la confusión entre “demandante” y “demandada”, que reflejan ausencia de rigor técnico. El lenguaje jurídico es impreciso y la redacción formal presenta deficiencias que afectan la comprensión global del trabajo. Para mejorar, el estudiante debe estructurar una argumentación clara y consistente, examinar de modo sistemático los elementos del precario, corregir errores procesales básicos, enriquecer su análisis ético con categorías jurídicas específicas, profundizar en la relación con Finnis y prestar especial atención a la corrección formal de la escritura.
En la actividad dos, el desempeño resulta más sólido en términos de sensibilidad social, puesto que identifica problemáticas relevantes como la violencia intrafamiliar, el silencio de las víctimas y las debilidades del sistema de protección, vinculándolas con fenómenos actuales como el involucramiento de adolescentes en bandas criminales. Asimismo, el análisis del enfoque de género, aunque general, logra señalar elementos concretos como la coordinación intersectorial y la visibilización de desigualdades. Sin embargo, el trabajo se ve afectado por limitaciones importantes en el uso de lenguaje jurídico técnico, errores gramaticales frecuentes y confusiones conceptuales que comprometen la claridad comunicativa. La perspectiva interseccional permanece incipiente, reducida a menciones superficiales sin análisis articulado de cómo se entrecruzan diversas categorías sociales en la práctica judicial. Para mejorar, se requiere fortalecer las habilidades de redacción académica, ampliar el vocabulario jurídico especializado y desarrollar un análisis crítico más riguroso de las implicaciones teóricas y prácticas de los marcos normativos propuestos en el proyecto de ley.</t>
  </si>
  <si>
    <r>
      <rPr>
        <rFont val="Aptos Narrow"/>
        <b/>
        <color theme="1"/>
        <sz val="11.0"/>
        <u/>
      </rPr>
      <t xml:space="preserve">
</t>
    </r>
    <r>
      <rPr>
        <rFont val="Aptos Narrow"/>
        <b/>
        <color theme="1"/>
        <sz val="12.0"/>
        <u/>
      </rPr>
      <t xml:space="preserve">
Actividad problema 1</t>
    </r>
    <r>
      <rPr>
        <rFont val="Aptos Narrow"/>
        <color theme="1"/>
        <sz val="11.0"/>
      </rPr>
      <t xml:space="preserve">
</t>
    </r>
    <r>
      <rPr>
        <rFont val="Aptos Narrow"/>
        <i/>
        <color theme="1"/>
        <sz val="11.0"/>
      </rPr>
      <t xml:space="preserve">
</t>
    </r>
  </si>
  <si>
    <r>
      <rPr>
        <rFont val="Aptos Narrow"/>
        <b/>
        <color theme="1"/>
        <sz val="11.0"/>
        <u/>
      </rPr>
      <t xml:space="preserve">
</t>
    </r>
    <r>
      <rPr>
        <rFont val="Aptos Narrow"/>
        <b/>
        <color theme="1"/>
        <sz val="12.0"/>
        <u/>
      </rPr>
      <t xml:space="preserve">
Actividad Problema 2</t>
    </r>
    <r>
      <rPr>
        <rFont val="Aptos Narrow"/>
        <b/>
        <color theme="1"/>
        <sz val="11.0"/>
      </rPr>
      <t xml:space="preserve">
</t>
    </r>
    <r>
      <rPr>
        <rFont val="Aptos Narrow"/>
        <b val="0"/>
        <color theme="1"/>
        <sz val="11.0"/>
      </rPr>
      <t xml:space="preserve"> </t>
    </r>
    <r>
      <rPr>
        <rFont val="Aptos Narrow"/>
        <b val="0"/>
        <color theme="1"/>
        <sz val="12.0"/>
      </rPr>
      <t xml:space="preserve">
</t>
    </r>
  </si>
  <si>
    <t xml:space="preserve"> N Estudiantes habilitados para rendir</t>
  </si>
  <si>
    <t xml:space="preserve"> N Estudiantes que rindieron</t>
  </si>
  <si>
    <t xml:space="preserve">Porcentaje de cobertura EPI </t>
  </si>
  <si>
    <t>Estado de Habilitación para rendir</t>
  </si>
  <si>
    <t>JUSTIFICATIVO DE NO RENDICIÓN</t>
  </si>
  <si>
    <t xml:space="preserve">  Puntaje según categoría</t>
  </si>
  <si>
    <t>No justifica</t>
  </si>
  <si>
    <t>EPI pendiente periodo anterior</t>
  </si>
  <si>
    <t>Rendida no válida</t>
  </si>
  <si>
    <t>Expulsión</t>
  </si>
  <si>
    <t>Retracto</t>
  </si>
  <si>
    <t>NOMBRE DE LA FACULTAD</t>
  </si>
  <si>
    <t xml:space="preserve">NOMBRE DEL PROGRAMA ACADÉMICO </t>
  </si>
  <si>
    <r>
      <rPr>
        <rFont val="Aptos Narrow"/>
        <b/>
        <color theme="1"/>
        <sz val="11.0"/>
      </rPr>
      <t xml:space="preserve">PLAN DE ESTUDIO </t>
    </r>
    <r>
      <rPr>
        <rFont val="Aptos Narrow"/>
        <b/>
        <color rgb="FF0070C0"/>
        <sz val="11.0"/>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</si>
  <si>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</si>
  <si>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</si>
  <si>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</si>
  <si>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</si>
  <si>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</si>
  <si>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</si>
  <si>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</si>
  <si>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</si>
  <si>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</si>
  <si>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</si>
  <si>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rPr>
        <rFont val="Aptos Narrow"/>
        <i/>
        <color rgb="FF0070C0"/>
        <sz val="11.0"/>
      </rP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rFont val="Aptos Narrow"/>
        <i/>
        <color rgb="FFD86DCD"/>
        <sz val="11.0"/>
      </rPr>
      <t xml:space="preserve"> </t>
    </r>
    <r>
      <rPr>
        <rFont val="Aptos Narrow"/>
        <i/>
        <color rgb="FF0070C0"/>
        <sz val="11.0"/>
      </rPr>
      <t>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</si>
  <si>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</si>
  <si>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</si>
  <si>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</si>
  <si>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t>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del ciclo de profundización, particularmente en lo referido a metodologías y evaluaciones.
- incorporar, en programaciones del ciclo básico,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t>
  </si>
  <si>
    <t>Ejs.
- programaciones de las actividades curriculares XXXX; XXXX; XXXX</t>
  </si>
  <si>
    <t xml:space="preserve">III. </t>
  </si>
  <si>
    <t>LARGO PLAZO</t>
  </si>
  <si>
    <t>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generar instancias para la colaboración entre docentes para con el propósito de compartir mejores prácticas y desarrollar estrategias pedagógicas más coherentes y efectivas en el ciclo básico del plan de estudio</t>
  </si>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</sst>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8">
    <font>
      <sz val="11.0"/>
      <color theme="1"/>
      <name val="Aptos Narrow"/>
      <scheme val="minor"/>
    </font>
    <font>
      <color theme="1"/>
      <name val="Aptos Narrow"/>
      <scheme val="minor"/>
    </font>
    <font>
      <b/>
      <sz val="11.0"/>
      <color rgb="FF000000"/>
      <name val="Aptos Narrow"/>
    </font>
    <font/>
    <font>
      <sz val="11.0"/>
      <color theme="1"/>
      <name val="Aptos Narrow"/>
    </font>
    <font>
      <b/>
      <sz val="11.0"/>
      <color theme="1"/>
      <name val="Aptos Narrow"/>
    </font>
    <font>
      <sz val="11.0"/>
      <color rgb="FF242424"/>
      <name val="Aptos Narrow"/>
    </font>
    <font>
      <b/>
      <sz val="10.0"/>
      <color theme="1"/>
      <name val="Aptos Narrow"/>
    </font>
    <font>
      <sz val="10.0"/>
      <color theme="1"/>
      <name val="Calibri"/>
    </font>
    <font>
      <sz val="11.0"/>
      <color theme="9"/>
      <name val="Aptos Narrow"/>
    </font>
    <font>
      <sz val="12.0"/>
      <color theme="1"/>
      <name val="FkGroteskNeue"/>
    </font>
    <font>
      <sz val="11.0"/>
      <color rgb="FF242424"/>
      <name val="Quattrocento Sans"/>
    </font>
    <font>
      <sz val="12.0"/>
      <color rgb="FF000000"/>
      <name val="Aptos"/>
    </font>
    <font>
      <sz val="11.0"/>
      <color theme="1"/>
      <name val="Aptos"/>
    </font>
    <font>
      <sz val="11.0"/>
      <color rgb="FF000000"/>
      <name val="Aptos Narrow"/>
    </font>
    <font>
      <b/>
      <sz val="11.0"/>
      <color rgb="FF0070C0"/>
      <name val="Aptos Narrow"/>
    </font>
    <font>
      <i/>
      <sz val="11.0"/>
      <color rgb="FF0070C0"/>
      <name val="Aptos Narrow"/>
    </font>
    <font>
      <sz val="12.0"/>
      <color theme="1"/>
      <name val="Aptos"/>
    </font>
  </fonts>
  <fills count="12">
    <fill>
      <patternFill patternType="none"/>
    </fill>
    <fill>
      <patternFill patternType="lightGray"/>
    </fill>
    <fill>
      <patternFill patternType="solid">
        <fgColor rgb="FFDDEBF7"/>
        <bgColor rgb="FFDDEBF7"/>
      </patternFill>
    </fill>
    <fill>
      <patternFill patternType="solid">
        <fgColor rgb="FFC0E4F5"/>
        <bgColor rgb="FFC0E4F5"/>
      </patternFill>
    </fill>
    <fill>
      <patternFill patternType="solid">
        <fgColor rgb="FFCAEDFB"/>
        <bgColor rgb="FFCAEDFB"/>
      </patternFill>
    </fill>
    <fill>
      <patternFill patternType="solid">
        <fgColor rgb="FFD9F2D0"/>
        <bgColor rgb="FFD9F2D0"/>
      </patternFill>
    </fill>
    <fill>
      <patternFill patternType="solid">
        <fgColor rgb="FFFAE2D5"/>
        <bgColor rgb="FFFAE2D5"/>
      </patternFill>
    </fill>
    <fill>
      <patternFill patternType="solid">
        <fgColor rgb="FFB3E5A1"/>
        <bgColor rgb="FFB3E5A1"/>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9D9D9"/>
        <bgColor rgb="FFD9D9D9"/>
      </patternFill>
    </fill>
  </fills>
  <borders count="6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style="medium">
        <color rgb="FF000000"/>
      </left>
      <right style="medium">
        <color rgb="FF000000"/>
      </right>
      <top/>
      <bottom style="medium">
        <color rgb="FF000000"/>
      </bottom>
    </border>
    <border>
      <left style="medium">
        <color rgb="FF000000"/>
      </left>
      <right/>
      <top/>
      <bottom style="medium">
        <color rgb="FF000000"/>
      </bottom>
    </border>
    <border>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right style="thin">
        <color rgb="FF000000"/>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medium">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top style="medium">
        <color rgb="FF000000"/>
      </top>
    </border>
    <border>
      <left/>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bottom style="medium">
        <color rgb="FF000000"/>
      </bottom>
    </border>
    <border>
      <left style="medium">
        <color rgb="FF000000"/>
      </left>
      <bottom/>
    </border>
    <border>
      <bottom/>
    </border>
    <border>
      <right/>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top style="thin">
        <color rgb="FF000000"/>
      </top>
      <bottom style="thin">
        <color rgb="FF000000"/>
      </bottom>
    </border>
    <border>
      <left/>
      <right/>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top style="medium">
        <color rgb="FF000000"/>
      </top>
      <bottom/>
    </border>
    <border>
      <top style="medium">
        <color rgb="FF000000"/>
      </top>
      <bottom/>
    </border>
    <border>
      <right/>
      <top style="medium">
        <color rgb="FF000000"/>
      </top>
      <bottom/>
    </border>
    <border>
      <left style="thin">
        <color rgb="FF000000"/>
      </left>
      <right/>
      <top style="medium">
        <color rgb="FF000000"/>
      </top>
      <bottom/>
    </border>
    <border>
      <left style="thin">
        <color rgb="FF000000"/>
      </left>
      <right style="thin">
        <color rgb="FF000000"/>
      </right>
      <top style="medium">
        <color rgb="FF000000"/>
      </top>
      <bottom/>
    </border>
    <border>
      <left style="thin">
        <color rgb="FF000000"/>
      </left>
      <right style="thin">
        <color rgb="FF000000"/>
      </right>
      <top/>
      <bottom/>
    </border>
    <border>
      <left/>
      <top style="thin">
        <color rgb="FF000000"/>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Alignment="1" applyBorder="1" applyFont="1">
      <alignment horizontal="center" shrinkToFit="0" wrapText="1"/>
    </xf>
    <xf borderId="5" fillId="2" fontId="2" numFmtId="0" xfId="0" applyAlignment="1" applyBorder="1" applyFont="1">
      <alignment horizontal="center" shrinkToFit="0" wrapText="1"/>
    </xf>
    <xf borderId="6" fillId="2" fontId="2" numFmtId="0" xfId="0" applyAlignment="1" applyBorder="1" applyFont="1">
      <alignment horizontal="center" shrinkToFit="0" wrapText="1"/>
    </xf>
    <xf borderId="7" fillId="2" fontId="2" numFmtId="0" xfId="0" applyAlignment="1" applyBorder="1" applyFont="1">
      <alignment horizontal="center" shrinkToFit="0" wrapText="1"/>
    </xf>
    <xf borderId="8" fillId="2" fontId="2" numFmtId="0" xfId="0" applyAlignment="1" applyBorder="1" applyFont="1">
      <alignment horizontal="center" shrinkToFit="0" wrapText="1"/>
    </xf>
    <xf borderId="9" fillId="2" fontId="2" numFmtId="0" xfId="0" applyAlignment="1" applyBorder="1" applyFont="1">
      <alignment horizontal="center" shrinkToFit="0" wrapText="1"/>
    </xf>
    <xf borderId="10" fillId="2" fontId="4" numFmtId="0" xfId="0" applyAlignment="1" applyBorder="1" applyFont="1">
      <alignment horizontal="center" shrinkToFit="0" vertical="center" wrapText="1"/>
    </xf>
    <xf borderId="11" fillId="2" fontId="4" numFmtId="0" xfId="0" applyAlignment="1" applyBorder="1" applyFont="1">
      <alignment horizontal="center" shrinkToFit="0" vertical="center" wrapText="1"/>
    </xf>
    <xf borderId="12" fillId="2" fontId="4" numFmtId="0" xfId="0" applyAlignment="1" applyBorder="1" applyFont="1">
      <alignment horizontal="center" shrinkToFit="0" vertical="center" wrapText="1"/>
    </xf>
    <xf borderId="0" fillId="0" fontId="4" numFmtId="0" xfId="0" applyAlignment="1" applyFont="1">
      <alignment shrinkToFit="0" vertical="top" wrapText="1"/>
    </xf>
    <xf borderId="0" fillId="0" fontId="4" numFmtId="0" xfId="0" applyAlignment="1" applyFont="1">
      <alignment vertical="top"/>
    </xf>
    <xf borderId="0" fillId="0" fontId="5" numFmtId="0" xfId="0" applyFont="1"/>
    <xf borderId="13" fillId="0" fontId="4" numFmtId="0" xfId="0" applyAlignment="1" applyBorder="1" applyFont="1">
      <alignment horizontal="left" shrinkToFit="0" wrapText="1"/>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0" fillId="0" fontId="5" numFmtId="0" xfId="0" applyAlignment="1" applyFont="1">
      <alignment horizontal="center" shrinkToFit="0" vertical="center" wrapText="1"/>
    </xf>
    <xf borderId="21" fillId="3" fontId="5" numFmtId="0" xfId="0" applyAlignment="1" applyBorder="1" applyFill="1" applyFont="1">
      <alignment horizontal="center" vertical="center"/>
    </xf>
    <xf borderId="22" fillId="3" fontId="5" numFmtId="0" xfId="0" applyAlignment="1" applyBorder="1" applyFont="1">
      <alignment horizontal="center" vertical="center"/>
    </xf>
    <xf borderId="22" fillId="3" fontId="2" numFmtId="0" xfId="0" applyAlignment="1" applyBorder="1" applyFont="1">
      <alignment horizontal="center" shrinkToFit="0" vertical="center" wrapText="1"/>
    </xf>
    <xf borderId="23" fillId="3" fontId="5" numFmtId="0" xfId="0" applyAlignment="1" applyBorder="1" applyFont="1">
      <alignment horizontal="center" vertical="center"/>
    </xf>
    <xf borderId="0" fillId="0" fontId="4" numFmtId="0" xfId="0" applyAlignment="1" applyFont="1">
      <alignment vertical="center"/>
    </xf>
    <xf borderId="24" fillId="3" fontId="5" numFmtId="0" xfId="0" applyAlignment="1" applyBorder="1" applyFont="1">
      <alignment shrinkToFit="0" vertical="center" wrapText="1"/>
    </xf>
    <xf borderId="25" fillId="3" fontId="5" numFmtId="0" xfId="0" applyAlignment="1" applyBorder="1" applyFont="1">
      <alignment horizontal="center" shrinkToFit="0" vertical="center" wrapText="1"/>
    </xf>
    <xf borderId="26" fillId="3" fontId="5" numFmtId="9" xfId="0" applyAlignment="1" applyBorder="1" applyFont="1" applyNumberFormat="1">
      <alignment horizontal="center" vertical="center"/>
    </xf>
    <xf borderId="26" fillId="3" fontId="5" numFmtId="0" xfId="0" applyAlignment="1" applyBorder="1" applyFont="1">
      <alignment horizontal="center" vertical="center"/>
    </xf>
    <xf borderId="27" fillId="3" fontId="5" numFmtId="0" xfId="0" applyAlignment="1" applyBorder="1" applyFont="1">
      <alignment horizontal="center" vertical="center"/>
    </xf>
    <xf borderId="28" fillId="0" fontId="3" numFmtId="0" xfId="0" applyBorder="1" applyFont="1"/>
    <xf borderId="29" fillId="3" fontId="5" numFmtId="0" xfId="0" applyAlignment="1" applyBorder="1" applyFont="1">
      <alignment horizontal="left" vertical="center"/>
    </xf>
    <xf borderId="30" fillId="3" fontId="4" numFmtId="0" xfId="0" applyAlignment="1" applyBorder="1" applyFont="1">
      <alignment shrinkToFit="0" vertical="center" wrapText="1"/>
    </xf>
    <xf borderId="31" fillId="3" fontId="4" numFmtId="0" xfId="0" applyAlignment="1" applyBorder="1" applyFont="1">
      <alignment horizontal="left" shrinkToFit="0" vertical="center" wrapText="1"/>
    </xf>
    <xf borderId="32" fillId="0" fontId="3" numFmtId="0" xfId="0" applyBorder="1" applyFont="1"/>
    <xf borderId="24" fillId="3" fontId="4" numFmtId="0" xfId="0" applyAlignment="1" applyBorder="1" applyFont="1">
      <alignment shrinkToFit="0" vertical="center" wrapText="1"/>
    </xf>
    <xf borderId="33" fillId="0" fontId="3" numFmtId="0" xfId="0" applyBorder="1" applyFont="1"/>
    <xf borderId="31" fillId="3" fontId="4" numFmtId="0" xfId="0" applyAlignment="1" applyBorder="1" applyFont="1">
      <alignment horizontal="center" shrinkToFit="0" vertical="center" wrapText="1"/>
    </xf>
    <xf borderId="34" fillId="0" fontId="3" numFmtId="0" xfId="0" applyBorder="1" applyFont="1"/>
    <xf borderId="35" fillId="0" fontId="3" numFmtId="0" xfId="0" applyBorder="1" applyFont="1"/>
    <xf borderId="36" fillId="0" fontId="3" numFmtId="0" xfId="0" applyBorder="1" applyFont="1"/>
    <xf borderId="37" fillId="3" fontId="6" numFmtId="0" xfId="0" applyAlignment="1" applyBorder="1" applyFont="1">
      <alignment horizontal="center" vertical="center"/>
    </xf>
    <xf borderId="38" fillId="0" fontId="3" numFmtId="0" xfId="0" applyBorder="1" applyFont="1"/>
    <xf borderId="39" fillId="0" fontId="3" numFmtId="0" xfId="0" applyBorder="1" applyFont="1"/>
    <xf borderId="40" fillId="0" fontId="5" numFmtId="0" xfId="0" applyAlignment="1" applyBorder="1" applyFont="1">
      <alignment horizontal="center" vertical="center"/>
    </xf>
    <xf borderId="40" fillId="0" fontId="4" numFmtId="0" xfId="0" applyAlignment="1" applyBorder="1" applyFont="1">
      <alignment horizontal="center" shrinkToFit="0" vertical="center" wrapText="1"/>
    </xf>
    <xf borderId="40" fillId="0" fontId="4" numFmtId="0" xfId="0" applyAlignment="1" applyBorder="1" applyFont="1">
      <alignment horizontal="center" shrinkToFit="0" wrapText="1"/>
    </xf>
    <xf borderId="41" fillId="0" fontId="3" numFmtId="0" xfId="0" applyBorder="1" applyFont="1"/>
    <xf borderId="42" fillId="0" fontId="3" numFmtId="0" xfId="0" applyBorder="1" applyFont="1"/>
    <xf borderId="43" fillId="4" fontId="5" numFmtId="0" xfId="0" applyAlignment="1" applyBorder="1" applyFill="1" applyFont="1">
      <alignment horizontal="center" shrinkToFit="0" vertical="center" wrapText="1"/>
    </xf>
    <xf borderId="44" fillId="0" fontId="3" numFmtId="0" xfId="0" applyBorder="1" applyFont="1"/>
    <xf borderId="45" fillId="0" fontId="3" numFmtId="0" xfId="0" applyBorder="1" applyFont="1"/>
    <xf borderId="43" fillId="5" fontId="4" numFmtId="0" xfId="0" applyAlignment="1" applyBorder="1" applyFill="1" applyFont="1">
      <alignment horizontal="center" shrinkToFit="0" vertical="top" wrapText="1"/>
    </xf>
    <xf borderId="46" fillId="0" fontId="3" numFmtId="0" xfId="0" applyBorder="1" applyFont="1"/>
    <xf borderId="43" fillId="6" fontId="5" numFmtId="0" xfId="0" applyAlignment="1" applyBorder="1" applyFill="1" applyFont="1">
      <alignment horizontal="center" shrinkToFit="0" vertical="top" wrapText="1"/>
    </xf>
    <xf borderId="43" fillId="0" fontId="5" numFmtId="0" xfId="0" applyAlignment="1" applyBorder="1" applyFont="1">
      <alignment horizontal="center" vertical="center"/>
    </xf>
    <xf borderId="47" fillId="6" fontId="4" numFmtId="0" xfId="0" applyAlignment="1" applyBorder="1" applyFont="1">
      <alignment horizontal="center" vertical="center"/>
    </xf>
    <xf borderId="0" fillId="0" fontId="4" numFmtId="0" xfId="0" applyAlignment="1" applyFont="1">
      <alignment horizontal="center" vertical="center"/>
    </xf>
    <xf borderId="48" fillId="0" fontId="3" numFmtId="0" xfId="0" applyBorder="1" applyFont="1"/>
    <xf borderId="49" fillId="0" fontId="3" numFmtId="0" xfId="0" applyBorder="1" applyFont="1"/>
    <xf borderId="50" fillId="0" fontId="3" numFmtId="0" xfId="0" applyBorder="1" applyFont="1"/>
    <xf borderId="51" fillId="0" fontId="3" numFmtId="0" xfId="0" applyBorder="1" applyFont="1"/>
    <xf borderId="52" fillId="0" fontId="3" numFmtId="0" xfId="0" applyBorder="1" applyFont="1"/>
    <xf borderId="53" fillId="0" fontId="3" numFmtId="0" xfId="0" applyBorder="1" applyFont="1"/>
    <xf borderId="54" fillId="0" fontId="3" numFmtId="0" xfId="0" applyBorder="1" applyFont="1"/>
    <xf borderId="47" fillId="6" fontId="5" numFmtId="0" xfId="0" applyAlignment="1" applyBorder="1" applyFont="1">
      <alignment horizontal="center" shrinkToFit="0" vertical="center" wrapText="1"/>
    </xf>
    <xf borderId="55" fillId="4" fontId="7" numFmtId="0" xfId="0" applyAlignment="1" applyBorder="1" applyFont="1">
      <alignment horizontal="center" shrinkToFit="0" vertical="center" wrapText="1"/>
    </xf>
    <xf borderId="22" fillId="4" fontId="7" numFmtId="0" xfId="0" applyAlignment="1" applyBorder="1" applyFont="1">
      <alignment horizontal="center" shrinkToFit="0" vertical="center" wrapText="1"/>
    </xf>
    <xf borderId="56" fillId="4" fontId="7" numFmtId="0" xfId="0" applyAlignment="1" applyBorder="1" applyFont="1">
      <alignment horizontal="center" shrinkToFit="0" vertical="center" wrapText="1"/>
    </xf>
    <xf borderId="21" fillId="7" fontId="4" numFmtId="0" xfId="0" applyAlignment="1" applyBorder="1" applyFill="1" applyFont="1">
      <alignment horizontal="center" shrinkToFit="0" vertical="center" wrapText="1"/>
    </xf>
    <xf borderId="57" fillId="7" fontId="4" numFmtId="0" xfId="0" applyAlignment="1" applyBorder="1" applyFont="1">
      <alignment horizontal="center" shrinkToFit="0" vertical="center" wrapText="1"/>
    </xf>
    <xf borderId="22" fillId="7" fontId="4" numFmtId="0" xfId="0" applyAlignment="1" applyBorder="1" applyFont="1">
      <alignment horizontal="center" shrinkToFit="0" vertical="top" wrapText="1"/>
    </xf>
    <xf borderId="30" fillId="6" fontId="4" numFmtId="0" xfId="0" applyAlignment="1" applyBorder="1" applyFont="1">
      <alignment horizontal="right" shrinkToFit="0" vertical="center" wrapText="1"/>
    </xf>
    <xf borderId="20" fillId="0" fontId="7" numFmtId="0" xfId="0" applyAlignment="1" applyBorder="1" applyFont="1">
      <alignment horizontal="center" shrinkToFit="0" vertical="center" wrapText="1"/>
    </xf>
    <xf borderId="42" fillId="0" fontId="7" numFmtId="0" xfId="0" applyAlignment="1" applyBorder="1" applyFont="1">
      <alignment horizontal="center" shrinkToFit="0" vertical="center" wrapText="1"/>
    </xf>
    <xf borderId="0" fillId="0" fontId="7" numFmtId="0" xfId="0" applyAlignment="1" applyFont="1">
      <alignment horizontal="center" shrinkToFit="0" wrapText="1"/>
    </xf>
    <xf borderId="30" fillId="0" fontId="4" numFmtId="0" xfId="0" applyBorder="1" applyFont="1"/>
    <xf borderId="20" fillId="0" fontId="4" numFmtId="0" xfId="0" applyAlignment="1" applyBorder="1" applyFont="1">
      <alignment horizontal="center"/>
    </xf>
    <xf borderId="30" fillId="0" fontId="8" numFmtId="1" xfId="0" applyAlignment="1" applyBorder="1" applyFont="1" applyNumberFormat="1">
      <alignment horizontal="center" shrinkToFit="0" vertical="top" wrapText="1"/>
    </xf>
    <xf borderId="18" fillId="0" fontId="9" numFmtId="0" xfId="0" applyBorder="1" applyFont="1"/>
    <xf borderId="42" fillId="0" fontId="9" numFmtId="0" xfId="0" applyBorder="1" applyFont="1"/>
    <xf borderId="19" fillId="0" fontId="4" numFmtId="16" xfId="0" applyBorder="1" applyFont="1" applyNumberFormat="1"/>
    <xf borderId="20" fillId="0" fontId="9" numFmtId="0" xfId="0" applyBorder="1" applyFont="1"/>
    <xf borderId="30" fillId="0" fontId="9" numFmtId="0" xfId="0" applyBorder="1" applyFont="1"/>
    <xf borderId="30" fillId="0" fontId="9" numFmtId="9" xfId="0" applyBorder="1" applyFont="1" applyNumberFormat="1"/>
    <xf borderId="30" fillId="0" fontId="9" numFmtId="0" xfId="0" applyAlignment="1" applyBorder="1" applyFont="1">
      <alignment shrinkToFit="0" wrapText="1"/>
    </xf>
    <xf borderId="35" fillId="0" fontId="9" numFmtId="16" xfId="0" applyAlignment="1" applyBorder="1" applyFont="1" applyNumberFormat="1">
      <alignment shrinkToFit="0" wrapText="1"/>
    </xf>
    <xf borderId="34" fillId="0" fontId="9" numFmtId="0" xfId="0" applyAlignment="1" applyBorder="1" applyFont="1">
      <alignment shrinkToFit="0" wrapText="1"/>
    </xf>
    <xf borderId="0" fillId="0" fontId="4" numFmtId="0" xfId="0" applyAlignment="1" applyFont="1">
      <alignment shrinkToFit="0" wrapText="1"/>
    </xf>
    <xf borderId="30" fillId="0" fontId="4" numFmtId="0" xfId="0" applyAlignment="1" applyBorder="1" applyFont="1">
      <alignment shrinkToFit="0" wrapText="1"/>
    </xf>
    <xf borderId="35" fillId="0" fontId="4" numFmtId="16" xfId="0" applyAlignment="1" applyBorder="1" applyFont="1" applyNumberFormat="1">
      <alignment shrinkToFit="0" wrapText="1"/>
    </xf>
    <xf borderId="34" fillId="0" fontId="4" numFmtId="0" xfId="0" applyAlignment="1" applyBorder="1" applyFont="1">
      <alignment shrinkToFit="0" wrapText="1"/>
    </xf>
    <xf borderId="30" fillId="8" fontId="4" numFmtId="0" xfId="0" applyBorder="1" applyFill="1" applyFont="1"/>
    <xf borderId="25" fillId="8" fontId="4" numFmtId="0" xfId="0" applyAlignment="1" applyBorder="1" applyFont="1">
      <alignment horizontal="center"/>
    </xf>
    <xf borderId="30" fillId="8" fontId="8" numFmtId="1" xfId="0" applyAlignment="1" applyBorder="1" applyFont="1" applyNumberFormat="1">
      <alignment horizontal="center" shrinkToFit="0" vertical="top" wrapText="1"/>
    </xf>
    <xf borderId="58" fillId="8" fontId="4" numFmtId="0" xfId="0" applyAlignment="1" applyBorder="1" applyFont="1">
      <alignment shrinkToFit="0" wrapText="1"/>
    </xf>
    <xf borderId="30" fillId="8" fontId="4" numFmtId="0" xfId="0" applyAlignment="1" applyBorder="1" applyFont="1">
      <alignment shrinkToFit="0" wrapText="1"/>
    </xf>
    <xf borderId="59" fillId="8" fontId="4" numFmtId="0" xfId="0" applyAlignment="1" applyBorder="1" applyFont="1">
      <alignment shrinkToFit="0" wrapText="1"/>
    </xf>
    <xf borderId="60" fillId="8" fontId="4" numFmtId="0" xfId="0" applyAlignment="1" applyBorder="1" applyFont="1">
      <alignment shrinkToFit="0" wrapText="1"/>
    </xf>
    <xf borderId="30" fillId="8" fontId="9" numFmtId="0" xfId="0" applyAlignment="1" applyBorder="1" applyFont="1">
      <alignment shrinkToFit="0" wrapText="1"/>
    </xf>
    <xf borderId="30" fillId="8" fontId="9" numFmtId="0" xfId="0" applyBorder="1" applyFont="1"/>
    <xf borderId="30" fillId="8" fontId="9" numFmtId="9" xfId="0" applyBorder="1" applyFont="1" applyNumberFormat="1"/>
    <xf borderId="47" fillId="8" fontId="4" numFmtId="0" xfId="0" applyBorder="1" applyFont="1"/>
    <xf borderId="35" fillId="0" fontId="4" numFmtId="0" xfId="0" applyAlignment="1" applyBorder="1" applyFont="1">
      <alignment shrinkToFit="0" wrapText="1"/>
    </xf>
    <xf borderId="61" fillId="8" fontId="4" numFmtId="0" xfId="0" applyAlignment="1" applyBorder="1" applyFont="1">
      <alignment shrinkToFit="0" wrapText="1"/>
    </xf>
    <xf borderId="35" fillId="0" fontId="4" numFmtId="16" xfId="0" applyBorder="1" applyFont="1" applyNumberFormat="1"/>
    <xf borderId="34" fillId="0" fontId="4" numFmtId="0" xfId="0" applyBorder="1" applyFont="1"/>
    <xf borderId="58" fillId="8" fontId="4" numFmtId="0" xfId="0" applyBorder="1" applyFont="1"/>
    <xf borderId="61" fillId="8" fontId="4" numFmtId="0" xfId="0" applyBorder="1" applyFont="1"/>
    <xf borderId="60" fillId="8" fontId="4" numFmtId="0" xfId="0" applyBorder="1" applyFont="1"/>
    <xf borderId="30" fillId="9" fontId="4" numFmtId="0" xfId="0" applyBorder="1" applyFill="1" applyFont="1"/>
    <xf borderId="25" fillId="9" fontId="4" numFmtId="0" xfId="0" applyAlignment="1" applyBorder="1" applyFont="1">
      <alignment horizontal="center"/>
    </xf>
    <xf borderId="30" fillId="9" fontId="8" numFmtId="1" xfId="0" applyAlignment="1" applyBorder="1" applyFont="1" applyNumberFormat="1">
      <alignment horizontal="center" shrinkToFit="0" vertical="top" wrapText="1"/>
    </xf>
    <xf borderId="61" fillId="9" fontId="4" numFmtId="16" xfId="0" applyBorder="1" applyFont="1" applyNumberFormat="1"/>
    <xf borderId="60" fillId="9" fontId="4" numFmtId="0" xfId="0" applyBorder="1" applyFont="1"/>
    <xf borderId="30" fillId="9" fontId="9" numFmtId="0" xfId="0" applyBorder="1" applyFont="1"/>
    <xf borderId="30" fillId="9" fontId="9" numFmtId="9" xfId="0" applyBorder="1" applyFont="1" applyNumberFormat="1"/>
    <xf borderId="47" fillId="9" fontId="4" numFmtId="0" xfId="0" applyBorder="1" applyFont="1"/>
    <xf borderId="35" fillId="0" fontId="4" numFmtId="164" xfId="0" applyAlignment="1" applyBorder="1" applyFont="1" applyNumberFormat="1">
      <alignment shrinkToFit="0" wrapText="1"/>
    </xf>
    <xf borderId="30" fillId="0" fontId="4" numFmtId="16" xfId="0" applyBorder="1" applyFont="1" applyNumberFormat="1"/>
    <xf borderId="0" fillId="0" fontId="10" numFmtId="0" xfId="0" applyAlignment="1" applyFont="1">
      <alignment shrinkToFit="0" wrapText="1"/>
    </xf>
    <xf borderId="35" fillId="0" fontId="9" numFmtId="0" xfId="0" applyAlignment="1" applyBorder="1" applyFont="1">
      <alignment shrinkToFit="0" wrapText="1"/>
    </xf>
    <xf borderId="58" fillId="8" fontId="9" numFmtId="0" xfId="0" applyAlignment="1" applyBorder="1" applyFont="1">
      <alignment shrinkToFit="0" wrapText="1"/>
    </xf>
    <xf borderId="61" fillId="8" fontId="9" numFmtId="0" xfId="0" applyAlignment="1" applyBorder="1" applyFont="1">
      <alignment shrinkToFit="0" wrapText="1"/>
    </xf>
    <xf borderId="60" fillId="8" fontId="9" numFmtId="0" xfId="0" applyAlignment="1" applyBorder="1" applyFont="1">
      <alignment shrinkToFit="0" wrapText="1"/>
    </xf>
    <xf borderId="40" fillId="0" fontId="4" numFmtId="0" xfId="0" applyBorder="1" applyFont="1"/>
    <xf borderId="14" fillId="0" fontId="4" numFmtId="16" xfId="0" applyBorder="1" applyFont="1" applyNumberFormat="1"/>
    <xf borderId="15" fillId="0" fontId="4" numFmtId="0" xfId="0" applyBorder="1" applyFont="1"/>
    <xf borderId="30" fillId="0" fontId="9" numFmtId="16" xfId="0" applyAlignment="1" applyBorder="1" applyFont="1" applyNumberFormat="1">
      <alignment shrinkToFit="0" wrapText="1"/>
    </xf>
    <xf borderId="30" fillId="9" fontId="9" numFmtId="0" xfId="0" applyAlignment="1" applyBorder="1" applyFont="1">
      <alignment shrinkToFit="0" wrapText="1"/>
    </xf>
    <xf borderId="30" fillId="9" fontId="9" numFmtId="16" xfId="0" applyAlignment="1" applyBorder="1" applyFont="1" applyNumberFormat="1">
      <alignment shrinkToFit="0" wrapText="1"/>
    </xf>
    <xf borderId="47" fillId="9" fontId="4" numFmtId="0" xfId="0" applyAlignment="1" applyBorder="1" applyFont="1">
      <alignment shrinkToFit="0" wrapText="1"/>
    </xf>
    <xf borderId="0" fillId="0" fontId="6" numFmtId="0" xfId="0" applyAlignment="1" applyFont="1">
      <alignment shrinkToFit="0" wrapText="1"/>
    </xf>
    <xf borderId="30" fillId="10" fontId="11" numFmtId="0" xfId="0" applyAlignment="1" applyBorder="1" applyFill="1" applyFont="1">
      <alignment shrinkToFit="0" wrapText="1"/>
    </xf>
    <xf borderId="0" fillId="0" fontId="6" numFmtId="0" xfId="0" applyFont="1"/>
    <xf borderId="0" fillId="0" fontId="4" numFmtId="16" xfId="0" applyFont="1" applyNumberFormat="1"/>
    <xf borderId="0" fillId="0" fontId="12" numFmtId="0" xfId="0" applyFont="1"/>
    <xf borderId="0" fillId="0" fontId="13" numFmtId="0" xfId="0" applyFont="1"/>
    <xf borderId="47" fillId="10" fontId="11" numFmtId="0" xfId="0" applyAlignment="1" applyBorder="1" applyFont="1">
      <alignment shrinkToFit="0" wrapText="1"/>
    </xf>
    <xf borderId="30" fillId="0" fontId="12" numFmtId="0" xfId="0" applyBorder="1" applyFont="1"/>
    <xf borderId="62" fillId="5" fontId="4" numFmtId="0" xfId="0" applyAlignment="1" applyBorder="1" applyFont="1">
      <alignment horizontal="center" shrinkToFit="0" vertical="top" wrapText="1"/>
    </xf>
    <xf borderId="63" fillId="0" fontId="3" numFmtId="0" xfId="0" applyBorder="1" applyFont="1"/>
    <xf borderId="64" fillId="0" fontId="3" numFmtId="0" xfId="0" applyBorder="1" applyFont="1"/>
    <xf borderId="62" fillId="6" fontId="5" numFmtId="0" xfId="0" applyAlignment="1" applyBorder="1" applyFont="1">
      <alignment horizontal="center" shrinkToFit="0" vertical="top" wrapText="1"/>
    </xf>
    <xf borderId="40" fillId="0" fontId="4" numFmtId="0" xfId="0" applyAlignment="1" applyBorder="1" applyFont="1">
      <alignment horizontal="center" vertical="center"/>
    </xf>
    <xf borderId="55" fillId="7" fontId="4" numFmtId="0" xfId="0" applyAlignment="1" applyBorder="1" applyFont="1">
      <alignment horizontal="center" shrinkToFit="0" vertical="center" wrapText="1"/>
    </xf>
    <xf borderId="65" fillId="7" fontId="4" numFmtId="0" xfId="0" applyAlignment="1" applyBorder="1" applyFont="1">
      <alignment horizontal="center" shrinkToFit="0" vertical="center" wrapText="1"/>
    </xf>
    <xf borderId="66" fillId="7" fontId="4" numFmtId="0" xfId="0" applyAlignment="1" applyBorder="1" applyFont="1">
      <alignment horizontal="center" shrinkToFit="0" vertical="center" wrapText="1"/>
    </xf>
    <xf borderId="47" fillId="6" fontId="4" numFmtId="0" xfId="0" applyAlignment="1" applyBorder="1" applyFont="1">
      <alignment horizontal="center" shrinkToFit="0" wrapText="1"/>
    </xf>
    <xf borderId="44" fillId="0" fontId="4" numFmtId="0" xfId="0" applyAlignment="1" applyBorder="1" applyFont="1">
      <alignment horizontal="center" shrinkToFit="0" vertical="center" wrapText="1"/>
    </xf>
    <xf borderId="30" fillId="0" fontId="4" numFmtId="0" xfId="0" applyAlignment="1" applyBorder="1" applyFont="1">
      <alignment horizontal="center"/>
    </xf>
    <xf borderId="30" fillId="0" fontId="5" numFmtId="0" xfId="0" applyAlignment="1" applyBorder="1" applyFont="1">
      <alignment horizontal="center"/>
    </xf>
    <xf borderId="40" fillId="0" fontId="7" numFmtId="0" xfId="0" applyAlignment="1" applyBorder="1" applyFont="1">
      <alignment horizontal="center" shrinkToFit="0" vertical="center" wrapText="1"/>
    </xf>
    <xf borderId="67" fillId="7" fontId="5" numFmtId="0" xfId="0" applyAlignment="1" applyBorder="1" applyFont="1">
      <alignment horizontal="center" shrinkToFit="0" vertical="center" wrapText="1"/>
    </xf>
    <xf borderId="30" fillId="0" fontId="4" numFmtId="1" xfId="0" applyBorder="1" applyFont="1" applyNumberFormat="1"/>
    <xf borderId="0" fillId="0" fontId="14" numFmtId="0" xfId="0" applyFont="1"/>
    <xf borderId="0" fillId="0" fontId="15" numFmtId="0" xfId="0" applyAlignment="1" applyFont="1">
      <alignment horizontal="center"/>
    </xf>
    <xf borderId="0" fillId="0" fontId="5" numFmtId="0" xfId="0" applyAlignment="1" applyFont="1">
      <alignment horizontal="center"/>
    </xf>
    <xf borderId="0" fillId="0" fontId="16" numFmtId="0" xfId="0" applyFont="1"/>
    <xf borderId="19" fillId="0" fontId="14" numFmtId="0" xfId="0" applyBorder="1" applyFont="1"/>
    <xf borderId="31" fillId="11" fontId="2" numFmtId="0" xfId="0" applyBorder="1" applyFill="1" applyFont="1"/>
    <xf borderId="31" fillId="0" fontId="14" numFmtId="0" xfId="0" applyAlignment="1" applyBorder="1" applyFont="1">
      <alignment shrinkToFit="0" wrapText="1"/>
    </xf>
    <xf borderId="26" fillId="11" fontId="2" numFmtId="0" xfId="0" applyBorder="1" applyFont="1"/>
    <xf borderId="25" fillId="11" fontId="2" numFmtId="0" xfId="0" applyBorder="1" applyFont="1"/>
    <xf borderId="68" fillId="11" fontId="2" numFmtId="0" xfId="0" applyBorder="1" applyFont="1"/>
    <xf borderId="35" fillId="0" fontId="16" numFmtId="0" xfId="0" applyAlignment="1" applyBorder="1" applyFont="1">
      <alignment shrinkToFit="0" wrapText="1"/>
    </xf>
    <xf borderId="20" fillId="0" fontId="16" numFmtId="0" xfId="0" applyAlignment="1" applyBorder="1" applyFont="1">
      <alignment shrinkToFit="0" wrapText="1"/>
    </xf>
    <xf borderId="0" fillId="0" fontId="1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0</xdr:colOff>
      <xdr:row>1</xdr:row>
      <xdr:rowOff>0</xdr:rowOff>
    </xdr:from>
    <xdr:ext cx="12363450" cy="90201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238125</xdr:colOff>
      <xdr:row>41</xdr:row>
      <xdr:rowOff>142875</xdr:rowOff>
    </xdr:from>
    <xdr:ext cx="10344150" cy="65817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20</xdr:col>
      <xdr:colOff>247650</xdr:colOff>
      <xdr:row>74</xdr:row>
      <xdr:rowOff>38100</xdr:rowOff>
    </xdr:from>
    <xdr:ext cx="10267950" cy="4762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561975</xdr:colOff>
      <xdr:row>81</xdr:row>
      <xdr:rowOff>152400</xdr:rowOff>
    </xdr:from>
    <xdr:ext cx="11963400" cy="105346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0.63"/>
    <col customWidth="1" min="3" max="3" width="34.0"/>
    <col customWidth="1" min="4" max="4" width="43.88"/>
    <col customWidth="1" min="5" max="5" width="34.88"/>
    <col customWidth="1" min="6" max="7" width="31.25"/>
    <col customWidth="1" min="8" max="8" width="31.38"/>
    <col customWidth="1" min="9" max="26" width="11.38"/>
  </cols>
  <sheetData>
    <row r="2">
      <c r="A2" s="1" t="s">
        <v>0</v>
      </c>
      <c r="B2" s="1" t="s">
        <v>1</v>
      </c>
    </row>
    <row r="4">
      <c r="C4" s="2" t="s">
        <v>2</v>
      </c>
      <c r="D4" s="3"/>
      <c r="E4" s="3"/>
      <c r="F4" s="3"/>
      <c r="G4" s="4"/>
    </row>
    <row r="5">
      <c r="C5" s="5" t="s">
        <v>3</v>
      </c>
      <c r="D5" s="5" t="s">
        <v>4</v>
      </c>
      <c r="E5" s="6" t="s">
        <v>5</v>
      </c>
      <c r="F5" s="5" t="s">
        <v>6</v>
      </c>
      <c r="G5" s="7" t="s">
        <v>7</v>
      </c>
    </row>
    <row r="6">
      <c r="C6" s="8" t="s">
        <v>8</v>
      </c>
      <c r="D6" s="8" t="s">
        <v>9</v>
      </c>
      <c r="E6" s="9" t="s">
        <v>10</v>
      </c>
      <c r="F6" s="8" t="s">
        <v>11</v>
      </c>
      <c r="G6" s="10" t="s">
        <v>12</v>
      </c>
    </row>
    <row r="7">
      <c r="C7" s="11" t="s">
        <v>13</v>
      </c>
      <c r="D7" s="12" t="s">
        <v>14</v>
      </c>
      <c r="E7" s="12" t="s">
        <v>15</v>
      </c>
      <c r="F7" s="12" t="s">
        <v>16</v>
      </c>
      <c r="G7" s="13" t="s">
        <v>17</v>
      </c>
    </row>
    <row r="8">
      <c r="C8" s="14"/>
      <c r="D8" s="14"/>
      <c r="E8" s="14"/>
      <c r="F8" s="14"/>
      <c r="G8" s="15"/>
    </row>
    <row r="9">
      <c r="A9" s="1" t="s">
        <v>18</v>
      </c>
      <c r="B9" s="16" t="s">
        <v>19</v>
      </c>
    </row>
    <row r="10">
      <c r="B10" s="17" t="s">
        <v>20</v>
      </c>
      <c r="C10" s="18"/>
      <c r="D10" s="18"/>
      <c r="E10" s="18"/>
      <c r="F10" s="18"/>
      <c r="G10" s="19"/>
    </row>
    <row r="11">
      <c r="B11" s="20"/>
      <c r="G11" s="21"/>
    </row>
    <row r="12">
      <c r="B12" s="22"/>
      <c r="C12" s="23"/>
      <c r="D12" s="23"/>
      <c r="E12" s="23"/>
      <c r="F12" s="23"/>
      <c r="G12" s="24"/>
    </row>
    <row r="15">
      <c r="C15" s="2" t="s">
        <v>21</v>
      </c>
      <c r="D15" s="3"/>
      <c r="E15" s="3"/>
      <c r="F15" s="3"/>
      <c r="G15" s="4"/>
    </row>
    <row r="16">
      <c r="B16" s="25"/>
      <c r="C16" s="26" t="s">
        <v>3</v>
      </c>
      <c r="D16" s="27" t="s">
        <v>4</v>
      </c>
      <c r="E16" s="28" t="s">
        <v>5</v>
      </c>
      <c r="F16" s="29" t="s">
        <v>22</v>
      </c>
      <c r="G16" s="4"/>
      <c r="H16" s="30"/>
    </row>
    <row r="17">
      <c r="B17" s="31" t="s">
        <v>23</v>
      </c>
      <c r="C17" s="32" t="s">
        <v>24</v>
      </c>
      <c r="D17" s="33" t="s">
        <v>25</v>
      </c>
      <c r="E17" s="34" t="s">
        <v>26</v>
      </c>
      <c r="F17" s="35" t="s">
        <v>27</v>
      </c>
      <c r="G17" s="36"/>
      <c r="H17" s="30"/>
    </row>
    <row r="18">
      <c r="B18" s="37" t="s">
        <v>28</v>
      </c>
      <c r="C18" s="38" t="s">
        <v>29</v>
      </c>
      <c r="D18" s="38" t="s">
        <v>30</v>
      </c>
      <c r="E18" s="38" t="s">
        <v>31</v>
      </c>
      <c r="F18" s="39" t="s">
        <v>32</v>
      </c>
      <c r="G18" s="40"/>
      <c r="H18" s="41" t="s">
        <v>33</v>
      </c>
    </row>
    <row r="19">
      <c r="B19" s="42"/>
      <c r="C19" s="43" t="s">
        <v>34</v>
      </c>
      <c r="D19" s="44"/>
      <c r="E19" s="43" t="s">
        <v>35</v>
      </c>
      <c r="F19" s="45"/>
      <c r="G19" s="40"/>
      <c r="H19" s="30"/>
    </row>
    <row r="20">
      <c r="B20" s="46"/>
      <c r="C20" s="47" t="s">
        <v>36</v>
      </c>
      <c r="D20" s="48"/>
      <c r="E20" s="48"/>
      <c r="F20" s="48"/>
      <c r="G20" s="49"/>
      <c r="H20" s="30"/>
    </row>
    <row r="21" ht="15.0" customHeight="1">
      <c r="B21" s="50" t="s">
        <v>37</v>
      </c>
      <c r="C21" s="51" t="s">
        <v>38</v>
      </c>
      <c r="D21" s="51" t="s">
        <v>39</v>
      </c>
      <c r="E21" s="51" t="s">
        <v>40</v>
      </c>
      <c r="F21" s="51" t="s">
        <v>41</v>
      </c>
      <c r="G21" s="52"/>
    </row>
    <row r="22" ht="15.75" customHeight="1">
      <c r="B22" s="53"/>
      <c r="C22" s="53"/>
      <c r="D22" s="53"/>
      <c r="E22" s="53"/>
      <c r="F22" s="53"/>
      <c r="G22" s="53"/>
    </row>
    <row r="23" ht="15.75" customHeight="1">
      <c r="B23" s="53"/>
      <c r="C23" s="53"/>
      <c r="D23" s="53"/>
      <c r="E23" s="53"/>
      <c r="F23" s="53"/>
      <c r="G23" s="53"/>
    </row>
    <row r="24" ht="15.75" customHeight="1">
      <c r="B24" s="53"/>
      <c r="C24" s="53"/>
      <c r="D24" s="53"/>
      <c r="E24" s="53"/>
      <c r="F24" s="53"/>
      <c r="G24" s="53"/>
    </row>
    <row r="25" ht="15.75" customHeight="1">
      <c r="B25" s="53"/>
      <c r="C25" s="53"/>
      <c r="D25" s="53"/>
      <c r="E25" s="53"/>
      <c r="F25" s="53"/>
      <c r="G25" s="53"/>
    </row>
    <row r="26" ht="15.75" customHeight="1">
      <c r="B26" s="53"/>
      <c r="C26" s="53"/>
      <c r="D26" s="53"/>
      <c r="E26" s="53"/>
      <c r="F26" s="53"/>
      <c r="G26" s="53"/>
    </row>
    <row r="27" ht="15.75" customHeight="1">
      <c r="B27" s="53"/>
      <c r="C27" s="53"/>
      <c r="D27" s="53"/>
      <c r="E27" s="53"/>
      <c r="F27" s="53"/>
      <c r="G27" s="53"/>
    </row>
    <row r="28" ht="15.75" customHeight="1">
      <c r="B28" s="53"/>
      <c r="C28" s="53"/>
      <c r="D28" s="53"/>
      <c r="E28" s="53"/>
      <c r="F28" s="53"/>
      <c r="G28" s="53"/>
    </row>
    <row r="29" ht="15.75" customHeight="1">
      <c r="B29" s="53"/>
      <c r="C29" s="53"/>
      <c r="D29" s="53"/>
      <c r="E29" s="53"/>
      <c r="F29" s="53"/>
      <c r="G29" s="53"/>
    </row>
    <row r="30" ht="15.75" customHeight="1">
      <c r="B30" s="53"/>
      <c r="C30" s="53"/>
      <c r="D30" s="53"/>
      <c r="E30" s="53"/>
      <c r="F30" s="53"/>
      <c r="G30" s="53"/>
    </row>
    <row r="31" ht="15.75" customHeight="1">
      <c r="B31" s="53"/>
      <c r="C31" s="53"/>
      <c r="D31" s="53"/>
      <c r="E31" s="53"/>
      <c r="F31" s="53"/>
      <c r="G31" s="53"/>
    </row>
    <row r="32" ht="15.75" customHeight="1">
      <c r="B32" s="53"/>
      <c r="C32" s="53"/>
      <c r="D32" s="53"/>
      <c r="E32" s="53"/>
      <c r="F32" s="53"/>
      <c r="G32" s="53"/>
    </row>
    <row r="33" ht="15.75" customHeight="1">
      <c r="B33" s="53"/>
      <c r="C33" s="53"/>
      <c r="D33" s="53"/>
      <c r="E33" s="53"/>
      <c r="F33" s="53"/>
      <c r="G33" s="53"/>
    </row>
    <row r="34" ht="15.75" customHeight="1">
      <c r="B34" s="54"/>
      <c r="C34" s="54"/>
      <c r="D34" s="54"/>
      <c r="E34" s="54"/>
      <c r="F34" s="54"/>
      <c r="G34" s="5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19:D19"/>
    <mergeCell ref="E19:G19"/>
    <mergeCell ref="B18:B20"/>
    <mergeCell ref="B21:B34"/>
    <mergeCell ref="C21:C34"/>
    <mergeCell ref="D21:D34"/>
    <mergeCell ref="E21:E34"/>
    <mergeCell ref="F21:F34"/>
    <mergeCell ref="G21:G34"/>
    <mergeCell ref="C4:G4"/>
    <mergeCell ref="B10:G12"/>
    <mergeCell ref="C15:G15"/>
    <mergeCell ref="F16:G16"/>
    <mergeCell ref="F17:G17"/>
    <mergeCell ref="F18:G18"/>
    <mergeCell ref="C20:G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5" width="11.38"/>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c r="V136" s="1" t="s">
        <v>42</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14.88"/>
    <col customWidth="1" min="3" max="3" width="33.75"/>
    <col customWidth="1" min="4" max="4" width="20.88"/>
    <col customWidth="1" min="5" max="5" width="23.0"/>
    <col customWidth="1" min="6" max="6" width="31.88"/>
    <col customWidth="1" min="7" max="7" width="52.25"/>
    <col customWidth="1" min="8" max="8" width="14.25"/>
    <col customWidth="1" min="9" max="9" width="26.38"/>
    <col customWidth="1" min="10" max="10" width="14.25"/>
    <col customWidth="1" min="11" max="11" width="39.25"/>
    <col customWidth="1" min="12" max="12" width="25.75"/>
    <col customWidth="1" min="13" max="13" width="32.75"/>
    <col customWidth="1" min="14" max="14" width="32.38"/>
    <col customWidth="1" min="15" max="15" width="23.0"/>
    <col customWidth="1" min="16" max="16" width="21.38"/>
    <col customWidth="1" min="17" max="17" width="26.0"/>
    <col customWidth="1" min="18" max="18" width="21.38"/>
    <col customWidth="1" min="19" max="20" width="14.25"/>
    <col customWidth="1" min="21" max="21" width="22.75"/>
    <col customWidth="1" min="22" max="22" width="176.13"/>
    <col customWidth="1" min="23" max="26" width="9.13"/>
  </cols>
  <sheetData>
    <row r="1" ht="93.0" customHeight="1">
      <c r="A1" s="55" t="s">
        <v>43</v>
      </c>
      <c r="B1" s="56"/>
      <c r="C1" s="56"/>
      <c r="D1" s="56"/>
      <c r="E1" s="56"/>
      <c r="F1" s="56"/>
      <c r="G1" s="56"/>
      <c r="H1" s="56"/>
      <c r="I1" s="56"/>
      <c r="J1" s="57"/>
      <c r="K1" s="58" t="s">
        <v>44</v>
      </c>
      <c r="L1" s="56"/>
      <c r="M1" s="56"/>
      <c r="N1" s="59"/>
      <c r="O1" s="60" t="s">
        <v>45</v>
      </c>
      <c r="P1" s="56"/>
      <c r="Q1" s="56"/>
      <c r="R1" s="59"/>
      <c r="S1" s="61" t="s">
        <v>46</v>
      </c>
      <c r="T1" s="56"/>
      <c r="U1" s="57"/>
      <c r="V1" s="62"/>
      <c r="W1" s="63"/>
      <c r="X1" s="63"/>
      <c r="Y1" s="63"/>
      <c r="Z1" s="63"/>
    </row>
    <row r="2" ht="93.0" customHeight="1">
      <c r="A2" s="64"/>
      <c r="B2" s="65"/>
      <c r="C2" s="65"/>
      <c r="D2" s="65"/>
      <c r="E2" s="65"/>
      <c r="F2" s="65"/>
      <c r="G2" s="65"/>
      <c r="H2" s="65"/>
      <c r="I2" s="65"/>
      <c r="J2" s="66"/>
      <c r="K2" s="64"/>
      <c r="L2" s="65"/>
      <c r="M2" s="65"/>
      <c r="N2" s="67"/>
      <c r="O2" s="68"/>
      <c r="P2" s="69"/>
      <c r="Q2" s="69"/>
      <c r="R2" s="70"/>
      <c r="S2" s="64"/>
      <c r="T2" s="65"/>
      <c r="U2" s="66"/>
      <c r="V2" s="71" t="s">
        <v>47</v>
      </c>
      <c r="W2" s="63"/>
      <c r="X2" s="63"/>
      <c r="Y2" s="63"/>
      <c r="Z2" s="63"/>
    </row>
    <row r="3">
      <c r="A3" s="72" t="s">
        <v>48</v>
      </c>
      <c r="B3" s="73" t="s">
        <v>49</v>
      </c>
      <c r="C3" s="73"/>
      <c r="D3" s="73" t="s">
        <v>50</v>
      </c>
      <c r="E3" s="73" t="s">
        <v>51</v>
      </c>
      <c r="F3" s="73" t="s">
        <v>52</v>
      </c>
      <c r="G3" s="73" t="s">
        <v>53</v>
      </c>
      <c r="H3" s="73" t="s">
        <v>54</v>
      </c>
      <c r="I3" s="73" t="s">
        <v>55</v>
      </c>
      <c r="J3" s="74" t="s">
        <v>56</v>
      </c>
      <c r="K3" s="75" t="s">
        <v>57</v>
      </c>
      <c r="L3" s="76" t="s">
        <v>58</v>
      </c>
      <c r="M3" s="77" t="s">
        <v>59</v>
      </c>
      <c r="N3" s="76" t="s">
        <v>60</v>
      </c>
      <c r="O3" s="78" t="s">
        <v>61</v>
      </c>
      <c r="P3" s="78" t="s">
        <v>62</v>
      </c>
      <c r="Q3" s="78" t="s">
        <v>63</v>
      </c>
      <c r="R3" s="78" t="s">
        <v>64</v>
      </c>
      <c r="S3" s="79" t="s">
        <v>65</v>
      </c>
      <c r="T3" s="80" t="s">
        <v>66</v>
      </c>
      <c r="U3" s="80" t="s">
        <v>67</v>
      </c>
      <c r="V3" s="81"/>
      <c r="W3" s="81"/>
      <c r="X3" s="81"/>
      <c r="Y3" s="81"/>
      <c r="Z3" s="81"/>
    </row>
    <row r="4">
      <c r="A4" s="82">
        <v>8915103.0</v>
      </c>
      <c r="B4" s="83">
        <v>1.0</v>
      </c>
      <c r="C4" s="83" t="s">
        <v>68</v>
      </c>
      <c r="D4" s="84" t="s">
        <v>69</v>
      </c>
      <c r="E4" s="84" t="s">
        <v>70</v>
      </c>
      <c r="F4" s="84" t="s">
        <v>71</v>
      </c>
      <c r="G4" s="85" t="s">
        <v>72</v>
      </c>
      <c r="H4" s="86" t="s">
        <v>73</v>
      </c>
      <c r="I4" s="87" t="s">
        <v>74</v>
      </c>
      <c r="J4" s="86"/>
      <c r="K4" s="88"/>
      <c r="L4" s="86"/>
      <c r="M4" s="86"/>
      <c r="N4" s="86"/>
      <c r="O4" s="86"/>
      <c r="P4" s="86"/>
      <c r="Q4" s="86"/>
      <c r="R4" s="86"/>
      <c r="S4" s="89">
        <f t="shared" ref="S4:S80" si="1">SUM(K4:R4)</f>
        <v>0</v>
      </c>
      <c r="T4" s="90">
        <f t="shared" ref="T4:T211" si="2">S4/40</f>
        <v>0</v>
      </c>
      <c r="U4" s="89" t="str">
        <f>IF(H4="Rendida ",IF('Resultados Individuales'!T4&lt;49.5%,"Por Mejorar",IF('Resultados Individuales'!T4&lt;64.5%,"Base",IF('Resultados Individuales'!T4&lt;84.5%,"Satisfactorio","Óptimo"))),"No rendida o no válida")</f>
        <v>No rendida o no válida</v>
      </c>
    </row>
    <row r="5">
      <c r="A5" s="82">
        <v>1.1828211E7</v>
      </c>
      <c r="B5" s="83">
        <v>6.0</v>
      </c>
      <c r="C5" s="83" t="s">
        <v>75</v>
      </c>
      <c r="D5" s="84" t="s">
        <v>76</v>
      </c>
      <c r="E5" s="84" t="s">
        <v>77</v>
      </c>
      <c r="F5" s="84" t="s">
        <v>78</v>
      </c>
      <c r="G5" s="85" t="s">
        <v>72</v>
      </c>
      <c r="H5" s="91" t="s">
        <v>79</v>
      </c>
      <c r="I5" s="92">
        <v>45758.0</v>
      </c>
      <c r="J5" s="91"/>
      <c r="K5" s="93">
        <v>3.0</v>
      </c>
      <c r="L5" s="91">
        <v>4.0</v>
      </c>
      <c r="M5" s="91">
        <v>4.0</v>
      </c>
      <c r="N5" s="91">
        <v>4.0</v>
      </c>
      <c r="O5" s="91">
        <v>3.0</v>
      </c>
      <c r="P5" s="91">
        <v>3.0</v>
      </c>
      <c r="Q5" s="91">
        <v>2.0</v>
      </c>
      <c r="R5" s="91">
        <v>4.0</v>
      </c>
      <c r="S5" s="89">
        <f t="shared" si="1"/>
        <v>27</v>
      </c>
      <c r="T5" s="90">
        <f t="shared" si="2"/>
        <v>0.675</v>
      </c>
      <c r="U5" s="89" t="str">
        <f>IF(H5="Rendida ",IF('Resultados Individuales'!T5&lt;49.5%,"Por Mejorar",IF('Resultados Individuales'!T5&lt;64.5%,"Base",IF('Resultados Individuales'!T5&lt;84.5%,"Satisfactorio","Óptimo"))),"No rendida o no válida")</f>
        <v>Satisfactorio</v>
      </c>
      <c r="V5" s="94" t="s">
        <v>80</v>
      </c>
    </row>
    <row r="6">
      <c r="A6" s="82">
        <v>1.5166536E7</v>
      </c>
      <c r="B6" s="83">
        <v>5.0</v>
      </c>
      <c r="C6" s="83" t="s">
        <v>81</v>
      </c>
      <c r="D6" s="84" t="s">
        <v>82</v>
      </c>
      <c r="E6" s="84" t="s">
        <v>83</v>
      </c>
      <c r="F6" s="84" t="s">
        <v>84</v>
      </c>
      <c r="G6" s="85" t="s">
        <v>72</v>
      </c>
      <c r="H6" s="91" t="s">
        <v>79</v>
      </c>
      <c r="I6" s="92">
        <v>45758.0</v>
      </c>
      <c r="J6" s="91"/>
      <c r="K6" s="93">
        <v>1.0</v>
      </c>
      <c r="L6" s="91">
        <v>2.0</v>
      </c>
      <c r="M6" s="91">
        <v>3.0</v>
      </c>
      <c r="N6" s="91">
        <v>3.0</v>
      </c>
      <c r="O6" s="91">
        <v>3.0</v>
      </c>
      <c r="P6" s="91">
        <v>3.0</v>
      </c>
      <c r="Q6" s="91">
        <v>3.0</v>
      </c>
      <c r="R6" s="91">
        <v>3.0</v>
      </c>
      <c r="S6" s="89">
        <f t="shared" si="1"/>
        <v>21</v>
      </c>
      <c r="T6" s="90">
        <f t="shared" si="2"/>
        <v>0.525</v>
      </c>
      <c r="U6" s="89" t="str">
        <f>IF(H6="Rendida ",IF('Resultados Individuales'!T6&lt;49.5%,"Por Mejorar",IF('Resultados Individuales'!T6&lt;64.5%,"Base",IF('Resultados Individuales'!T6&lt;84.5%,"Satisfactorio","Óptimo"))),"No rendida o no válida")</f>
        <v>Base</v>
      </c>
      <c r="V6" s="94" t="s">
        <v>85</v>
      </c>
    </row>
    <row r="7">
      <c r="A7" s="82">
        <v>1.6071809E7</v>
      </c>
      <c r="B7" s="83">
        <v>9.0</v>
      </c>
      <c r="C7" s="83" t="s">
        <v>86</v>
      </c>
      <c r="D7" s="84" t="s">
        <v>87</v>
      </c>
      <c r="E7" s="84" t="s">
        <v>88</v>
      </c>
      <c r="F7" s="84" t="s">
        <v>89</v>
      </c>
      <c r="G7" s="85" t="s">
        <v>72</v>
      </c>
      <c r="H7" s="95" t="s">
        <v>79</v>
      </c>
      <c r="I7" s="96">
        <v>45758.0</v>
      </c>
      <c r="J7" s="95"/>
      <c r="K7" s="97">
        <v>3.0</v>
      </c>
      <c r="L7" s="91">
        <v>4.0</v>
      </c>
      <c r="M7" s="91">
        <v>4.0</v>
      </c>
      <c r="N7" s="91">
        <v>4.0</v>
      </c>
      <c r="O7" s="91">
        <v>2.0</v>
      </c>
      <c r="P7" s="91">
        <v>2.0</v>
      </c>
      <c r="Q7" s="91">
        <v>2.0</v>
      </c>
      <c r="R7" s="91">
        <v>3.0</v>
      </c>
      <c r="S7" s="89">
        <f t="shared" si="1"/>
        <v>24</v>
      </c>
      <c r="T7" s="90">
        <f t="shared" si="2"/>
        <v>0.6</v>
      </c>
      <c r="U7" s="89" t="str">
        <f>IF(H7="Rendida ",IF('Resultados Individuales'!T7&lt;49.5%,"Por Mejorar",IF('Resultados Individuales'!T7&lt;64.5%,"Base",IF('Resultados Individuales'!T7&lt;84.5%,"Satisfactorio","Óptimo"))),"No rendida o no válida")</f>
        <v>Base</v>
      </c>
      <c r="V7" s="94" t="s">
        <v>90</v>
      </c>
    </row>
    <row r="8">
      <c r="A8" s="98">
        <v>1.7879125E7</v>
      </c>
      <c r="B8" s="99">
        <v>7.0</v>
      </c>
      <c r="C8" s="83" t="s">
        <v>91</v>
      </c>
      <c r="D8" s="100" t="s">
        <v>92</v>
      </c>
      <c r="E8" s="100" t="s">
        <v>93</v>
      </c>
      <c r="F8" s="100" t="s">
        <v>94</v>
      </c>
      <c r="G8" s="101" t="s">
        <v>95</v>
      </c>
      <c r="H8" s="102"/>
      <c r="I8" s="103"/>
      <c r="J8" s="102"/>
      <c r="K8" s="104"/>
      <c r="L8" s="105"/>
      <c r="M8" s="105"/>
      <c r="N8" s="105"/>
      <c r="O8" s="105"/>
      <c r="P8" s="105"/>
      <c r="Q8" s="105"/>
      <c r="R8" s="105"/>
      <c r="S8" s="106">
        <f t="shared" si="1"/>
        <v>0</v>
      </c>
      <c r="T8" s="107">
        <f t="shared" si="2"/>
        <v>0</v>
      </c>
      <c r="U8" s="106" t="str">
        <f>IF(H8="Rendida ",IF('Resultados Individuales'!T8&lt;49.5%,"Por Mejorar",IF('Resultados Individuales'!T8&lt;64.5%,"Base",IF('Resultados Individuales'!T8&lt;84.5%,"Satisfactorio","Óptimo"))),"No rendida o no válida")</f>
        <v>No rendida o no válida</v>
      </c>
      <c r="V8" s="108"/>
      <c r="W8" s="108"/>
      <c r="X8" s="108"/>
      <c r="Y8" s="108"/>
      <c r="Z8" s="108"/>
    </row>
    <row r="9">
      <c r="A9" s="82">
        <v>1.8502526E7</v>
      </c>
      <c r="B9" s="83">
        <v>8.0</v>
      </c>
      <c r="C9" s="83" t="s">
        <v>96</v>
      </c>
      <c r="D9" s="84" t="s">
        <v>97</v>
      </c>
      <c r="E9" s="84" t="s">
        <v>98</v>
      </c>
      <c r="F9" s="84" t="s">
        <v>99</v>
      </c>
      <c r="G9" s="85" t="s">
        <v>72</v>
      </c>
      <c r="H9" s="95" t="s">
        <v>73</v>
      </c>
      <c r="I9" s="109" t="s">
        <v>74</v>
      </c>
      <c r="J9" s="95"/>
      <c r="K9" s="97"/>
      <c r="L9" s="91"/>
      <c r="M9" s="91"/>
      <c r="N9" s="91"/>
      <c r="O9" s="91"/>
      <c r="P9" s="91"/>
      <c r="Q9" s="91"/>
      <c r="R9" s="91"/>
      <c r="S9" s="89">
        <f t="shared" si="1"/>
        <v>0</v>
      </c>
      <c r="T9" s="90">
        <f t="shared" si="2"/>
        <v>0</v>
      </c>
      <c r="U9" s="89" t="str">
        <f>IF(H9="Rendida ",IF('Resultados Individuales'!T9&lt;49.5%,"Por Mejorar",IF('Resultados Individuales'!T9&lt;64.5%,"Base",IF('Resultados Individuales'!T9&lt;84.5%,"Satisfactorio","Óptimo"))),"No rendida o no válida")</f>
        <v>No rendida o no válida</v>
      </c>
    </row>
    <row r="10">
      <c r="A10" s="82">
        <v>1.8956008E7</v>
      </c>
      <c r="B10" s="83">
        <v>7.0</v>
      </c>
      <c r="C10" s="83" t="s">
        <v>100</v>
      </c>
      <c r="D10" s="84" t="s">
        <v>101</v>
      </c>
      <c r="E10" s="84" t="s">
        <v>102</v>
      </c>
      <c r="F10" s="84" t="s">
        <v>103</v>
      </c>
      <c r="G10" s="85" t="s">
        <v>72</v>
      </c>
      <c r="H10" s="95" t="s">
        <v>79</v>
      </c>
      <c r="I10" s="96">
        <v>45758.0</v>
      </c>
      <c r="J10" s="95"/>
      <c r="K10" s="97">
        <v>4.0</v>
      </c>
      <c r="L10" s="91">
        <v>4.0</v>
      </c>
      <c r="M10" s="91">
        <v>4.0</v>
      </c>
      <c r="N10" s="91">
        <v>4.0</v>
      </c>
      <c r="O10" s="91">
        <v>3.0</v>
      </c>
      <c r="P10" s="91">
        <v>4.0</v>
      </c>
      <c r="Q10" s="91">
        <v>4.0</v>
      </c>
      <c r="R10" s="91">
        <v>3.0</v>
      </c>
      <c r="S10" s="89">
        <f t="shared" si="1"/>
        <v>30</v>
      </c>
      <c r="T10" s="90">
        <f t="shared" si="2"/>
        <v>0.75</v>
      </c>
      <c r="U10" s="89" t="str">
        <f>IF(H10="Rendida ",IF('Resultados Individuales'!T10&lt;49.5%,"Por Mejorar",IF('Resultados Individuales'!T10&lt;64.5%,"Base",IF('Resultados Individuales'!T10&lt;84.5%,"Satisfactorio","Óptimo"))),"No rendida o no válida")</f>
        <v>Satisfactorio</v>
      </c>
      <c r="V10" s="94" t="s">
        <v>104</v>
      </c>
    </row>
    <row r="11">
      <c r="A11" s="82">
        <v>1.9126017E7</v>
      </c>
      <c r="B11" s="83">
        <v>1.0</v>
      </c>
      <c r="C11" s="83" t="s">
        <v>105</v>
      </c>
      <c r="D11" s="84" t="s">
        <v>106</v>
      </c>
      <c r="E11" s="84" t="s">
        <v>107</v>
      </c>
      <c r="F11" s="84" t="s">
        <v>108</v>
      </c>
      <c r="G11" s="85" t="s">
        <v>72</v>
      </c>
      <c r="H11" s="95" t="s">
        <v>109</v>
      </c>
      <c r="I11" s="109" t="s">
        <v>74</v>
      </c>
      <c r="J11" s="95" t="s">
        <v>109</v>
      </c>
      <c r="K11" s="97"/>
      <c r="L11" s="91"/>
      <c r="M11" s="91"/>
      <c r="N11" s="91"/>
      <c r="O11" s="91"/>
      <c r="P11" s="91"/>
      <c r="Q11" s="91"/>
      <c r="R11" s="91"/>
      <c r="S11" s="89">
        <f t="shared" si="1"/>
        <v>0</v>
      </c>
      <c r="T11" s="90">
        <f t="shared" si="2"/>
        <v>0</v>
      </c>
      <c r="U11" s="89" t="str">
        <f>IF(H11="Rendida ",IF('Resultados Individuales'!T11&lt;49.5%,"Por Mejorar",IF('Resultados Individuales'!T11&lt;64.5%,"Base",IF('Resultados Individuales'!T11&lt;84.5%,"Satisfactorio","Óptimo"))),"No rendida o no válida")</f>
        <v>No rendida o no válida</v>
      </c>
    </row>
    <row r="12">
      <c r="A12" s="82">
        <v>1.942971E7</v>
      </c>
      <c r="B12" s="83">
        <v>6.0</v>
      </c>
      <c r="C12" s="83" t="s">
        <v>110</v>
      </c>
      <c r="D12" s="84" t="s">
        <v>111</v>
      </c>
      <c r="E12" s="84" t="s">
        <v>112</v>
      </c>
      <c r="F12" s="84" t="s">
        <v>113</v>
      </c>
      <c r="G12" s="85" t="s">
        <v>72</v>
      </c>
      <c r="H12" s="95" t="s">
        <v>79</v>
      </c>
      <c r="I12" s="96">
        <v>45758.0</v>
      </c>
      <c r="J12" s="95"/>
      <c r="K12" s="97">
        <v>2.0</v>
      </c>
      <c r="L12" s="91">
        <v>2.0</v>
      </c>
      <c r="M12" s="91">
        <v>3.0</v>
      </c>
      <c r="N12" s="91">
        <v>2.0</v>
      </c>
      <c r="O12" s="91">
        <v>2.0</v>
      </c>
      <c r="P12" s="91">
        <v>2.0</v>
      </c>
      <c r="Q12" s="91">
        <v>1.0</v>
      </c>
      <c r="R12" s="91">
        <v>2.0</v>
      </c>
      <c r="S12" s="89">
        <f t="shared" si="1"/>
        <v>16</v>
      </c>
      <c r="T12" s="90">
        <f t="shared" si="2"/>
        <v>0.4</v>
      </c>
      <c r="U12" s="89" t="str">
        <f>IF(H12="Rendida ",IF('Resultados Individuales'!T12&lt;49.5%,"Por Mejorar",IF('Resultados Individuales'!T12&lt;64.5%,"Base",IF('Resultados Individuales'!T12&lt;84.5%,"Satisfactorio","Óptimo"))),"No rendida o no válida")</f>
        <v>Por Mejorar</v>
      </c>
      <c r="V12" s="94" t="s">
        <v>114</v>
      </c>
    </row>
    <row r="13">
      <c r="A13" s="82">
        <v>1.952283E7</v>
      </c>
      <c r="B13" s="83">
        <v>2.0</v>
      </c>
      <c r="C13" s="83" t="s">
        <v>115</v>
      </c>
      <c r="D13" s="84" t="s">
        <v>116</v>
      </c>
      <c r="E13" s="84" t="s">
        <v>117</v>
      </c>
      <c r="F13" s="84" t="s">
        <v>118</v>
      </c>
      <c r="G13" s="85" t="s">
        <v>72</v>
      </c>
      <c r="H13" s="95" t="s">
        <v>79</v>
      </c>
      <c r="I13" s="96">
        <v>45758.0</v>
      </c>
      <c r="J13" s="95"/>
      <c r="K13" s="97">
        <v>3.0</v>
      </c>
      <c r="L13" s="91">
        <v>4.0</v>
      </c>
      <c r="M13" s="91">
        <v>4.0</v>
      </c>
      <c r="N13" s="91">
        <v>4.0</v>
      </c>
      <c r="O13" s="91">
        <v>2.0</v>
      </c>
      <c r="P13" s="91">
        <v>3.0</v>
      </c>
      <c r="Q13" s="91">
        <v>3.0</v>
      </c>
      <c r="R13" s="91">
        <v>3.0</v>
      </c>
      <c r="S13" s="89">
        <f t="shared" si="1"/>
        <v>26</v>
      </c>
      <c r="T13" s="90">
        <f t="shared" si="2"/>
        <v>0.65</v>
      </c>
      <c r="U13" s="89" t="str">
        <f>IF(H13="Rendida ",IF('Resultados Individuales'!T13&lt;49.5%,"Por Mejorar",IF('Resultados Individuales'!T13&lt;64.5%,"Base",IF('Resultados Individuales'!T13&lt;84.5%,"Satisfactorio","Óptimo"))),"No rendida o no válida")</f>
        <v>Satisfactorio</v>
      </c>
      <c r="V13" s="94" t="s">
        <v>119</v>
      </c>
    </row>
    <row r="14">
      <c r="A14" s="98">
        <v>1.9636454E7</v>
      </c>
      <c r="B14" s="99">
        <v>4.0</v>
      </c>
      <c r="C14" s="83" t="s">
        <v>120</v>
      </c>
      <c r="D14" s="100" t="s">
        <v>121</v>
      </c>
      <c r="E14" s="100" t="s">
        <v>122</v>
      </c>
      <c r="F14" s="100" t="s">
        <v>123</v>
      </c>
      <c r="G14" s="101" t="s">
        <v>95</v>
      </c>
      <c r="H14" s="102"/>
      <c r="I14" s="110"/>
      <c r="J14" s="102"/>
      <c r="K14" s="104"/>
      <c r="L14" s="105"/>
      <c r="M14" s="105"/>
      <c r="N14" s="105"/>
      <c r="O14" s="105"/>
      <c r="P14" s="105"/>
      <c r="Q14" s="105"/>
      <c r="R14" s="105"/>
      <c r="S14" s="106">
        <f t="shared" si="1"/>
        <v>0</v>
      </c>
      <c r="T14" s="107">
        <f t="shared" si="2"/>
        <v>0</v>
      </c>
      <c r="U14" s="106" t="str">
        <f>IF(H14="Rendida ",IF('Resultados Individuales'!T14&lt;49.5%,"Por Mejorar",IF('Resultados Individuales'!T14&lt;64.5%,"Base",IF('Resultados Individuales'!T14&lt;84.5%,"Satisfactorio","Óptimo"))),"No rendida o no válida")</f>
        <v>No rendida o no válida</v>
      </c>
      <c r="V14" s="108"/>
      <c r="W14" s="108"/>
      <c r="X14" s="108"/>
      <c r="Y14" s="108"/>
      <c r="Z14" s="108"/>
    </row>
    <row r="15">
      <c r="A15" s="82">
        <v>1.9645915E7</v>
      </c>
      <c r="B15" s="83">
        <v>4.0</v>
      </c>
      <c r="C15" s="83" t="s">
        <v>124</v>
      </c>
      <c r="D15" s="84" t="s">
        <v>125</v>
      </c>
      <c r="E15" s="84" t="s">
        <v>126</v>
      </c>
      <c r="F15" s="84" t="s">
        <v>127</v>
      </c>
      <c r="G15" s="85" t="s">
        <v>72</v>
      </c>
      <c r="H15" s="95" t="s">
        <v>73</v>
      </c>
      <c r="I15" s="109" t="s">
        <v>74</v>
      </c>
      <c r="J15" s="95"/>
      <c r="K15" s="97"/>
      <c r="L15" s="91"/>
      <c r="M15" s="91"/>
      <c r="N15" s="91"/>
      <c r="O15" s="91"/>
      <c r="P15" s="91"/>
      <c r="Q15" s="91"/>
      <c r="R15" s="91"/>
      <c r="S15" s="89">
        <f t="shared" si="1"/>
        <v>0</v>
      </c>
      <c r="T15" s="90">
        <f t="shared" si="2"/>
        <v>0</v>
      </c>
      <c r="U15" s="89" t="str">
        <f>IF(H15="Rendida ",IF('Resultados Individuales'!T15&lt;49.5%,"Por Mejorar",IF('Resultados Individuales'!T15&lt;64.5%,"Base",IF('Resultados Individuales'!T15&lt;84.5%,"Satisfactorio","Óptimo"))),"No rendida o no válida")</f>
        <v>No rendida o no válida</v>
      </c>
    </row>
    <row r="16">
      <c r="A16" s="82">
        <v>1.9647397E7</v>
      </c>
      <c r="B16" s="83">
        <v>1.0</v>
      </c>
      <c r="C16" s="83" t="s">
        <v>128</v>
      </c>
      <c r="D16" s="84" t="s">
        <v>129</v>
      </c>
      <c r="E16" s="84" t="s">
        <v>130</v>
      </c>
      <c r="F16" s="84" t="s">
        <v>131</v>
      </c>
      <c r="G16" s="85" t="s">
        <v>72</v>
      </c>
      <c r="H16" s="95" t="s">
        <v>79</v>
      </c>
      <c r="I16" s="96">
        <v>45758.0</v>
      </c>
      <c r="J16" s="95"/>
      <c r="K16" s="97">
        <v>3.0</v>
      </c>
      <c r="L16" s="91">
        <v>2.0</v>
      </c>
      <c r="M16" s="91">
        <v>2.0</v>
      </c>
      <c r="N16" s="91">
        <v>2.0</v>
      </c>
      <c r="O16" s="91">
        <v>1.0</v>
      </c>
      <c r="P16" s="91">
        <v>1.0</v>
      </c>
      <c r="Q16" s="91">
        <v>1.0</v>
      </c>
      <c r="R16" s="91">
        <v>2.0</v>
      </c>
      <c r="S16" s="89">
        <f t="shared" si="1"/>
        <v>14</v>
      </c>
      <c r="T16" s="90">
        <f t="shared" si="2"/>
        <v>0.35</v>
      </c>
      <c r="U16" s="89" t="str">
        <f>IF(H16="Rendida ",IF('Resultados Individuales'!T16&lt;49.5%,"Por Mejorar",IF('Resultados Individuales'!T16&lt;64.5%,"Base",IF('Resultados Individuales'!T16&lt;84.5%,"Satisfactorio","Óptimo"))),"No rendida o no válida")</f>
        <v>Por Mejorar</v>
      </c>
      <c r="V16" s="94" t="s">
        <v>132</v>
      </c>
    </row>
    <row r="17">
      <c r="A17" s="82">
        <v>1.9829527E7</v>
      </c>
      <c r="B17" s="83">
        <v>2.0</v>
      </c>
      <c r="C17" s="83" t="s">
        <v>133</v>
      </c>
      <c r="D17" s="84" t="s">
        <v>134</v>
      </c>
      <c r="E17" s="84" t="s">
        <v>135</v>
      </c>
      <c r="F17" s="84" t="s">
        <v>136</v>
      </c>
      <c r="G17" s="85" t="s">
        <v>72</v>
      </c>
      <c r="H17" s="82" t="s">
        <v>79</v>
      </c>
      <c r="I17" s="111" t="s">
        <v>137</v>
      </c>
      <c r="J17" s="82"/>
      <c r="K17" s="112">
        <v>3.0</v>
      </c>
      <c r="L17" s="82">
        <v>4.0</v>
      </c>
      <c r="M17" s="82">
        <v>2.0</v>
      </c>
      <c r="N17" s="82">
        <v>3.0</v>
      </c>
      <c r="O17" s="82">
        <v>2.0</v>
      </c>
      <c r="P17" s="82">
        <v>2.0</v>
      </c>
      <c r="Q17" s="82">
        <v>3.0</v>
      </c>
      <c r="R17" s="82">
        <v>4.0</v>
      </c>
      <c r="S17" s="89">
        <f t="shared" si="1"/>
        <v>23</v>
      </c>
      <c r="T17" s="90">
        <f t="shared" si="2"/>
        <v>0.575</v>
      </c>
      <c r="U17" s="89" t="str">
        <f>IF(H17="Rendida ",IF('Resultados Individuales'!T17&lt;49.5%,"Por Mejorar",IF('Resultados Individuales'!T17&lt;64.5%,"Base",IF('Resultados Individuales'!T17&lt;84.5%,"Satisfactorio","Óptimo"))),"No rendida o no válida")</f>
        <v>Base</v>
      </c>
      <c r="V17" s="1" t="s">
        <v>138</v>
      </c>
    </row>
    <row r="18">
      <c r="A18" s="98">
        <v>1.9853952E7</v>
      </c>
      <c r="B18" s="99" t="s">
        <v>139</v>
      </c>
      <c r="C18" s="83" t="s">
        <v>140</v>
      </c>
      <c r="D18" s="100" t="s">
        <v>141</v>
      </c>
      <c r="E18" s="100" t="s">
        <v>142</v>
      </c>
      <c r="F18" s="100" t="s">
        <v>143</v>
      </c>
      <c r="G18" s="101"/>
      <c r="H18" s="102"/>
      <c r="I18" s="110"/>
      <c r="J18" s="102"/>
      <c r="K18" s="104"/>
      <c r="L18" s="105"/>
      <c r="M18" s="105"/>
      <c r="N18" s="105"/>
      <c r="O18" s="105"/>
      <c r="P18" s="105"/>
      <c r="Q18" s="105"/>
      <c r="R18" s="105"/>
      <c r="S18" s="106">
        <f t="shared" si="1"/>
        <v>0</v>
      </c>
      <c r="T18" s="107">
        <f t="shared" si="2"/>
        <v>0</v>
      </c>
      <c r="U18" s="106" t="str">
        <f>IF(H18="Rendida ",IF('Resultados Individuales'!T18&lt;49.5%,"Por Mejorar",IF('Resultados Individuales'!T18&lt;64.5%,"Base",IF('Resultados Individuales'!T18&lt;84.5%,"Satisfactorio","Óptimo"))),"No rendida o no válida")</f>
        <v>No rendida o no válida</v>
      </c>
      <c r="V18" s="1" t="s">
        <v>144</v>
      </c>
      <c r="W18" s="108"/>
      <c r="X18" s="108"/>
      <c r="Y18" s="108"/>
      <c r="Z18" s="108"/>
    </row>
    <row r="19">
      <c r="A19" s="82">
        <v>1.990316E7</v>
      </c>
      <c r="B19" s="83">
        <v>0.0</v>
      </c>
      <c r="C19" s="83" t="s">
        <v>145</v>
      </c>
      <c r="D19" s="84" t="s">
        <v>146</v>
      </c>
      <c r="E19" s="84" t="s">
        <v>147</v>
      </c>
      <c r="F19" s="84" t="s">
        <v>148</v>
      </c>
      <c r="G19" s="85" t="s">
        <v>72</v>
      </c>
      <c r="H19" s="95" t="s">
        <v>73</v>
      </c>
      <c r="I19" s="109" t="s">
        <v>74</v>
      </c>
      <c r="J19" s="95"/>
      <c r="K19" s="97"/>
      <c r="L19" s="91"/>
      <c r="M19" s="91"/>
      <c r="N19" s="91"/>
      <c r="O19" s="91"/>
      <c r="P19" s="91"/>
      <c r="Q19" s="91"/>
      <c r="R19" s="91"/>
      <c r="S19" s="89">
        <f t="shared" si="1"/>
        <v>0</v>
      </c>
      <c r="T19" s="90">
        <f t="shared" si="2"/>
        <v>0</v>
      </c>
      <c r="U19" s="89" t="str">
        <f>IF(H19="Rendida ",IF('Resultados Individuales'!T19&lt;49.5%,"Por Mejorar",IF('Resultados Individuales'!T19&lt;64.5%,"Base",IF('Resultados Individuales'!T19&lt;84.5%,"Satisfactorio","Óptimo"))),"No rendida o no válida")</f>
        <v>No rendida o no válida</v>
      </c>
      <c r="V19" s="1" t="s">
        <v>149</v>
      </c>
    </row>
    <row r="20">
      <c r="A20" s="82">
        <v>1.9954513E7</v>
      </c>
      <c r="B20" s="83">
        <v>2.0</v>
      </c>
      <c r="C20" s="83" t="s">
        <v>150</v>
      </c>
      <c r="D20" s="84" t="s">
        <v>151</v>
      </c>
      <c r="E20" s="84" t="s">
        <v>152</v>
      </c>
      <c r="F20" s="84" t="s">
        <v>153</v>
      </c>
      <c r="G20" s="85" t="s">
        <v>72</v>
      </c>
      <c r="H20" s="95" t="s">
        <v>73</v>
      </c>
      <c r="I20" s="109" t="s">
        <v>74</v>
      </c>
      <c r="J20" s="95"/>
      <c r="K20" s="97"/>
      <c r="L20" s="91"/>
      <c r="M20" s="91"/>
      <c r="N20" s="91"/>
      <c r="O20" s="91"/>
      <c r="P20" s="91"/>
      <c r="Q20" s="91"/>
      <c r="R20" s="91"/>
      <c r="S20" s="89">
        <f t="shared" si="1"/>
        <v>0</v>
      </c>
      <c r="T20" s="90">
        <f t="shared" si="2"/>
        <v>0</v>
      </c>
      <c r="U20" s="89" t="str">
        <f>IF(H20="Rendida ",IF('Resultados Individuales'!T20&lt;49.5%,"Por Mejorar",IF('Resultados Individuales'!T20&lt;64.5%,"Base",IF('Resultados Individuales'!T20&lt;84.5%,"Satisfactorio","Óptimo"))),"No rendida o no válida")</f>
        <v>No rendida o no válida</v>
      </c>
      <c r="V20" s="1" t="s">
        <v>154</v>
      </c>
    </row>
    <row r="21" ht="15.75" customHeight="1">
      <c r="A21" s="82">
        <v>2.0244309E7</v>
      </c>
      <c r="B21" s="83">
        <v>5.0</v>
      </c>
      <c r="C21" s="83" t="s">
        <v>155</v>
      </c>
      <c r="D21" s="84" t="s">
        <v>88</v>
      </c>
      <c r="E21" s="84" t="s">
        <v>156</v>
      </c>
      <c r="F21" s="84" t="s">
        <v>157</v>
      </c>
      <c r="G21" s="85" t="s">
        <v>72</v>
      </c>
      <c r="H21" s="95" t="s">
        <v>73</v>
      </c>
      <c r="I21" s="109" t="s">
        <v>74</v>
      </c>
      <c r="J21" s="95"/>
      <c r="K21" s="97"/>
      <c r="L21" s="91"/>
      <c r="M21" s="91"/>
      <c r="N21" s="91"/>
      <c r="O21" s="91"/>
      <c r="P21" s="91"/>
      <c r="Q21" s="91"/>
      <c r="R21" s="91"/>
      <c r="S21" s="89">
        <f t="shared" si="1"/>
        <v>0</v>
      </c>
      <c r="T21" s="90">
        <f t="shared" si="2"/>
        <v>0</v>
      </c>
      <c r="U21" s="89" t="str">
        <f>IF(H21="Rendida ",IF('Resultados Individuales'!T21&lt;49.5%,"Por Mejorar",IF('Resultados Individuales'!T21&lt;64.5%,"Base",IF('Resultados Individuales'!T21&lt;84.5%,"Satisfactorio","Óptimo"))),"No rendida o no válida")</f>
        <v>No rendida o no válida</v>
      </c>
    </row>
    <row r="22" ht="15.75" customHeight="1">
      <c r="A22" s="82">
        <v>2.0391016E7</v>
      </c>
      <c r="B22" s="83">
        <v>9.0</v>
      </c>
      <c r="C22" s="83" t="s">
        <v>158</v>
      </c>
      <c r="D22" s="84" t="s">
        <v>159</v>
      </c>
      <c r="E22" s="84" t="s">
        <v>160</v>
      </c>
      <c r="F22" s="84" t="s">
        <v>136</v>
      </c>
      <c r="G22" s="85" t="s">
        <v>72</v>
      </c>
      <c r="H22" s="95" t="s">
        <v>79</v>
      </c>
      <c r="I22" s="96">
        <v>45758.0</v>
      </c>
      <c r="J22" s="95"/>
      <c r="K22" s="97">
        <v>4.0</v>
      </c>
      <c r="L22" s="91">
        <v>3.0</v>
      </c>
      <c r="M22" s="91">
        <v>3.0</v>
      </c>
      <c r="N22" s="91">
        <v>4.0</v>
      </c>
      <c r="O22" s="91">
        <v>2.0</v>
      </c>
      <c r="P22" s="91">
        <v>3.0</v>
      </c>
      <c r="Q22" s="91">
        <v>2.0</v>
      </c>
      <c r="R22" s="91">
        <v>3.0</v>
      </c>
      <c r="S22" s="89">
        <f t="shared" si="1"/>
        <v>24</v>
      </c>
      <c r="T22" s="90">
        <f t="shared" si="2"/>
        <v>0.6</v>
      </c>
      <c r="U22" s="89" t="str">
        <f>IF(H22="Rendida ",IF('Resultados Individuales'!T22&lt;49.5%,"Por Mejorar",IF('Resultados Individuales'!T22&lt;64.5%,"Base",IF('Resultados Individuales'!T22&lt;84.5%,"Satisfactorio","Óptimo"))),"No rendida o no válida")</f>
        <v>Base</v>
      </c>
      <c r="V22" s="94" t="s">
        <v>161</v>
      </c>
    </row>
    <row r="23" ht="15.75" customHeight="1">
      <c r="A23" s="82">
        <v>2.0510143E7</v>
      </c>
      <c r="B23" s="83">
        <v>8.0</v>
      </c>
      <c r="C23" s="83" t="s">
        <v>162</v>
      </c>
      <c r="D23" s="84" t="s">
        <v>69</v>
      </c>
      <c r="E23" s="84" t="s">
        <v>163</v>
      </c>
      <c r="F23" s="84" t="s">
        <v>164</v>
      </c>
      <c r="G23" s="85" t="s">
        <v>72</v>
      </c>
      <c r="H23" s="95" t="s">
        <v>109</v>
      </c>
      <c r="I23" s="96">
        <v>45758.0</v>
      </c>
      <c r="J23" s="95" t="s">
        <v>109</v>
      </c>
      <c r="K23" s="97"/>
      <c r="L23" s="91"/>
      <c r="M23" s="91"/>
      <c r="N23" s="91"/>
      <c r="O23" s="91"/>
      <c r="P23" s="91"/>
      <c r="Q23" s="91"/>
      <c r="R23" s="91"/>
      <c r="S23" s="89">
        <f t="shared" si="1"/>
        <v>0</v>
      </c>
      <c r="T23" s="90">
        <f t="shared" si="2"/>
        <v>0</v>
      </c>
      <c r="U23" s="89" t="str">
        <f>IF(H23="Rendida ",IF('Resultados Individuales'!T23&lt;49.5%,"Por Mejorar",IF('Resultados Individuales'!T23&lt;64.5%,"Base",IF('Resultados Individuales'!T23&lt;84.5%,"Satisfactorio","Óptimo"))),"No rendida o no válida")</f>
        <v>No rendida o no válida</v>
      </c>
    </row>
    <row r="24" ht="15.75" customHeight="1">
      <c r="A24" s="82">
        <v>2.0550155E7</v>
      </c>
      <c r="B24" s="83" t="s">
        <v>139</v>
      </c>
      <c r="C24" s="83" t="s">
        <v>165</v>
      </c>
      <c r="D24" s="84" t="s">
        <v>166</v>
      </c>
      <c r="E24" s="84" t="s">
        <v>167</v>
      </c>
      <c r="F24" s="84" t="s">
        <v>168</v>
      </c>
      <c r="G24" s="85" t="s">
        <v>72</v>
      </c>
      <c r="H24" s="95" t="s">
        <v>79</v>
      </c>
      <c r="I24" s="96">
        <v>45758.0</v>
      </c>
      <c r="J24" s="95"/>
      <c r="K24" s="97">
        <v>3.0</v>
      </c>
      <c r="L24" s="91">
        <v>3.0</v>
      </c>
      <c r="M24" s="91">
        <v>3.0</v>
      </c>
      <c r="N24" s="91">
        <v>3.0</v>
      </c>
      <c r="O24" s="91">
        <v>3.0</v>
      </c>
      <c r="P24" s="91">
        <v>4.0</v>
      </c>
      <c r="Q24" s="91">
        <v>3.0</v>
      </c>
      <c r="R24" s="91">
        <v>4.0</v>
      </c>
      <c r="S24" s="89">
        <f t="shared" si="1"/>
        <v>26</v>
      </c>
      <c r="T24" s="90">
        <f t="shared" si="2"/>
        <v>0.65</v>
      </c>
      <c r="U24" s="89" t="str">
        <f>IF(H24="Rendida ",IF('Resultados Individuales'!T24&lt;49.5%,"Por Mejorar",IF('Resultados Individuales'!T24&lt;64.5%,"Base",IF('Resultados Individuales'!T24&lt;84.5%,"Satisfactorio","Óptimo"))),"No rendida o no válida")</f>
        <v>Satisfactorio</v>
      </c>
      <c r="V24" s="94" t="s">
        <v>169</v>
      </c>
    </row>
    <row r="25" ht="15.75" customHeight="1">
      <c r="A25" s="98">
        <v>2.0602647E7</v>
      </c>
      <c r="B25" s="99">
        <v>2.0</v>
      </c>
      <c r="C25" s="83" t="s">
        <v>170</v>
      </c>
      <c r="D25" s="100" t="s">
        <v>171</v>
      </c>
      <c r="E25" s="100" t="s">
        <v>172</v>
      </c>
      <c r="F25" s="100" t="s">
        <v>173</v>
      </c>
      <c r="G25" s="113"/>
      <c r="H25" s="98"/>
      <c r="I25" s="114"/>
      <c r="J25" s="98"/>
      <c r="K25" s="115"/>
      <c r="L25" s="98"/>
      <c r="M25" s="98"/>
      <c r="N25" s="98"/>
      <c r="O25" s="98"/>
      <c r="P25" s="98"/>
      <c r="Q25" s="98"/>
      <c r="R25" s="98"/>
      <c r="S25" s="106">
        <f t="shared" si="1"/>
        <v>0</v>
      </c>
      <c r="T25" s="107">
        <f t="shared" si="2"/>
        <v>0</v>
      </c>
      <c r="U25" s="106" t="str">
        <f>IF(H25="Rendida ",IF('Resultados Individuales'!T25&lt;49.5%,"Por Mejorar",IF('Resultados Individuales'!T25&lt;64.5%,"Base",IF('Resultados Individuales'!T25&lt;84.5%,"Satisfactorio","Óptimo"))),"No rendida o no válida")</f>
        <v>No rendida o no válida</v>
      </c>
      <c r="V25" s="108"/>
      <c r="W25" s="108"/>
      <c r="X25" s="108"/>
      <c r="Y25" s="108"/>
      <c r="Z25" s="108"/>
    </row>
    <row r="26" ht="15.75" customHeight="1">
      <c r="A26" s="116">
        <v>2.0678732E7</v>
      </c>
      <c r="B26" s="117">
        <v>5.0</v>
      </c>
      <c r="C26" s="83" t="s">
        <v>174</v>
      </c>
      <c r="D26" s="118" t="s">
        <v>175</v>
      </c>
      <c r="E26" s="118" t="s">
        <v>176</v>
      </c>
      <c r="F26" s="118" t="s">
        <v>177</v>
      </c>
      <c r="G26" s="85" t="s">
        <v>72</v>
      </c>
      <c r="H26" s="116" t="s">
        <v>73</v>
      </c>
      <c r="I26" s="119" t="s">
        <v>74</v>
      </c>
      <c r="J26" s="116"/>
      <c r="K26" s="120"/>
      <c r="L26" s="116"/>
      <c r="M26" s="116"/>
      <c r="N26" s="116"/>
      <c r="O26" s="116"/>
      <c r="P26" s="116"/>
      <c r="Q26" s="116"/>
      <c r="R26" s="116"/>
      <c r="S26" s="121">
        <f t="shared" si="1"/>
        <v>0</v>
      </c>
      <c r="T26" s="122">
        <f t="shared" si="2"/>
        <v>0</v>
      </c>
      <c r="U26" s="121" t="str">
        <f>IF(H26="Rendida ",IF('Resultados Individuales'!T26&lt;49.5%,"Por Mejorar",IF('Resultados Individuales'!T26&lt;64.5%,"Base",IF('Resultados Individuales'!T26&lt;84.5%,"Satisfactorio","Óptimo"))),"No rendida o no válida")</f>
        <v>No rendida o no válida</v>
      </c>
      <c r="V26" s="123"/>
      <c r="W26" s="123"/>
      <c r="X26" s="123"/>
      <c r="Y26" s="123"/>
      <c r="Z26" s="123"/>
    </row>
    <row r="27" ht="15.75" customHeight="1">
      <c r="A27" s="82">
        <v>2.0746309E7</v>
      </c>
      <c r="B27" s="83">
        <v>4.0</v>
      </c>
      <c r="C27" s="83" t="s">
        <v>178</v>
      </c>
      <c r="D27" s="84" t="s">
        <v>179</v>
      </c>
      <c r="E27" s="84" t="s">
        <v>180</v>
      </c>
      <c r="F27" s="84" t="s">
        <v>181</v>
      </c>
      <c r="G27" s="85" t="s">
        <v>72</v>
      </c>
      <c r="H27" s="95" t="s">
        <v>79</v>
      </c>
      <c r="I27" s="96">
        <v>45758.0</v>
      </c>
      <c r="J27" s="95"/>
      <c r="K27" s="97">
        <v>3.0</v>
      </c>
      <c r="L27" s="91">
        <v>3.0</v>
      </c>
      <c r="M27" s="91">
        <v>3.0</v>
      </c>
      <c r="N27" s="91">
        <v>3.0</v>
      </c>
      <c r="O27" s="91">
        <v>1.0</v>
      </c>
      <c r="P27" s="91">
        <v>1.0</v>
      </c>
      <c r="Q27" s="91">
        <v>2.0</v>
      </c>
      <c r="R27" s="91">
        <v>3.0</v>
      </c>
      <c r="S27" s="89">
        <f t="shared" si="1"/>
        <v>19</v>
      </c>
      <c r="T27" s="90">
        <f t="shared" si="2"/>
        <v>0.475</v>
      </c>
      <c r="U27" s="89" t="str">
        <f>IF(H27="Rendida ",IF('Resultados Individuales'!T27&lt;49.5%,"Por Mejorar",IF('Resultados Individuales'!T27&lt;64.5%,"Base",IF('Resultados Individuales'!T27&lt;84.5%,"Satisfactorio","Óptimo"))),"No rendida o no válida")</f>
        <v>Por Mejorar</v>
      </c>
      <c r="V27" s="94" t="s">
        <v>182</v>
      </c>
    </row>
    <row r="28" ht="15.75" customHeight="1">
      <c r="A28" s="82">
        <v>2.0773727E7</v>
      </c>
      <c r="B28" s="83">
        <v>5.0</v>
      </c>
      <c r="C28" s="83" t="s">
        <v>183</v>
      </c>
      <c r="D28" s="84" t="s">
        <v>184</v>
      </c>
      <c r="E28" s="84" t="s">
        <v>151</v>
      </c>
      <c r="F28" s="84" t="s">
        <v>185</v>
      </c>
      <c r="G28" s="85" t="s">
        <v>72</v>
      </c>
      <c r="H28" s="95" t="s">
        <v>79</v>
      </c>
      <c r="I28" s="96">
        <v>45758.0</v>
      </c>
      <c r="J28" s="95"/>
      <c r="K28" s="97">
        <v>3.0</v>
      </c>
      <c r="L28" s="91">
        <v>3.0</v>
      </c>
      <c r="M28" s="91">
        <v>3.0</v>
      </c>
      <c r="N28" s="91">
        <v>2.0</v>
      </c>
      <c r="O28" s="91">
        <v>1.0</v>
      </c>
      <c r="P28" s="91">
        <v>2.0</v>
      </c>
      <c r="Q28" s="91">
        <v>1.0</v>
      </c>
      <c r="R28" s="91">
        <v>3.0</v>
      </c>
      <c r="S28" s="89">
        <f t="shared" si="1"/>
        <v>18</v>
      </c>
      <c r="T28" s="90">
        <f t="shared" si="2"/>
        <v>0.45</v>
      </c>
      <c r="U28" s="89" t="str">
        <f>IF(H28="Rendida ",IF('Resultados Individuales'!T28&lt;49.5%,"Por Mejorar",IF('Resultados Individuales'!T28&lt;64.5%,"Base",IF('Resultados Individuales'!T28&lt;84.5%,"Satisfactorio","Óptimo"))),"No rendida o no válida")</f>
        <v>Por Mejorar</v>
      </c>
      <c r="V28" s="94" t="s">
        <v>186</v>
      </c>
    </row>
    <row r="29" ht="15.75" customHeight="1">
      <c r="A29" s="82">
        <v>2.0778801E7</v>
      </c>
      <c r="B29" s="83">
        <v>5.0</v>
      </c>
      <c r="C29" s="83" t="s">
        <v>187</v>
      </c>
      <c r="D29" s="84" t="s">
        <v>188</v>
      </c>
      <c r="E29" s="84" t="s">
        <v>189</v>
      </c>
      <c r="F29" s="84" t="s">
        <v>190</v>
      </c>
      <c r="G29" s="85" t="s">
        <v>72</v>
      </c>
      <c r="H29" s="95" t="s">
        <v>79</v>
      </c>
      <c r="I29" s="96">
        <v>45758.0</v>
      </c>
      <c r="J29" s="95"/>
      <c r="K29" s="97">
        <v>4.0</v>
      </c>
      <c r="L29" s="91">
        <v>4.0</v>
      </c>
      <c r="M29" s="91">
        <v>4.0</v>
      </c>
      <c r="N29" s="91">
        <v>4.0</v>
      </c>
      <c r="O29" s="91">
        <v>3.0</v>
      </c>
      <c r="P29" s="91">
        <v>3.0</v>
      </c>
      <c r="Q29" s="91">
        <v>2.0</v>
      </c>
      <c r="R29" s="91">
        <v>4.0</v>
      </c>
      <c r="S29" s="89">
        <f t="shared" si="1"/>
        <v>28</v>
      </c>
      <c r="T29" s="90">
        <f t="shared" si="2"/>
        <v>0.7</v>
      </c>
      <c r="U29" s="89" t="str">
        <f>IF(H29="Rendida ",IF('Resultados Individuales'!T29&lt;49.5%,"Por Mejorar",IF('Resultados Individuales'!T29&lt;64.5%,"Base",IF('Resultados Individuales'!T29&lt;84.5%,"Satisfactorio","Óptimo"))),"No rendida o no válida")</f>
        <v>Satisfactorio</v>
      </c>
      <c r="V29" s="94" t="s">
        <v>191</v>
      </c>
    </row>
    <row r="30" ht="15.75" customHeight="1">
      <c r="A30" s="82">
        <v>2.080146E7</v>
      </c>
      <c r="B30" s="83">
        <v>9.0</v>
      </c>
      <c r="C30" s="83" t="s">
        <v>192</v>
      </c>
      <c r="D30" s="84" t="s">
        <v>151</v>
      </c>
      <c r="E30" s="84" t="s">
        <v>193</v>
      </c>
      <c r="F30" s="84" t="s">
        <v>194</v>
      </c>
      <c r="G30" s="85" t="s">
        <v>195</v>
      </c>
      <c r="H30" s="95" t="s">
        <v>109</v>
      </c>
      <c r="I30" s="96" t="s">
        <v>74</v>
      </c>
      <c r="J30" s="95"/>
      <c r="K30" s="97"/>
      <c r="L30" s="91"/>
      <c r="M30" s="91"/>
      <c r="N30" s="91"/>
      <c r="O30" s="91"/>
      <c r="P30" s="91"/>
      <c r="Q30" s="91"/>
      <c r="R30" s="91"/>
      <c r="S30" s="89">
        <f t="shared" si="1"/>
        <v>0</v>
      </c>
      <c r="T30" s="90">
        <f t="shared" si="2"/>
        <v>0</v>
      </c>
      <c r="U30" s="89" t="str">
        <f>IF(H30="Rendida ",IF('Resultados Individuales'!T30&lt;49.5%,"Por Mejorar",IF('Resultados Individuales'!T30&lt;64.5%,"Base",IF('Resultados Individuales'!T30&lt;84.5%,"Satisfactorio","Óptimo"))),"No rendida o no válida")</f>
        <v>No rendida o no válida</v>
      </c>
    </row>
    <row r="31" ht="15.75" customHeight="1">
      <c r="A31" s="82">
        <v>2.0824342E7</v>
      </c>
      <c r="B31" s="83" t="s">
        <v>139</v>
      </c>
      <c r="C31" s="83" t="s">
        <v>196</v>
      </c>
      <c r="D31" s="84" t="s">
        <v>197</v>
      </c>
      <c r="E31" s="84" t="s">
        <v>198</v>
      </c>
      <c r="F31" s="84" t="s">
        <v>199</v>
      </c>
      <c r="G31" s="85" t="s">
        <v>72</v>
      </c>
      <c r="H31" s="95" t="s">
        <v>73</v>
      </c>
      <c r="I31" s="109" t="s">
        <v>74</v>
      </c>
      <c r="J31" s="95"/>
      <c r="K31" s="97"/>
      <c r="L31" s="91"/>
      <c r="M31" s="91"/>
      <c r="N31" s="91"/>
      <c r="O31" s="91"/>
      <c r="P31" s="91"/>
      <c r="Q31" s="91"/>
      <c r="R31" s="91"/>
      <c r="S31" s="89">
        <f t="shared" si="1"/>
        <v>0</v>
      </c>
      <c r="T31" s="90">
        <f t="shared" si="2"/>
        <v>0</v>
      </c>
      <c r="U31" s="89" t="str">
        <f>IF(H31="Rendida ",IF('Resultados Individuales'!T31&lt;49.5%,"Por Mejorar",IF('Resultados Individuales'!T31&lt;64.5%,"Base",IF('Resultados Individuales'!T31&lt;84.5%,"Satisfactorio","Óptimo"))),"No rendida o no válida")</f>
        <v>No rendida o no válida</v>
      </c>
    </row>
    <row r="32" ht="15.75" customHeight="1">
      <c r="A32" s="82">
        <v>2.0837817E7</v>
      </c>
      <c r="B32" s="83">
        <v>1.0</v>
      </c>
      <c r="C32" s="83" t="s">
        <v>200</v>
      </c>
      <c r="D32" s="84" t="s">
        <v>201</v>
      </c>
      <c r="E32" s="84" t="s">
        <v>202</v>
      </c>
      <c r="F32" s="84" t="s">
        <v>203</v>
      </c>
      <c r="G32" s="85" t="s">
        <v>72</v>
      </c>
      <c r="H32" s="95" t="s">
        <v>73</v>
      </c>
      <c r="I32" s="109" t="s">
        <v>74</v>
      </c>
      <c r="J32" s="95"/>
      <c r="K32" s="97"/>
      <c r="L32" s="91"/>
      <c r="M32" s="91"/>
      <c r="N32" s="91"/>
      <c r="O32" s="91"/>
      <c r="P32" s="91"/>
      <c r="Q32" s="91"/>
      <c r="R32" s="91"/>
      <c r="S32" s="89">
        <f t="shared" si="1"/>
        <v>0</v>
      </c>
      <c r="T32" s="90">
        <f t="shared" si="2"/>
        <v>0</v>
      </c>
      <c r="U32" s="89" t="str">
        <f>IF(H32="Rendida ",IF('Resultados Individuales'!T32&lt;49.5%,"Por Mejorar",IF('Resultados Individuales'!T32&lt;64.5%,"Base",IF('Resultados Individuales'!T32&lt;84.5%,"Satisfactorio","Óptimo"))),"No rendida o no válida")</f>
        <v>No rendida o no válida</v>
      </c>
    </row>
    <row r="33" ht="15.75" customHeight="1">
      <c r="A33" s="82">
        <v>2.0844575E7</v>
      </c>
      <c r="B33" s="83">
        <v>8.0</v>
      </c>
      <c r="C33" s="83" t="s">
        <v>204</v>
      </c>
      <c r="D33" s="84" t="s">
        <v>205</v>
      </c>
      <c r="E33" s="84" t="s">
        <v>206</v>
      </c>
      <c r="F33" s="84" t="s">
        <v>207</v>
      </c>
      <c r="G33" s="85" t="s">
        <v>72</v>
      </c>
      <c r="H33" s="95" t="s">
        <v>79</v>
      </c>
      <c r="I33" s="124">
        <v>45882.0</v>
      </c>
      <c r="J33" s="95"/>
      <c r="K33" s="97">
        <v>2.0</v>
      </c>
      <c r="L33" s="91">
        <v>2.0</v>
      </c>
      <c r="M33" s="91">
        <v>3.0</v>
      </c>
      <c r="N33" s="91">
        <v>2.0</v>
      </c>
      <c r="O33" s="91">
        <v>2.0</v>
      </c>
      <c r="P33" s="91">
        <v>3.0</v>
      </c>
      <c r="Q33" s="91">
        <v>2.0</v>
      </c>
      <c r="R33" s="91">
        <v>3.0</v>
      </c>
      <c r="S33" s="89">
        <f t="shared" si="1"/>
        <v>19</v>
      </c>
      <c r="T33" s="90">
        <f t="shared" si="2"/>
        <v>0.475</v>
      </c>
      <c r="U33" s="89" t="str">
        <f>IF(H33="Rendida ",IF('Resultados Individuales'!T33&lt;49.5%,"Por Mejorar",IF('Resultados Individuales'!T33&lt;64.5%,"Base",IF('Resultados Individuales'!T33&lt;84.5%,"Satisfactorio","Óptimo"))),"No rendida o no válida")</f>
        <v>Por Mejorar</v>
      </c>
      <c r="V33" s="1" t="s">
        <v>208</v>
      </c>
    </row>
    <row r="34" ht="15.75" customHeight="1">
      <c r="A34" s="82">
        <v>2.0845895E7</v>
      </c>
      <c r="B34" s="83">
        <v>7.0</v>
      </c>
      <c r="C34" s="83" t="s">
        <v>209</v>
      </c>
      <c r="D34" s="84" t="s">
        <v>210</v>
      </c>
      <c r="E34" s="84" t="s">
        <v>211</v>
      </c>
      <c r="F34" s="84" t="s">
        <v>212</v>
      </c>
      <c r="G34" s="85" t="s">
        <v>72</v>
      </c>
      <c r="H34" s="95" t="s">
        <v>79</v>
      </c>
      <c r="I34" s="96">
        <v>45758.0</v>
      </c>
      <c r="J34" s="95"/>
      <c r="K34" s="97">
        <v>3.0</v>
      </c>
      <c r="L34" s="91">
        <v>3.0</v>
      </c>
      <c r="M34" s="91">
        <v>4.0</v>
      </c>
      <c r="N34" s="91">
        <v>3.0</v>
      </c>
      <c r="O34" s="91">
        <v>1.0</v>
      </c>
      <c r="P34" s="91">
        <v>2.0</v>
      </c>
      <c r="Q34" s="91">
        <v>1.0</v>
      </c>
      <c r="R34" s="91">
        <v>3.0</v>
      </c>
      <c r="S34" s="89">
        <f t="shared" si="1"/>
        <v>20</v>
      </c>
      <c r="T34" s="90">
        <f t="shared" si="2"/>
        <v>0.5</v>
      </c>
      <c r="U34" s="89" t="str">
        <f>IF(H34="Rendida ",IF('Resultados Individuales'!T34&lt;49.5%,"Por Mejorar",IF('Resultados Individuales'!T34&lt;64.5%,"Base",IF('Resultados Individuales'!T34&lt;84.5%,"Satisfactorio","Óptimo"))),"No rendida o no válida")</f>
        <v>Base</v>
      </c>
      <c r="V34" s="1" t="s">
        <v>213</v>
      </c>
    </row>
    <row r="35" ht="15.75" customHeight="1">
      <c r="A35" s="82">
        <v>2.0881046E7</v>
      </c>
      <c r="B35" s="83">
        <v>4.0</v>
      </c>
      <c r="C35" s="83" t="s">
        <v>214</v>
      </c>
      <c r="D35" s="84" t="s">
        <v>215</v>
      </c>
      <c r="E35" s="84" t="s">
        <v>216</v>
      </c>
      <c r="F35" s="84" t="s">
        <v>217</v>
      </c>
      <c r="G35" s="85" t="s">
        <v>72</v>
      </c>
      <c r="H35" s="95" t="s">
        <v>79</v>
      </c>
      <c r="I35" s="96">
        <v>45758.0</v>
      </c>
      <c r="J35" s="95"/>
      <c r="K35" s="97">
        <v>4.0</v>
      </c>
      <c r="L35" s="91">
        <v>4.0</v>
      </c>
      <c r="M35" s="91">
        <v>4.0</v>
      </c>
      <c r="N35" s="91">
        <v>4.0</v>
      </c>
      <c r="O35" s="91">
        <v>4.0</v>
      </c>
      <c r="P35" s="91">
        <v>4.0</v>
      </c>
      <c r="Q35" s="91">
        <v>4.0</v>
      </c>
      <c r="R35" s="91">
        <v>4.0</v>
      </c>
      <c r="S35" s="89">
        <f t="shared" si="1"/>
        <v>32</v>
      </c>
      <c r="T35" s="90">
        <f t="shared" si="2"/>
        <v>0.8</v>
      </c>
      <c r="U35" s="89" t="str">
        <f>IF(H35="Rendida ",IF('Resultados Individuales'!T35&lt;49.5%,"Por Mejorar",IF('Resultados Individuales'!T35&lt;64.5%,"Base",IF('Resultados Individuales'!T35&lt;84.5%,"Satisfactorio","Óptimo"))),"No rendida o no válida")</f>
        <v>Satisfactorio</v>
      </c>
      <c r="V35" s="1" t="s">
        <v>218</v>
      </c>
    </row>
    <row r="36" ht="15.75" customHeight="1">
      <c r="A36" s="82">
        <v>2.0946748E7</v>
      </c>
      <c r="B36" s="83">
        <v>8.0</v>
      </c>
      <c r="C36" s="83" t="s">
        <v>219</v>
      </c>
      <c r="D36" s="84" t="s">
        <v>220</v>
      </c>
      <c r="E36" s="84" t="s">
        <v>221</v>
      </c>
      <c r="F36" s="84" t="s">
        <v>222</v>
      </c>
      <c r="G36" s="85" t="s">
        <v>72</v>
      </c>
      <c r="H36" s="95" t="s">
        <v>73</v>
      </c>
      <c r="I36" s="109" t="s">
        <v>74</v>
      </c>
      <c r="J36" s="95"/>
      <c r="K36" s="97"/>
      <c r="L36" s="91"/>
      <c r="M36" s="91"/>
      <c r="N36" s="91"/>
      <c r="O36" s="91"/>
      <c r="P36" s="91"/>
      <c r="Q36" s="91"/>
      <c r="R36" s="91"/>
      <c r="S36" s="89">
        <f t="shared" si="1"/>
        <v>0</v>
      </c>
      <c r="T36" s="90">
        <f t="shared" si="2"/>
        <v>0</v>
      </c>
      <c r="U36" s="89" t="str">
        <f>IF(H36="Rendida ",IF('Resultados Individuales'!T36&lt;49.5%,"Por Mejorar",IF('Resultados Individuales'!T36&lt;64.5%,"Base",IF('Resultados Individuales'!T36&lt;84.5%,"Satisfactorio","Óptimo"))),"No rendida o no válida")</f>
        <v>No rendida o no válida</v>
      </c>
      <c r="V36" s="1" t="s">
        <v>223</v>
      </c>
    </row>
    <row r="37" ht="15.75" customHeight="1">
      <c r="A37" s="82">
        <v>2.0965094E7</v>
      </c>
      <c r="B37" s="83">
        <v>0.0</v>
      </c>
      <c r="C37" s="83" t="s">
        <v>224</v>
      </c>
      <c r="D37" s="84" t="s">
        <v>225</v>
      </c>
      <c r="E37" s="84" t="s">
        <v>226</v>
      </c>
      <c r="F37" s="84" t="s">
        <v>227</v>
      </c>
      <c r="G37" s="85" t="s">
        <v>72</v>
      </c>
      <c r="H37" s="95" t="s">
        <v>79</v>
      </c>
      <c r="I37" s="96">
        <v>45758.0</v>
      </c>
      <c r="J37" s="95"/>
      <c r="K37" s="97">
        <v>3.0</v>
      </c>
      <c r="L37" s="91">
        <v>3.0</v>
      </c>
      <c r="M37" s="91">
        <v>4.0</v>
      </c>
      <c r="N37" s="91">
        <v>3.0</v>
      </c>
      <c r="O37" s="91">
        <v>2.0</v>
      </c>
      <c r="P37" s="91">
        <v>2.0</v>
      </c>
      <c r="Q37" s="91">
        <v>2.0</v>
      </c>
      <c r="R37" s="91">
        <v>2.0</v>
      </c>
      <c r="S37" s="89">
        <f t="shared" si="1"/>
        <v>21</v>
      </c>
      <c r="T37" s="90">
        <f t="shared" si="2"/>
        <v>0.525</v>
      </c>
      <c r="U37" s="89" t="str">
        <f>IF(H37="Rendida ",IF('Resultados Individuales'!T37&lt;49.5%,"Por Mejorar",IF('Resultados Individuales'!T37&lt;64.5%,"Base",IF('Resultados Individuales'!T37&lt;84.5%,"Satisfactorio","Óptimo"))),"No rendida o no válida")</f>
        <v>Base</v>
      </c>
      <c r="V37" s="94" t="s">
        <v>228</v>
      </c>
    </row>
    <row r="38" ht="15.75" customHeight="1">
      <c r="A38" s="82">
        <v>2.0972461E7</v>
      </c>
      <c r="B38" s="83">
        <v>8.0</v>
      </c>
      <c r="C38" s="83" t="s">
        <v>229</v>
      </c>
      <c r="D38" s="84" t="s">
        <v>230</v>
      </c>
      <c r="E38" s="84" t="s">
        <v>231</v>
      </c>
      <c r="F38" s="84" t="s">
        <v>232</v>
      </c>
      <c r="G38" s="85" t="s">
        <v>72</v>
      </c>
      <c r="H38" s="95" t="s">
        <v>79</v>
      </c>
      <c r="I38" s="96">
        <v>45758.0</v>
      </c>
      <c r="J38" s="95"/>
      <c r="K38" s="97">
        <v>4.0</v>
      </c>
      <c r="L38" s="91">
        <v>3.0</v>
      </c>
      <c r="M38" s="91">
        <v>3.0</v>
      </c>
      <c r="N38" s="91">
        <v>4.0</v>
      </c>
      <c r="O38" s="91">
        <v>2.0</v>
      </c>
      <c r="P38" s="91">
        <v>2.0</v>
      </c>
      <c r="Q38" s="91">
        <v>2.0</v>
      </c>
      <c r="R38" s="91">
        <v>3.0</v>
      </c>
      <c r="S38" s="89">
        <f t="shared" si="1"/>
        <v>23</v>
      </c>
      <c r="T38" s="90">
        <f t="shared" si="2"/>
        <v>0.575</v>
      </c>
      <c r="U38" s="89" t="str">
        <f>IF(H38="Rendida ",IF('Resultados Individuales'!T38&lt;49.5%,"Por Mejorar",IF('Resultados Individuales'!T38&lt;64.5%,"Base",IF('Resultados Individuales'!T38&lt;84.5%,"Satisfactorio","Óptimo"))),"No rendida o no válida")</f>
        <v>Base</v>
      </c>
      <c r="V38" s="94" t="s">
        <v>233</v>
      </c>
    </row>
    <row r="39" ht="15.75" customHeight="1">
      <c r="A39" s="82">
        <v>2.1003644E7</v>
      </c>
      <c r="B39" s="83" t="s">
        <v>139</v>
      </c>
      <c r="C39" s="83" t="s">
        <v>234</v>
      </c>
      <c r="D39" s="84" t="s">
        <v>221</v>
      </c>
      <c r="E39" s="84" t="s">
        <v>221</v>
      </c>
      <c r="F39" s="84" t="s">
        <v>235</v>
      </c>
      <c r="G39" s="85"/>
      <c r="H39" s="95" t="s">
        <v>109</v>
      </c>
      <c r="I39" s="109" t="s">
        <v>74</v>
      </c>
      <c r="J39" s="95"/>
      <c r="K39" s="97"/>
      <c r="L39" s="91"/>
      <c r="M39" s="91"/>
      <c r="N39" s="91"/>
      <c r="O39" s="91"/>
      <c r="P39" s="91"/>
      <c r="Q39" s="91"/>
      <c r="R39" s="91"/>
      <c r="S39" s="89">
        <f t="shared" si="1"/>
        <v>0</v>
      </c>
      <c r="T39" s="90">
        <f t="shared" si="2"/>
        <v>0</v>
      </c>
      <c r="U39" s="89" t="str">
        <f>IF(H39="Rendida ",IF('Resultados Individuales'!T39&lt;49.5%,"Por Mejorar",IF('Resultados Individuales'!T39&lt;64.5%,"Base",IF('Resultados Individuales'!T39&lt;84.5%,"Satisfactorio","Óptimo"))),"No rendida o no válida")</f>
        <v>No rendida o no válida</v>
      </c>
    </row>
    <row r="40" ht="15.75" customHeight="1">
      <c r="A40" s="82">
        <v>2.1038875E7</v>
      </c>
      <c r="B40" s="83">
        <v>3.0</v>
      </c>
      <c r="C40" s="83" t="s">
        <v>236</v>
      </c>
      <c r="D40" s="84" t="s">
        <v>237</v>
      </c>
      <c r="E40" s="84" t="s">
        <v>238</v>
      </c>
      <c r="F40" s="84" t="s">
        <v>239</v>
      </c>
      <c r="G40" s="85" t="s">
        <v>72</v>
      </c>
      <c r="H40" s="82" t="s">
        <v>79</v>
      </c>
      <c r="I40" s="111">
        <v>45758.0</v>
      </c>
      <c r="J40" s="82"/>
      <c r="K40" s="112">
        <v>4.0</v>
      </c>
      <c r="L40" s="82">
        <v>4.0</v>
      </c>
      <c r="M40" s="82">
        <v>4.0</v>
      </c>
      <c r="N40" s="82">
        <v>4.0</v>
      </c>
      <c r="O40" s="82">
        <v>3.0</v>
      </c>
      <c r="P40" s="82">
        <v>3.0</v>
      </c>
      <c r="Q40" s="82">
        <v>2.0</v>
      </c>
      <c r="R40" s="82">
        <v>3.0</v>
      </c>
      <c r="S40" s="89">
        <f t="shared" si="1"/>
        <v>27</v>
      </c>
      <c r="T40" s="90">
        <f t="shared" si="2"/>
        <v>0.675</v>
      </c>
      <c r="U40" s="89" t="str">
        <f>IF(H40="Rendida ",IF('Resultados Individuales'!T40&lt;49.5%,"Por Mejorar",IF('Resultados Individuales'!T40&lt;64.5%,"Base",IF('Resultados Individuales'!T40&lt;84.5%,"Satisfactorio","Óptimo"))),"No rendida o no válida")</f>
        <v>Satisfactorio</v>
      </c>
      <c r="V40" s="94" t="s">
        <v>240</v>
      </c>
    </row>
    <row r="41" ht="15.75" customHeight="1">
      <c r="A41" s="98">
        <v>2.1051415E7</v>
      </c>
      <c r="B41" s="99">
        <v>5.0</v>
      </c>
      <c r="C41" s="83" t="s">
        <v>241</v>
      </c>
      <c r="D41" s="100" t="s">
        <v>69</v>
      </c>
      <c r="E41" s="100" t="s">
        <v>242</v>
      </c>
      <c r="F41" s="100" t="s">
        <v>243</v>
      </c>
      <c r="G41" s="101" t="s">
        <v>95</v>
      </c>
      <c r="H41" s="102"/>
      <c r="I41" s="110"/>
      <c r="J41" s="102"/>
      <c r="K41" s="104"/>
      <c r="L41" s="105"/>
      <c r="M41" s="105"/>
      <c r="N41" s="105"/>
      <c r="O41" s="105"/>
      <c r="P41" s="105"/>
      <c r="Q41" s="105"/>
      <c r="R41" s="105"/>
      <c r="S41" s="106">
        <f t="shared" si="1"/>
        <v>0</v>
      </c>
      <c r="T41" s="107">
        <f t="shared" si="2"/>
        <v>0</v>
      </c>
      <c r="U41" s="106" t="str">
        <f>IF(H41="Rendida ",IF('Resultados Individuales'!T41&lt;49.5%,"Por Mejorar",IF('Resultados Individuales'!T41&lt;64.5%,"Base",IF('Resultados Individuales'!T41&lt;84.5%,"Satisfactorio","Óptimo"))),"No rendida o no válida")</f>
        <v>No rendida o no válida</v>
      </c>
      <c r="V41" s="108"/>
      <c r="W41" s="108"/>
      <c r="X41" s="108"/>
      <c r="Y41" s="108"/>
      <c r="Z41" s="108"/>
    </row>
    <row r="42" ht="15.75" customHeight="1">
      <c r="A42" s="82">
        <v>2.1062201E7</v>
      </c>
      <c r="B42" s="83">
        <v>2.0</v>
      </c>
      <c r="C42" s="83" t="s">
        <v>244</v>
      </c>
      <c r="D42" s="84" t="s">
        <v>245</v>
      </c>
      <c r="E42" s="84" t="s">
        <v>246</v>
      </c>
      <c r="F42" s="84" t="s">
        <v>247</v>
      </c>
      <c r="G42" s="85" t="s">
        <v>72</v>
      </c>
      <c r="H42" s="95" t="s">
        <v>79</v>
      </c>
      <c r="I42" s="96">
        <v>45758.0</v>
      </c>
      <c r="J42" s="95"/>
      <c r="K42" s="97">
        <v>4.0</v>
      </c>
      <c r="L42" s="91">
        <v>4.0</v>
      </c>
      <c r="M42" s="91">
        <v>4.0</v>
      </c>
      <c r="N42" s="91">
        <v>4.0</v>
      </c>
      <c r="O42" s="91">
        <v>3.0</v>
      </c>
      <c r="P42" s="91">
        <v>3.0</v>
      </c>
      <c r="Q42" s="91">
        <v>3.0</v>
      </c>
      <c r="R42" s="91">
        <v>3.0</v>
      </c>
      <c r="S42" s="89">
        <f t="shared" si="1"/>
        <v>28</v>
      </c>
      <c r="T42" s="90">
        <f t="shared" si="2"/>
        <v>0.7</v>
      </c>
      <c r="U42" s="89" t="str">
        <f>IF(H42="Rendida ",IF('Resultados Individuales'!T42&lt;49.5%,"Por Mejorar",IF('Resultados Individuales'!T42&lt;64.5%,"Base",IF('Resultados Individuales'!T42&lt;84.5%,"Satisfactorio","Óptimo"))),"No rendida o no válida")</f>
        <v>Satisfactorio</v>
      </c>
      <c r="V42" s="94" t="s">
        <v>248</v>
      </c>
    </row>
    <row r="43" ht="15.75" customHeight="1">
      <c r="A43" s="82">
        <v>2.1073491E7</v>
      </c>
      <c r="B43" s="83">
        <v>0.0</v>
      </c>
      <c r="C43" s="83" t="s">
        <v>249</v>
      </c>
      <c r="D43" s="84" t="s">
        <v>250</v>
      </c>
      <c r="E43" s="84" t="s">
        <v>251</v>
      </c>
      <c r="F43" s="84" t="s">
        <v>252</v>
      </c>
      <c r="G43" s="85" t="s">
        <v>72</v>
      </c>
      <c r="H43" s="95" t="s">
        <v>73</v>
      </c>
      <c r="I43" s="109" t="s">
        <v>74</v>
      </c>
      <c r="J43" s="95" t="s">
        <v>253</v>
      </c>
      <c r="K43" s="97"/>
      <c r="L43" s="91"/>
      <c r="M43" s="91"/>
      <c r="N43" s="91"/>
      <c r="O43" s="91"/>
      <c r="P43" s="91"/>
      <c r="Q43" s="91"/>
      <c r="R43" s="91"/>
      <c r="S43" s="89">
        <f t="shared" si="1"/>
        <v>0</v>
      </c>
      <c r="T43" s="90">
        <f t="shared" si="2"/>
        <v>0</v>
      </c>
      <c r="U43" s="89" t="str">
        <f>IF(H43="Rendida ",IF('Resultados Individuales'!T43&lt;49.5%,"Por Mejorar",IF('Resultados Individuales'!T43&lt;64.5%,"Base",IF('Resultados Individuales'!T43&lt;84.5%,"Satisfactorio","Óptimo"))),"No rendida o no válida")</f>
        <v>No rendida o no válida</v>
      </c>
    </row>
    <row r="44" ht="15.75" customHeight="1">
      <c r="A44" s="82">
        <v>2.1081948E7</v>
      </c>
      <c r="B44" s="83">
        <v>7.0</v>
      </c>
      <c r="C44" s="83" t="s">
        <v>254</v>
      </c>
      <c r="D44" s="84" t="s">
        <v>255</v>
      </c>
      <c r="E44" s="84" t="s">
        <v>256</v>
      </c>
      <c r="F44" s="84" t="s">
        <v>257</v>
      </c>
      <c r="G44" s="85" t="s">
        <v>72</v>
      </c>
      <c r="H44" s="95" t="s">
        <v>79</v>
      </c>
      <c r="I44" s="96">
        <v>45758.0</v>
      </c>
      <c r="J44" s="95"/>
      <c r="K44" s="97">
        <v>3.0</v>
      </c>
      <c r="L44" s="91">
        <v>3.0</v>
      </c>
      <c r="M44" s="91">
        <v>4.0</v>
      </c>
      <c r="N44" s="91">
        <v>3.0</v>
      </c>
      <c r="O44" s="91">
        <v>2.0</v>
      </c>
      <c r="P44" s="91">
        <v>2.0</v>
      </c>
      <c r="Q44" s="91">
        <v>2.0</v>
      </c>
      <c r="R44" s="91">
        <v>2.0</v>
      </c>
      <c r="S44" s="89">
        <f t="shared" si="1"/>
        <v>21</v>
      </c>
      <c r="T44" s="90">
        <f t="shared" si="2"/>
        <v>0.525</v>
      </c>
      <c r="U44" s="89" t="str">
        <f>IF(H44="Rendida ",IF('Resultados Individuales'!T44&lt;49.5%,"Por Mejorar",IF('Resultados Individuales'!T44&lt;64.5%,"Base",IF('Resultados Individuales'!T44&lt;84.5%,"Satisfactorio","Óptimo"))),"No rendida o no válida")</f>
        <v>Base</v>
      </c>
      <c r="V44" s="94" t="s">
        <v>258</v>
      </c>
    </row>
    <row r="45" ht="15.75" customHeight="1">
      <c r="A45" s="82">
        <v>2.1082081E7</v>
      </c>
      <c r="B45" s="83">
        <v>7.0</v>
      </c>
      <c r="C45" s="83" t="s">
        <v>259</v>
      </c>
      <c r="D45" s="84" t="s">
        <v>260</v>
      </c>
      <c r="E45" s="84" t="s">
        <v>261</v>
      </c>
      <c r="F45" s="84" t="s">
        <v>262</v>
      </c>
      <c r="G45" s="85" t="s">
        <v>72</v>
      </c>
      <c r="H45" s="95" t="s">
        <v>79</v>
      </c>
      <c r="I45" s="96">
        <v>45758.0</v>
      </c>
      <c r="J45" s="95"/>
      <c r="K45" s="97">
        <v>2.0</v>
      </c>
      <c r="L45" s="91">
        <v>3.0</v>
      </c>
      <c r="M45" s="91">
        <v>2.0</v>
      </c>
      <c r="N45" s="91">
        <v>2.0</v>
      </c>
      <c r="O45" s="91">
        <v>2.0</v>
      </c>
      <c r="P45" s="91">
        <v>2.0</v>
      </c>
      <c r="Q45" s="91">
        <v>2.0</v>
      </c>
      <c r="R45" s="91">
        <v>1.0</v>
      </c>
      <c r="S45" s="89">
        <f t="shared" si="1"/>
        <v>16</v>
      </c>
      <c r="T45" s="90">
        <f t="shared" si="2"/>
        <v>0.4</v>
      </c>
      <c r="U45" s="89" t="str">
        <f>IF(H45="Rendida ",IF('Resultados Individuales'!T45&lt;49.5%,"Por Mejorar",IF('Resultados Individuales'!T45&lt;64.5%,"Base",IF('Resultados Individuales'!T45&lt;84.5%,"Satisfactorio","Óptimo"))),"No rendida o no válida")</f>
        <v>Por Mejorar</v>
      </c>
      <c r="V45" s="94" t="s">
        <v>263</v>
      </c>
    </row>
    <row r="46" ht="15.75" customHeight="1">
      <c r="A46" s="82">
        <v>2.1122157E7</v>
      </c>
      <c r="B46" s="83">
        <v>7.0</v>
      </c>
      <c r="C46" s="83" t="s">
        <v>264</v>
      </c>
      <c r="D46" s="84" t="s">
        <v>265</v>
      </c>
      <c r="E46" s="84" t="s">
        <v>266</v>
      </c>
      <c r="F46" s="84" t="s">
        <v>267</v>
      </c>
      <c r="G46" s="85" t="s">
        <v>72</v>
      </c>
      <c r="H46" s="95" t="s">
        <v>79</v>
      </c>
      <c r="I46" s="96">
        <v>45758.0</v>
      </c>
      <c r="J46" s="95"/>
      <c r="K46" s="97">
        <v>2.0</v>
      </c>
      <c r="L46" s="91">
        <v>2.0</v>
      </c>
      <c r="M46" s="91">
        <v>3.0</v>
      </c>
      <c r="N46" s="91">
        <v>2.0</v>
      </c>
      <c r="O46" s="91">
        <v>3.0</v>
      </c>
      <c r="P46" s="91">
        <v>2.0</v>
      </c>
      <c r="Q46" s="91">
        <v>3.0</v>
      </c>
      <c r="R46" s="91">
        <v>2.0</v>
      </c>
      <c r="S46" s="89">
        <f t="shared" si="1"/>
        <v>19</v>
      </c>
      <c r="T46" s="90">
        <f t="shared" si="2"/>
        <v>0.475</v>
      </c>
      <c r="U46" s="89" t="str">
        <f>IF(H46="Rendida ",IF('Resultados Individuales'!T46&lt;49.5%,"Por Mejorar",IF('Resultados Individuales'!T46&lt;64.5%,"Base",IF('Resultados Individuales'!T46&lt;84.5%,"Satisfactorio","Óptimo"))),"No rendida o no válida")</f>
        <v>Por Mejorar</v>
      </c>
    </row>
    <row r="47" ht="15.75" customHeight="1">
      <c r="A47" s="82">
        <v>2.112459E7</v>
      </c>
      <c r="B47" s="83">
        <v>5.0</v>
      </c>
      <c r="C47" s="83" t="s">
        <v>268</v>
      </c>
      <c r="D47" s="84" t="s">
        <v>265</v>
      </c>
      <c r="E47" s="84" t="s">
        <v>269</v>
      </c>
      <c r="F47" s="84" t="s">
        <v>270</v>
      </c>
      <c r="G47" s="85" t="s">
        <v>72</v>
      </c>
      <c r="H47" s="95" t="s">
        <v>79</v>
      </c>
      <c r="I47" s="96">
        <v>45758.0</v>
      </c>
      <c r="J47" s="95"/>
      <c r="K47" s="97">
        <v>2.0</v>
      </c>
      <c r="L47" s="91">
        <v>3.0</v>
      </c>
      <c r="M47" s="91">
        <v>3.0</v>
      </c>
      <c r="N47" s="91">
        <v>3.0</v>
      </c>
      <c r="O47" s="91">
        <v>2.0</v>
      </c>
      <c r="P47" s="91">
        <v>2.0</v>
      </c>
      <c r="Q47" s="91">
        <v>1.0</v>
      </c>
      <c r="R47" s="91">
        <v>3.0</v>
      </c>
      <c r="S47" s="89">
        <f t="shared" si="1"/>
        <v>19</v>
      </c>
      <c r="T47" s="90">
        <f t="shared" si="2"/>
        <v>0.475</v>
      </c>
      <c r="U47" s="89" t="str">
        <f>IF(H47="Rendida ",IF('Resultados Individuales'!T47&lt;49.5%,"Por Mejorar",IF('Resultados Individuales'!T47&lt;64.5%,"Base",IF('Resultados Individuales'!T47&lt;84.5%,"Satisfactorio","Óptimo"))),"No rendida o no válida")</f>
        <v>Por Mejorar</v>
      </c>
      <c r="V47" s="94" t="s">
        <v>271</v>
      </c>
    </row>
    <row r="48" ht="15.75" customHeight="1">
      <c r="A48" s="82">
        <v>2.1129198E7</v>
      </c>
      <c r="B48" s="83">
        <v>2.0</v>
      </c>
      <c r="C48" s="83" t="s">
        <v>272</v>
      </c>
      <c r="D48" s="84" t="s">
        <v>273</v>
      </c>
      <c r="E48" s="84" t="s">
        <v>274</v>
      </c>
      <c r="F48" s="84" t="s">
        <v>275</v>
      </c>
      <c r="G48" s="85" t="s">
        <v>72</v>
      </c>
      <c r="H48" s="82" t="s">
        <v>79</v>
      </c>
      <c r="I48" s="125">
        <v>45842.0</v>
      </c>
      <c r="J48" s="82"/>
      <c r="K48" s="112">
        <v>2.0</v>
      </c>
      <c r="L48" s="82">
        <v>2.0</v>
      </c>
      <c r="M48" s="82">
        <v>3.0</v>
      </c>
      <c r="N48" s="82">
        <v>2.0</v>
      </c>
      <c r="O48" s="82">
        <v>3.0</v>
      </c>
      <c r="P48" s="82">
        <v>3.0</v>
      </c>
      <c r="Q48" s="82">
        <v>3.0</v>
      </c>
      <c r="R48" s="82">
        <v>4.0</v>
      </c>
      <c r="S48" s="89">
        <f t="shared" si="1"/>
        <v>22</v>
      </c>
      <c r="T48" s="90">
        <f t="shared" si="2"/>
        <v>0.55</v>
      </c>
      <c r="U48" s="89" t="str">
        <f>IF(H48="Rendida ",IF('Resultados Individuales'!T48&lt;49.5%,"Por Mejorar",IF('Resultados Individuales'!T48&lt;64.5%,"Base",IF('Resultados Individuales'!T48&lt;84.5%,"Satisfactorio","Óptimo"))),"No rendida o no válida")</f>
        <v>Base</v>
      </c>
      <c r="V48" s="94" t="s">
        <v>276</v>
      </c>
    </row>
    <row r="49" ht="15.75" customHeight="1">
      <c r="A49" s="82">
        <v>2.113247E7</v>
      </c>
      <c r="B49" s="83">
        <v>8.0</v>
      </c>
      <c r="C49" s="83" t="s">
        <v>277</v>
      </c>
      <c r="D49" s="84" t="s">
        <v>278</v>
      </c>
      <c r="E49" s="84" t="s">
        <v>279</v>
      </c>
      <c r="F49" s="84" t="s">
        <v>280</v>
      </c>
      <c r="G49" s="85" t="s">
        <v>72</v>
      </c>
      <c r="H49" s="95" t="s">
        <v>79</v>
      </c>
      <c r="I49" s="96">
        <v>45758.0</v>
      </c>
      <c r="J49" s="95"/>
      <c r="K49" s="97">
        <v>4.0</v>
      </c>
      <c r="L49" s="91">
        <v>4.0</v>
      </c>
      <c r="M49" s="91">
        <v>4.0</v>
      </c>
      <c r="N49" s="91">
        <v>4.0</v>
      </c>
      <c r="O49" s="91">
        <v>4.0</v>
      </c>
      <c r="P49" s="91">
        <v>4.0</v>
      </c>
      <c r="Q49" s="91">
        <v>4.0</v>
      </c>
      <c r="R49" s="91">
        <v>4.0</v>
      </c>
      <c r="S49" s="89">
        <f t="shared" si="1"/>
        <v>32</v>
      </c>
      <c r="T49" s="90">
        <f t="shared" si="2"/>
        <v>0.8</v>
      </c>
      <c r="U49" s="89" t="str">
        <f>IF(H49="Rendida ",IF('Resultados Individuales'!T49&lt;49.5%,"Por Mejorar",IF('Resultados Individuales'!T49&lt;64.5%,"Base",IF('Resultados Individuales'!T49&lt;84.5%,"Satisfactorio","Óptimo"))),"No rendida o no válida")</f>
        <v>Satisfactorio</v>
      </c>
      <c r="V49" s="94" t="s">
        <v>281</v>
      </c>
    </row>
    <row r="50" ht="15.75" customHeight="1">
      <c r="A50" s="82">
        <v>2.1138217E7</v>
      </c>
      <c r="B50" s="83">
        <v>1.0</v>
      </c>
      <c r="C50" s="83" t="s">
        <v>282</v>
      </c>
      <c r="D50" s="84" t="s">
        <v>283</v>
      </c>
      <c r="E50" s="84" t="s">
        <v>202</v>
      </c>
      <c r="F50" s="84" t="s">
        <v>284</v>
      </c>
      <c r="G50" s="85" t="s">
        <v>72</v>
      </c>
      <c r="H50" s="95" t="s">
        <v>79</v>
      </c>
      <c r="I50" s="96">
        <v>45758.0</v>
      </c>
      <c r="J50" s="95"/>
      <c r="K50" s="97">
        <v>4.0</v>
      </c>
      <c r="L50" s="91">
        <v>1.0</v>
      </c>
      <c r="M50" s="91">
        <v>1.0</v>
      </c>
      <c r="N50" s="91">
        <v>2.0</v>
      </c>
      <c r="O50" s="91">
        <v>2.0</v>
      </c>
      <c r="P50" s="91">
        <v>2.0</v>
      </c>
      <c r="Q50" s="91">
        <v>2.0</v>
      </c>
      <c r="R50" s="91">
        <v>3.0</v>
      </c>
      <c r="S50" s="89">
        <f t="shared" si="1"/>
        <v>17</v>
      </c>
      <c r="T50" s="90">
        <f t="shared" si="2"/>
        <v>0.425</v>
      </c>
      <c r="U50" s="89" t="str">
        <f>IF(H50="Rendida ",IF('Resultados Individuales'!T50&lt;49.5%,"Por Mejorar",IF('Resultados Individuales'!T50&lt;64.5%,"Base",IF('Resultados Individuales'!T50&lt;84.5%,"Satisfactorio","Óptimo"))),"No rendida o no válida")</f>
        <v>Por Mejorar</v>
      </c>
      <c r="V50" s="94" t="s">
        <v>285</v>
      </c>
    </row>
    <row r="51" ht="15.75" customHeight="1">
      <c r="A51" s="82">
        <v>2.1142414E7</v>
      </c>
      <c r="B51" s="83">
        <v>1.0</v>
      </c>
      <c r="C51" s="83" t="s">
        <v>286</v>
      </c>
      <c r="D51" s="84" t="s">
        <v>220</v>
      </c>
      <c r="E51" s="84" t="s">
        <v>287</v>
      </c>
      <c r="F51" s="84" t="s">
        <v>288</v>
      </c>
      <c r="G51" s="85" t="s">
        <v>72</v>
      </c>
      <c r="H51" s="95" t="s">
        <v>79</v>
      </c>
      <c r="I51" s="96">
        <v>45758.0</v>
      </c>
      <c r="J51" s="95"/>
      <c r="K51" s="97">
        <v>4.0</v>
      </c>
      <c r="L51" s="91">
        <v>4.0</v>
      </c>
      <c r="M51" s="91">
        <v>3.0</v>
      </c>
      <c r="N51" s="91">
        <v>3.0</v>
      </c>
      <c r="O51" s="91">
        <v>2.0</v>
      </c>
      <c r="P51" s="91">
        <v>2.0</v>
      </c>
      <c r="Q51" s="91">
        <v>1.0</v>
      </c>
      <c r="R51" s="91">
        <v>3.0</v>
      </c>
      <c r="S51" s="89">
        <f t="shared" si="1"/>
        <v>22</v>
      </c>
      <c r="T51" s="90">
        <f t="shared" si="2"/>
        <v>0.55</v>
      </c>
      <c r="U51" s="89" t="str">
        <f>IF(H51="Rendida ",IF('Resultados Individuales'!T51&lt;49.5%,"Por Mejorar",IF('Resultados Individuales'!T51&lt;64.5%,"Base",IF('Resultados Individuales'!T51&lt;84.5%,"Satisfactorio","Óptimo"))),"No rendida o no válida")</f>
        <v>Base</v>
      </c>
      <c r="V51" s="94" t="s">
        <v>289</v>
      </c>
    </row>
    <row r="52" ht="15.75" customHeight="1">
      <c r="A52" s="82">
        <v>2.1159801E7</v>
      </c>
      <c r="B52" s="83">
        <v>8.0</v>
      </c>
      <c r="C52" s="83" t="s">
        <v>290</v>
      </c>
      <c r="D52" s="84" t="s">
        <v>291</v>
      </c>
      <c r="E52" s="84" t="s">
        <v>292</v>
      </c>
      <c r="F52" s="84" t="s">
        <v>293</v>
      </c>
      <c r="G52" s="85" t="s">
        <v>72</v>
      </c>
      <c r="H52" s="95" t="s">
        <v>79</v>
      </c>
      <c r="I52" s="96">
        <v>45758.0</v>
      </c>
      <c r="J52" s="95"/>
      <c r="K52" s="97">
        <v>3.0</v>
      </c>
      <c r="L52" s="91">
        <v>3.0</v>
      </c>
      <c r="M52" s="91">
        <v>2.0</v>
      </c>
      <c r="N52" s="91">
        <v>3.0</v>
      </c>
      <c r="O52" s="91">
        <v>2.0</v>
      </c>
      <c r="P52" s="91">
        <v>2.0</v>
      </c>
      <c r="Q52" s="91">
        <v>2.0</v>
      </c>
      <c r="R52" s="91">
        <v>3.0</v>
      </c>
      <c r="S52" s="89">
        <f t="shared" si="1"/>
        <v>20</v>
      </c>
      <c r="T52" s="90">
        <f t="shared" si="2"/>
        <v>0.5</v>
      </c>
      <c r="U52" s="89" t="str">
        <f>IF(H52="Rendida ",IF('Resultados Individuales'!T52&lt;49.5%,"Por Mejorar",IF('Resultados Individuales'!T52&lt;64.5%,"Base",IF('Resultados Individuales'!T52&lt;84.5%,"Satisfactorio","Óptimo"))),"No rendida o no válida")</f>
        <v>Base</v>
      </c>
      <c r="V52" s="94" t="s">
        <v>294</v>
      </c>
    </row>
    <row r="53" ht="15.75" customHeight="1">
      <c r="A53" s="82">
        <v>2.1171535E7</v>
      </c>
      <c r="B53" s="83">
        <v>9.0</v>
      </c>
      <c r="C53" s="83" t="s">
        <v>295</v>
      </c>
      <c r="D53" s="84" t="s">
        <v>126</v>
      </c>
      <c r="E53" s="84" t="s">
        <v>296</v>
      </c>
      <c r="F53" s="84" t="s">
        <v>297</v>
      </c>
      <c r="G53" s="85" t="s">
        <v>72</v>
      </c>
      <c r="H53" s="95" t="s">
        <v>79</v>
      </c>
      <c r="I53" s="96">
        <v>45758.0</v>
      </c>
      <c r="J53" s="95"/>
      <c r="K53" s="97">
        <v>2.0</v>
      </c>
      <c r="L53" s="91">
        <v>4.0</v>
      </c>
      <c r="M53" s="91">
        <v>3.0</v>
      </c>
      <c r="N53" s="91">
        <v>3.0</v>
      </c>
      <c r="O53" s="91">
        <v>3.0</v>
      </c>
      <c r="P53" s="91">
        <v>3.0</v>
      </c>
      <c r="Q53" s="91">
        <v>3.0</v>
      </c>
      <c r="R53" s="91">
        <v>4.0</v>
      </c>
      <c r="S53" s="89">
        <f t="shared" si="1"/>
        <v>25</v>
      </c>
      <c r="T53" s="90">
        <f t="shared" si="2"/>
        <v>0.625</v>
      </c>
      <c r="U53" s="89" t="str">
        <f>IF(H53="Rendida ",IF('Resultados Individuales'!T53&lt;49.5%,"Por Mejorar",IF('Resultados Individuales'!T53&lt;64.5%,"Base",IF('Resultados Individuales'!T53&lt;84.5%,"Satisfactorio","Óptimo"))),"No rendida o no válida")</f>
        <v>Base</v>
      </c>
      <c r="V53" s="94" t="s">
        <v>298</v>
      </c>
    </row>
    <row r="54" ht="15.75" customHeight="1">
      <c r="A54" s="82">
        <v>2.1177034E7</v>
      </c>
      <c r="B54" s="83">
        <v>1.0</v>
      </c>
      <c r="C54" s="83" t="s">
        <v>299</v>
      </c>
      <c r="D54" s="84" t="s">
        <v>300</v>
      </c>
      <c r="E54" s="84" t="s">
        <v>301</v>
      </c>
      <c r="F54" s="84" t="s">
        <v>302</v>
      </c>
      <c r="G54" s="85" t="s">
        <v>72</v>
      </c>
      <c r="H54" s="95" t="s">
        <v>73</v>
      </c>
      <c r="I54" s="109" t="s">
        <v>74</v>
      </c>
      <c r="J54" s="95"/>
      <c r="K54" s="97"/>
      <c r="L54" s="91"/>
      <c r="M54" s="91"/>
      <c r="N54" s="91"/>
      <c r="O54" s="91"/>
      <c r="P54" s="91"/>
      <c r="Q54" s="91"/>
      <c r="R54" s="91"/>
      <c r="S54" s="89">
        <f t="shared" si="1"/>
        <v>0</v>
      </c>
      <c r="T54" s="90">
        <f t="shared" si="2"/>
        <v>0</v>
      </c>
      <c r="U54" s="89" t="str">
        <f>IF(H54="Rendida ",IF('Resultados Individuales'!T54&lt;49.5%,"Por Mejorar",IF('Resultados Individuales'!T54&lt;64.5%,"Base",IF('Resultados Individuales'!T54&lt;84.5%,"Satisfactorio","Óptimo"))),"No rendida o no válida")</f>
        <v>No rendida o no válida</v>
      </c>
    </row>
    <row r="55" ht="15.75" customHeight="1">
      <c r="A55" s="98">
        <v>2.1179455E7</v>
      </c>
      <c r="B55" s="99">
        <v>0.0</v>
      </c>
      <c r="C55" s="83" t="s">
        <v>303</v>
      </c>
      <c r="D55" s="100" t="s">
        <v>304</v>
      </c>
      <c r="E55" s="100" t="s">
        <v>305</v>
      </c>
      <c r="F55" s="100" t="s">
        <v>306</v>
      </c>
      <c r="G55" s="113"/>
      <c r="H55" s="98"/>
      <c r="I55" s="114"/>
      <c r="J55" s="98"/>
      <c r="K55" s="115"/>
      <c r="L55" s="98"/>
      <c r="M55" s="98"/>
      <c r="N55" s="98"/>
      <c r="O55" s="98"/>
      <c r="P55" s="98"/>
      <c r="Q55" s="98"/>
      <c r="R55" s="98"/>
      <c r="S55" s="106">
        <f t="shared" si="1"/>
        <v>0</v>
      </c>
      <c r="T55" s="107">
        <f t="shared" si="2"/>
        <v>0</v>
      </c>
      <c r="U55" s="106" t="str">
        <f>IF(H55="Rendida ",IF('Resultados Individuales'!T55&lt;49.5%,"Por Mejorar",IF('Resultados Individuales'!T55&lt;64.5%,"Base",IF('Resultados Individuales'!T55&lt;84.5%,"Satisfactorio","Óptimo"))),"No rendida o no válida")</f>
        <v>No rendida o no válida</v>
      </c>
      <c r="V55" s="108"/>
      <c r="W55" s="108"/>
      <c r="X55" s="108"/>
      <c r="Y55" s="108"/>
      <c r="Z55" s="108"/>
    </row>
    <row r="56" ht="15.75" customHeight="1">
      <c r="A56" s="82">
        <v>2.1197234E7</v>
      </c>
      <c r="B56" s="83">
        <v>3.0</v>
      </c>
      <c r="C56" s="83" t="s">
        <v>307</v>
      </c>
      <c r="D56" s="84" t="s">
        <v>308</v>
      </c>
      <c r="E56" s="84" t="s">
        <v>309</v>
      </c>
      <c r="F56" s="84" t="s">
        <v>310</v>
      </c>
      <c r="G56" s="85" t="s">
        <v>72</v>
      </c>
      <c r="H56" s="82" t="s">
        <v>79</v>
      </c>
      <c r="I56" s="111">
        <v>45758.0</v>
      </c>
      <c r="J56" s="82"/>
      <c r="K56" s="112">
        <v>2.0</v>
      </c>
      <c r="L56" s="82">
        <v>3.0</v>
      </c>
      <c r="M56" s="82">
        <v>3.0</v>
      </c>
      <c r="N56" s="82">
        <v>3.0</v>
      </c>
      <c r="O56" s="82">
        <v>2.0</v>
      </c>
      <c r="P56" s="82">
        <v>2.0</v>
      </c>
      <c r="Q56" s="82">
        <v>1.0</v>
      </c>
      <c r="R56" s="82">
        <v>3.0</v>
      </c>
      <c r="S56" s="89">
        <f t="shared" si="1"/>
        <v>19</v>
      </c>
      <c r="T56" s="90">
        <f t="shared" si="2"/>
        <v>0.475</v>
      </c>
      <c r="U56" s="89" t="str">
        <f>IF(H56="Rendida ",IF('Resultados Individuales'!T56&lt;49.5%,"Por Mejorar",IF('Resultados Individuales'!T56&lt;64.5%,"Base",IF('Resultados Individuales'!T56&lt;84.5%,"Satisfactorio","Óptimo"))),"No rendida o no válida")</f>
        <v>Por Mejorar</v>
      </c>
      <c r="V56" s="94" t="s">
        <v>311</v>
      </c>
    </row>
    <row r="57" ht="15.75" customHeight="1">
      <c r="A57" s="98">
        <v>2.1228748E7</v>
      </c>
      <c r="B57" s="99">
        <v>2.0</v>
      </c>
      <c r="C57" s="83" t="s">
        <v>312</v>
      </c>
      <c r="D57" s="100" t="s">
        <v>313</v>
      </c>
      <c r="E57" s="100" t="s">
        <v>314</v>
      </c>
      <c r="F57" s="100" t="s">
        <v>315</v>
      </c>
      <c r="G57" s="101"/>
      <c r="H57" s="102"/>
      <c r="I57" s="110"/>
      <c r="J57" s="102"/>
      <c r="K57" s="104"/>
      <c r="L57" s="105"/>
      <c r="M57" s="105"/>
      <c r="N57" s="105"/>
      <c r="O57" s="105"/>
      <c r="P57" s="105"/>
      <c r="Q57" s="105"/>
      <c r="R57" s="105"/>
      <c r="S57" s="106">
        <f t="shared" si="1"/>
        <v>0</v>
      </c>
      <c r="T57" s="107">
        <f t="shared" si="2"/>
        <v>0</v>
      </c>
      <c r="U57" s="106" t="str">
        <f>IF(H57="Rendida ",IF('Resultados Individuales'!T57&lt;49.5%,"Por Mejorar",IF('Resultados Individuales'!T57&lt;64.5%,"Base",IF('Resultados Individuales'!T57&lt;84.5%,"Satisfactorio","Óptimo"))),"No rendida o no válida")</f>
        <v>No rendida o no válida</v>
      </c>
      <c r="V57" s="108"/>
      <c r="W57" s="108"/>
      <c r="X57" s="108"/>
      <c r="Y57" s="108"/>
      <c r="Z57" s="108"/>
    </row>
    <row r="58" ht="15.75" customHeight="1">
      <c r="A58" s="98">
        <v>2.1229788E7</v>
      </c>
      <c r="B58" s="99">
        <v>7.0</v>
      </c>
      <c r="C58" s="83" t="s">
        <v>316</v>
      </c>
      <c r="D58" s="100" t="s">
        <v>317</v>
      </c>
      <c r="E58" s="100" t="s">
        <v>130</v>
      </c>
      <c r="F58" s="100" t="s">
        <v>318</v>
      </c>
      <c r="G58" s="101"/>
      <c r="H58" s="102"/>
      <c r="I58" s="110"/>
      <c r="J58" s="102"/>
      <c r="K58" s="104"/>
      <c r="L58" s="105"/>
      <c r="M58" s="105"/>
      <c r="N58" s="105"/>
      <c r="O58" s="105"/>
      <c r="P58" s="105"/>
      <c r="Q58" s="105"/>
      <c r="R58" s="105"/>
      <c r="S58" s="106">
        <f t="shared" si="1"/>
        <v>0</v>
      </c>
      <c r="T58" s="107">
        <f t="shared" si="2"/>
        <v>0</v>
      </c>
      <c r="U58" s="106" t="str">
        <f>IF(H58="Rendida ",IF('Resultados Individuales'!T58&lt;49.5%,"Por Mejorar",IF('Resultados Individuales'!T58&lt;64.5%,"Base",IF('Resultados Individuales'!T58&lt;84.5%,"Satisfactorio","Óptimo"))),"No rendida o no válida")</f>
        <v>No rendida o no válida</v>
      </c>
      <c r="V58" s="108"/>
      <c r="W58" s="108"/>
      <c r="X58" s="108"/>
      <c r="Y58" s="108"/>
      <c r="Z58" s="108"/>
    </row>
    <row r="59" ht="15.75" customHeight="1">
      <c r="A59" s="82">
        <v>2.1230123E7</v>
      </c>
      <c r="B59" s="83" t="s">
        <v>139</v>
      </c>
      <c r="C59" s="83" t="s">
        <v>319</v>
      </c>
      <c r="D59" s="84" t="s">
        <v>320</v>
      </c>
      <c r="E59" s="84" t="s">
        <v>321</v>
      </c>
      <c r="F59" s="84" t="s">
        <v>322</v>
      </c>
      <c r="G59" s="85" t="s">
        <v>72</v>
      </c>
      <c r="H59" s="95" t="s">
        <v>79</v>
      </c>
      <c r="I59" s="96">
        <v>45758.0</v>
      </c>
      <c r="J59" s="95"/>
      <c r="K59" s="97">
        <v>3.0</v>
      </c>
      <c r="L59" s="91">
        <v>4.0</v>
      </c>
      <c r="M59" s="91">
        <v>4.0</v>
      </c>
      <c r="N59" s="91">
        <v>4.0</v>
      </c>
      <c r="O59" s="91">
        <v>3.0</v>
      </c>
      <c r="P59" s="91">
        <v>3.0</v>
      </c>
      <c r="Q59" s="91">
        <v>3.0</v>
      </c>
      <c r="R59" s="91">
        <v>3.0</v>
      </c>
      <c r="S59" s="89">
        <f t="shared" si="1"/>
        <v>27</v>
      </c>
      <c r="T59" s="90">
        <f t="shared" si="2"/>
        <v>0.675</v>
      </c>
      <c r="U59" s="89" t="str">
        <f>IF(H59="Rendida ",IF('Resultados Individuales'!T59&lt;49.5%,"Por Mejorar",IF('Resultados Individuales'!T59&lt;64.5%,"Base",IF('Resultados Individuales'!T59&lt;84.5%,"Satisfactorio","Óptimo"))),"No rendida o no válida")</f>
        <v>Satisfactorio</v>
      </c>
      <c r="V59" s="94" t="s">
        <v>323</v>
      </c>
    </row>
    <row r="60" ht="15.75" customHeight="1">
      <c r="A60" s="82">
        <v>2.1244055E7</v>
      </c>
      <c r="B60" s="83">
        <v>8.0</v>
      </c>
      <c r="C60" s="83" t="s">
        <v>324</v>
      </c>
      <c r="D60" s="84" t="s">
        <v>205</v>
      </c>
      <c r="E60" s="84" t="s">
        <v>325</v>
      </c>
      <c r="F60" s="84" t="s">
        <v>326</v>
      </c>
      <c r="G60" s="85" t="s">
        <v>72</v>
      </c>
      <c r="H60" s="82" t="s">
        <v>79</v>
      </c>
      <c r="I60" s="111">
        <v>45758.0</v>
      </c>
      <c r="J60" s="95"/>
      <c r="K60" s="97">
        <v>2.0</v>
      </c>
      <c r="L60" s="91">
        <v>2.0</v>
      </c>
      <c r="M60" s="91">
        <v>2.0</v>
      </c>
      <c r="N60" s="91">
        <v>2.0</v>
      </c>
      <c r="O60" s="91">
        <v>2.0</v>
      </c>
      <c r="P60" s="91">
        <v>1.0</v>
      </c>
      <c r="Q60" s="91">
        <v>1.0</v>
      </c>
      <c r="R60" s="91">
        <v>2.0</v>
      </c>
      <c r="S60" s="89">
        <f t="shared" si="1"/>
        <v>14</v>
      </c>
      <c r="T60" s="90">
        <f t="shared" si="2"/>
        <v>0.35</v>
      </c>
      <c r="U60" s="89" t="str">
        <f>IF(H60="Rendida ",IF('Resultados Individuales'!T60&lt;49.5%,"Por Mejorar",IF('Resultados Individuales'!T60&lt;64.5%,"Base",IF('Resultados Individuales'!T60&lt;84.5%,"Satisfactorio","Óptimo"))),"No rendida o no válida")</f>
        <v>Por Mejorar</v>
      </c>
      <c r="V60" s="94" t="s">
        <v>327</v>
      </c>
    </row>
    <row r="61" ht="15.75" customHeight="1">
      <c r="A61" s="82">
        <v>2.1244559E7</v>
      </c>
      <c r="B61" s="83">
        <v>2.0</v>
      </c>
      <c r="C61" s="83" t="s">
        <v>328</v>
      </c>
      <c r="D61" s="84" t="s">
        <v>329</v>
      </c>
      <c r="E61" s="84" t="s">
        <v>107</v>
      </c>
      <c r="F61" s="84" t="s">
        <v>330</v>
      </c>
      <c r="G61" s="85" t="s">
        <v>72</v>
      </c>
      <c r="H61" s="95" t="s">
        <v>79</v>
      </c>
      <c r="I61" s="96">
        <v>45758.0</v>
      </c>
      <c r="J61" s="95"/>
      <c r="K61" s="97">
        <v>3.0</v>
      </c>
      <c r="L61" s="91">
        <v>3.0</v>
      </c>
      <c r="M61" s="91">
        <v>3.0</v>
      </c>
      <c r="N61" s="91">
        <v>3.0</v>
      </c>
      <c r="O61" s="91">
        <v>2.0</v>
      </c>
      <c r="P61" s="91">
        <v>2.0</v>
      </c>
      <c r="Q61" s="91">
        <v>1.0</v>
      </c>
      <c r="R61" s="91">
        <v>2.0</v>
      </c>
      <c r="S61" s="89">
        <f t="shared" si="1"/>
        <v>19</v>
      </c>
      <c r="T61" s="90">
        <f t="shared" si="2"/>
        <v>0.475</v>
      </c>
      <c r="U61" s="89" t="str">
        <f>IF(H61="Rendida ",IF('Resultados Individuales'!T61&lt;49.5%,"Por Mejorar",IF('Resultados Individuales'!T61&lt;64.5%,"Base",IF('Resultados Individuales'!T61&lt;84.5%,"Satisfactorio","Óptimo"))),"No rendida o no válida")</f>
        <v>Por Mejorar</v>
      </c>
      <c r="V61" s="94" t="s">
        <v>331</v>
      </c>
    </row>
    <row r="62" ht="15.75" customHeight="1">
      <c r="A62" s="98">
        <v>2.1245563E7</v>
      </c>
      <c r="B62" s="99">
        <v>6.0</v>
      </c>
      <c r="C62" s="83" t="s">
        <v>332</v>
      </c>
      <c r="D62" s="100" t="s">
        <v>333</v>
      </c>
      <c r="E62" s="100" t="s">
        <v>334</v>
      </c>
      <c r="F62" s="100" t="s">
        <v>335</v>
      </c>
      <c r="G62" s="101"/>
      <c r="H62" s="102"/>
      <c r="I62" s="110"/>
      <c r="J62" s="102"/>
      <c r="K62" s="104"/>
      <c r="L62" s="105"/>
      <c r="M62" s="105"/>
      <c r="N62" s="105"/>
      <c r="O62" s="105"/>
      <c r="P62" s="105"/>
      <c r="Q62" s="105"/>
      <c r="R62" s="105"/>
      <c r="S62" s="106">
        <f t="shared" si="1"/>
        <v>0</v>
      </c>
      <c r="T62" s="107">
        <f t="shared" si="2"/>
        <v>0</v>
      </c>
      <c r="U62" s="106" t="str">
        <f>IF(H62="Rendida ",IF('Resultados Individuales'!T62&lt;49.5%,"Por Mejorar",IF('Resultados Individuales'!T62&lt;64.5%,"Base",IF('Resultados Individuales'!T62&lt;84.5%,"Satisfactorio","Óptimo"))),"No rendida o no válida")</f>
        <v>No rendida o no válida</v>
      </c>
      <c r="V62" s="108"/>
      <c r="W62" s="108"/>
      <c r="X62" s="108"/>
      <c r="Y62" s="108"/>
      <c r="Z62" s="108"/>
    </row>
    <row r="63" ht="15.75" customHeight="1">
      <c r="A63" s="98">
        <v>2.1245675E7</v>
      </c>
      <c r="B63" s="99">
        <v>6.0</v>
      </c>
      <c r="C63" s="83" t="s">
        <v>336</v>
      </c>
      <c r="D63" s="100" t="s">
        <v>251</v>
      </c>
      <c r="E63" s="100" t="s">
        <v>146</v>
      </c>
      <c r="F63" s="100" t="s">
        <v>337</v>
      </c>
      <c r="G63" s="101"/>
      <c r="H63" s="102"/>
      <c r="I63" s="110"/>
      <c r="J63" s="102"/>
      <c r="K63" s="104"/>
      <c r="L63" s="105"/>
      <c r="M63" s="105"/>
      <c r="N63" s="105"/>
      <c r="O63" s="105"/>
      <c r="P63" s="105"/>
      <c r="Q63" s="105"/>
      <c r="R63" s="105"/>
      <c r="S63" s="106">
        <f t="shared" si="1"/>
        <v>0</v>
      </c>
      <c r="T63" s="107">
        <f t="shared" si="2"/>
        <v>0</v>
      </c>
      <c r="U63" s="106" t="str">
        <f>IF(H63="Rendida ",IF('Resultados Individuales'!T63&lt;49.5%,"Por Mejorar",IF('Resultados Individuales'!T63&lt;64.5%,"Base",IF('Resultados Individuales'!T63&lt;84.5%,"Satisfactorio","Óptimo"))),"No rendida o no válida")</f>
        <v>No rendida o no válida</v>
      </c>
      <c r="V63" s="108"/>
      <c r="W63" s="108"/>
      <c r="X63" s="108"/>
      <c r="Y63" s="108"/>
      <c r="Z63" s="108"/>
    </row>
    <row r="64" ht="15.75" customHeight="1">
      <c r="A64" s="82">
        <v>2.1259032E7</v>
      </c>
      <c r="B64" s="83">
        <v>0.0</v>
      </c>
      <c r="C64" s="83" t="s">
        <v>338</v>
      </c>
      <c r="D64" s="84" t="s">
        <v>339</v>
      </c>
      <c r="E64" s="84" t="s">
        <v>340</v>
      </c>
      <c r="F64" s="84" t="s">
        <v>341</v>
      </c>
      <c r="G64" s="85" t="s">
        <v>72</v>
      </c>
      <c r="H64" s="95" t="s">
        <v>79</v>
      </c>
      <c r="I64" s="96">
        <v>45842.0</v>
      </c>
      <c r="J64" s="95"/>
      <c r="K64" s="97">
        <v>4.0</v>
      </c>
      <c r="L64" s="91">
        <v>4.0</v>
      </c>
      <c r="M64" s="91">
        <v>4.0</v>
      </c>
      <c r="N64" s="91">
        <v>4.0</v>
      </c>
      <c r="O64" s="91">
        <v>3.0</v>
      </c>
      <c r="P64" s="91">
        <v>4.0</v>
      </c>
      <c r="Q64" s="91">
        <v>3.0</v>
      </c>
      <c r="R64" s="91">
        <v>3.0</v>
      </c>
      <c r="S64" s="89">
        <f t="shared" si="1"/>
        <v>29</v>
      </c>
      <c r="T64" s="90">
        <f t="shared" si="2"/>
        <v>0.725</v>
      </c>
      <c r="U64" s="89" t="str">
        <f>IF(H64="Rendida ",IF('Resultados Individuales'!T64&lt;49.5%,"Por Mejorar",IF('Resultados Individuales'!T64&lt;64.5%,"Base",IF('Resultados Individuales'!T64&lt;84.5%,"Satisfactorio","Óptimo"))),"No rendida o no válida")</f>
        <v>Satisfactorio</v>
      </c>
      <c r="V64" s="1" t="s">
        <v>342</v>
      </c>
    </row>
    <row r="65" ht="15.75" customHeight="1">
      <c r="A65" s="82">
        <v>2.1277377E7</v>
      </c>
      <c r="B65" s="83">
        <v>8.0</v>
      </c>
      <c r="C65" s="83" t="s">
        <v>343</v>
      </c>
      <c r="D65" s="84" t="s">
        <v>292</v>
      </c>
      <c r="E65" s="84" t="s">
        <v>344</v>
      </c>
      <c r="F65" s="84" t="s">
        <v>345</v>
      </c>
      <c r="G65" s="85" t="s">
        <v>72</v>
      </c>
      <c r="H65" s="95" t="s">
        <v>79</v>
      </c>
      <c r="I65" s="96">
        <v>45758.0</v>
      </c>
      <c r="J65" s="95"/>
      <c r="K65" s="97">
        <v>2.0</v>
      </c>
      <c r="L65" s="91">
        <v>3.0</v>
      </c>
      <c r="M65" s="91">
        <v>3.0</v>
      </c>
      <c r="N65" s="91">
        <v>2.0</v>
      </c>
      <c r="O65" s="91">
        <v>2.0</v>
      </c>
      <c r="P65" s="91">
        <v>2.0</v>
      </c>
      <c r="Q65" s="91">
        <v>2.0</v>
      </c>
      <c r="R65" s="91">
        <v>2.0</v>
      </c>
      <c r="S65" s="89">
        <f t="shared" si="1"/>
        <v>18</v>
      </c>
      <c r="T65" s="90">
        <f t="shared" si="2"/>
        <v>0.45</v>
      </c>
      <c r="U65" s="89" t="str">
        <f>IF(H65="Rendida ",IF('Resultados Individuales'!T65&lt;49.5%,"Por Mejorar",IF('Resultados Individuales'!T65&lt;64.5%,"Base",IF('Resultados Individuales'!T65&lt;84.5%,"Satisfactorio","Óptimo"))),"No rendida o no válida")</f>
        <v>Por Mejorar</v>
      </c>
      <c r="V65" s="126" t="s">
        <v>346</v>
      </c>
    </row>
    <row r="66" ht="15.75" customHeight="1">
      <c r="A66" s="82">
        <v>2.1281061E7</v>
      </c>
      <c r="B66" s="83">
        <v>4.0</v>
      </c>
      <c r="C66" s="83" t="s">
        <v>347</v>
      </c>
      <c r="D66" s="84" t="s">
        <v>348</v>
      </c>
      <c r="E66" s="84" t="s">
        <v>349</v>
      </c>
      <c r="F66" s="84" t="s">
        <v>350</v>
      </c>
      <c r="G66" s="85" t="s">
        <v>72</v>
      </c>
      <c r="H66" s="95" t="s">
        <v>79</v>
      </c>
      <c r="I66" s="96">
        <v>45758.0</v>
      </c>
      <c r="J66" s="95"/>
      <c r="K66" s="97">
        <v>3.0</v>
      </c>
      <c r="L66" s="91">
        <v>3.0</v>
      </c>
      <c r="M66" s="91">
        <v>3.0</v>
      </c>
      <c r="N66" s="91">
        <v>3.0</v>
      </c>
      <c r="O66" s="91">
        <v>2.0</v>
      </c>
      <c r="P66" s="91">
        <v>3.0</v>
      </c>
      <c r="Q66" s="91">
        <v>2.0</v>
      </c>
      <c r="R66" s="91">
        <v>3.0</v>
      </c>
      <c r="S66" s="89">
        <f t="shared" si="1"/>
        <v>22</v>
      </c>
      <c r="T66" s="90">
        <f t="shared" si="2"/>
        <v>0.55</v>
      </c>
      <c r="U66" s="89" t="str">
        <f>IF(H66="Rendida ",IF('Resultados Individuales'!T66&lt;49.5%,"Por Mejorar",IF('Resultados Individuales'!T66&lt;64.5%,"Base",IF('Resultados Individuales'!T66&lt;84.5%,"Satisfactorio","Óptimo"))),"No rendida o no válida")</f>
        <v>Base</v>
      </c>
      <c r="V66" s="94" t="s">
        <v>351</v>
      </c>
    </row>
    <row r="67" ht="15.75" customHeight="1">
      <c r="A67" s="82">
        <v>2.1289094E7</v>
      </c>
      <c r="B67" s="83">
        <v>4.0</v>
      </c>
      <c r="C67" s="83" t="s">
        <v>352</v>
      </c>
      <c r="D67" s="84" t="s">
        <v>353</v>
      </c>
      <c r="E67" s="84" t="s">
        <v>354</v>
      </c>
      <c r="F67" s="84" t="s">
        <v>355</v>
      </c>
      <c r="G67" s="85" t="s">
        <v>72</v>
      </c>
      <c r="H67" s="95" t="s">
        <v>79</v>
      </c>
      <c r="I67" s="96">
        <v>45758.0</v>
      </c>
      <c r="J67" s="95"/>
      <c r="K67" s="97">
        <v>4.0</v>
      </c>
      <c r="L67" s="91">
        <v>4.0</v>
      </c>
      <c r="M67" s="91">
        <v>4.0</v>
      </c>
      <c r="N67" s="91">
        <v>4.0</v>
      </c>
      <c r="O67" s="91">
        <v>3.0</v>
      </c>
      <c r="P67" s="91">
        <v>3.0</v>
      </c>
      <c r="Q67" s="91">
        <v>3.0</v>
      </c>
      <c r="R67" s="91">
        <v>4.0</v>
      </c>
      <c r="S67" s="89">
        <f t="shared" si="1"/>
        <v>29</v>
      </c>
      <c r="T67" s="90">
        <f t="shared" si="2"/>
        <v>0.725</v>
      </c>
      <c r="U67" s="89" t="str">
        <f>IF(H67="Rendida ",IF('Resultados Individuales'!T67&lt;49.5%,"Por Mejorar",IF('Resultados Individuales'!T67&lt;64.5%,"Base",IF('Resultados Individuales'!T67&lt;84.5%,"Satisfactorio","Óptimo"))),"No rendida o no válida")</f>
        <v>Satisfactorio</v>
      </c>
      <c r="V67" s="94" t="s">
        <v>356</v>
      </c>
    </row>
    <row r="68" ht="15.75" customHeight="1">
      <c r="A68" s="82">
        <v>2.1294362E7</v>
      </c>
      <c r="B68" s="83">
        <v>2.0</v>
      </c>
      <c r="C68" s="83" t="s">
        <v>357</v>
      </c>
      <c r="D68" s="84" t="s">
        <v>358</v>
      </c>
      <c r="E68" s="84" t="s">
        <v>359</v>
      </c>
      <c r="F68" s="84" t="s">
        <v>360</v>
      </c>
      <c r="G68" s="85" t="s">
        <v>72</v>
      </c>
      <c r="H68" s="95" t="s">
        <v>79</v>
      </c>
      <c r="I68" s="96">
        <v>45758.0</v>
      </c>
      <c r="J68" s="95"/>
      <c r="K68" s="97">
        <v>2.0</v>
      </c>
      <c r="L68" s="91">
        <v>3.0</v>
      </c>
      <c r="M68" s="91">
        <v>3.0</v>
      </c>
      <c r="N68" s="91">
        <v>2.0</v>
      </c>
      <c r="O68" s="91">
        <v>2.0</v>
      </c>
      <c r="P68" s="91">
        <v>2.0</v>
      </c>
      <c r="Q68" s="91">
        <v>1.0</v>
      </c>
      <c r="R68" s="91">
        <v>3.0</v>
      </c>
      <c r="S68" s="89">
        <f t="shared" si="1"/>
        <v>18</v>
      </c>
      <c r="T68" s="90">
        <f t="shared" si="2"/>
        <v>0.45</v>
      </c>
      <c r="U68" s="89" t="str">
        <f>IF(H68="Rendida ",IF('Resultados Individuales'!T68&lt;49.5%,"Por Mejorar",IF('Resultados Individuales'!T68&lt;64.5%,"Base",IF('Resultados Individuales'!T68&lt;84.5%,"Satisfactorio","Óptimo"))),"No rendida o no válida")</f>
        <v>Por Mejorar</v>
      </c>
      <c r="V68" s="94" t="s">
        <v>361</v>
      </c>
    </row>
    <row r="69" ht="15.75" customHeight="1">
      <c r="A69" s="82">
        <v>2.1335967E7</v>
      </c>
      <c r="B69" s="83">
        <v>3.0</v>
      </c>
      <c r="C69" s="83" t="s">
        <v>362</v>
      </c>
      <c r="D69" s="84" t="s">
        <v>197</v>
      </c>
      <c r="E69" s="84" t="s">
        <v>363</v>
      </c>
      <c r="F69" s="84" t="s">
        <v>364</v>
      </c>
      <c r="G69" s="85" t="s">
        <v>72</v>
      </c>
      <c r="H69" s="82" t="s">
        <v>79</v>
      </c>
      <c r="I69" s="111">
        <v>45758.0</v>
      </c>
      <c r="J69" s="82"/>
      <c r="K69" s="112">
        <v>4.0</v>
      </c>
      <c r="L69" s="82">
        <v>4.0</v>
      </c>
      <c r="M69" s="82">
        <v>4.0</v>
      </c>
      <c r="N69" s="82">
        <v>4.0</v>
      </c>
      <c r="O69" s="82">
        <v>2.0</v>
      </c>
      <c r="P69" s="82">
        <v>2.0</v>
      </c>
      <c r="Q69" s="82">
        <v>2.0</v>
      </c>
      <c r="R69" s="82">
        <v>3.0</v>
      </c>
      <c r="S69" s="89">
        <f t="shared" si="1"/>
        <v>25</v>
      </c>
      <c r="T69" s="90">
        <f t="shared" si="2"/>
        <v>0.625</v>
      </c>
      <c r="U69" s="89" t="str">
        <f>IF(H69="Rendida ",IF('Resultados Individuales'!T69&lt;49.5%,"Por Mejorar",IF('Resultados Individuales'!T69&lt;64.5%,"Base",IF('Resultados Individuales'!T69&lt;84.5%,"Satisfactorio","Óptimo"))),"No rendida o no válida")</f>
        <v>Base</v>
      </c>
      <c r="V69" s="94" t="s">
        <v>365</v>
      </c>
    </row>
    <row r="70" ht="15.75" customHeight="1">
      <c r="A70" s="82">
        <v>2.1343449E7</v>
      </c>
      <c r="B70" s="83">
        <v>7.0</v>
      </c>
      <c r="C70" s="83" t="s">
        <v>366</v>
      </c>
      <c r="D70" s="84" t="s">
        <v>367</v>
      </c>
      <c r="E70" s="84" t="s">
        <v>368</v>
      </c>
      <c r="F70" s="84" t="s">
        <v>369</v>
      </c>
      <c r="G70" s="85" t="s">
        <v>72</v>
      </c>
      <c r="H70" s="95" t="s">
        <v>79</v>
      </c>
      <c r="I70" s="96">
        <v>45758.0</v>
      </c>
      <c r="J70" s="95"/>
      <c r="K70" s="97">
        <v>3.0</v>
      </c>
      <c r="L70" s="91">
        <v>4.0</v>
      </c>
      <c r="M70" s="91">
        <v>4.0</v>
      </c>
      <c r="N70" s="91">
        <v>3.0</v>
      </c>
      <c r="O70" s="91">
        <v>2.0</v>
      </c>
      <c r="P70" s="91">
        <v>2.0</v>
      </c>
      <c r="Q70" s="91">
        <v>1.0</v>
      </c>
      <c r="R70" s="91">
        <v>3.0</v>
      </c>
      <c r="S70" s="89">
        <f t="shared" si="1"/>
        <v>22</v>
      </c>
      <c r="T70" s="90">
        <f t="shared" si="2"/>
        <v>0.55</v>
      </c>
      <c r="U70" s="89" t="str">
        <f>IF(H70="Rendida ",IF('Resultados Individuales'!T70&lt;49.5%,"Por Mejorar",IF('Resultados Individuales'!T70&lt;64.5%,"Base",IF('Resultados Individuales'!T70&lt;84.5%,"Satisfactorio","Óptimo"))),"No rendida o no válida")</f>
        <v>Base</v>
      </c>
      <c r="V70" s="94" t="s">
        <v>370</v>
      </c>
    </row>
    <row r="71" ht="15.75" customHeight="1">
      <c r="A71" s="82">
        <v>2.1352833E7</v>
      </c>
      <c r="B71" s="83">
        <v>5.0</v>
      </c>
      <c r="C71" s="83" t="s">
        <v>371</v>
      </c>
      <c r="D71" s="84" t="s">
        <v>372</v>
      </c>
      <c r="E71" s="84" t="s">
        <v>373</v>
      </c>
      <c r="F71" s="84" t="s">
        <v>374</v>
      </c>
      <c r="G71" s="85" t="s">
        <v>72</v>
      </c>
      <c r="H71" s="95" t="s">
        <v>79</v>
      </c>
      <c r="I71" s="96">
        <v>45758.0</v>
      </c>
      <c r="J71" s="95"/>
      <c r="K71" s="97">
        <v>3.0</v>
      </c>
      <c r="L71" s="91">
        <v>3.0</v>
      </c>
      <c r="M71" s="91">
        <v>2.0</v>
      </c>
      <c r="N71" s="91">
        <v>2.0</v>
      </c>
      <c r="O71" s="91">
        <v>2.0</v>
      </c>
      <c r="P71" s="91">
        <v>2.0</v>
      </c>
      <c r="Q71" s="91">
        <v>1.0</v>
      </c>
      <c r="R71" s="91">
        <v>3.0</v>
      </c>
      <c r="S71" s="89">
        <f t="shared" si="1"/>
        <v>18</v>
      </c>
      <c r="T71" s="90">
        <f t="shared" si="2"/>
        <v>0.45</v>
      </c>
      <c r="U71" s="89" t="str">
        <f>IF(H71="Rendida ",IF('Resultados Individuales'!T71&lt;49.5%,"Por Mejorar",IF('Resultados Individuales'!T71&lt;64.5%,"Base",IF('Resultados Individuales'!T71&lt;84.5%,"Satisfactorio","Óptimo"))),"No rendida o no válida")</f>
        <v>Por Mejorar</v>
      </c>
      <c r="V71" s="94" t="s">
        <v>375</v>
      </c>
    </row>
    <row r="72" ht="15.75" customHeight="1">
      <c r="A72" s="82">
        <v>2.1367625E7</v>
      </c>
      <c r="B72" s="83">
        <v>3.0</v>
      </c>
      <c r="C72" s="83" t="s">
        <v>376</v>
      </c>
      <c r="D72" s="84" t="s">
        <v>377</v>
      </c>
      <c r="E72" s="84" t="s">
        <v>378</v>
      </c>
      <c r="F72" s="84" t="s">
        <v>379</v>
      </c>
      <c r="G72" s="85" t="s">
        <v>72</v>
      </c>
      <c r="H72" s="91" t="s">
        <v>73</v>
      </c>
      <c r="I72" s="127" t="s">
        <v>109</v>
      </c>
      <c r="J72" s="91"/>
      <c r="K72" s="93"/>
      <c r="L72" s="91"/>
      <c r="M72" s="91"/>
      <c r="N72" s="91"/>
      <c r="O72" s="91"/>
      <c r="P72" s="91"/>
      <c r="Q72" s="91"/>
      <c r="R72" s="91"/>
      <c r="S72" s="89">
        <f t="shared" si="1"/>
        <v>0</v>
      </c>
      <c r="T72" s="90">
        <f t="shared" si="2"/>
        <v>0</v>
      </c>
      <c r="U72" s="89" t="str">
        <f>IF(H72="Rendida ",IF('Resultados Individuales'!T72&lt;49.5%,"Por Mejorar",IF('Resultados Individuales'!T72&lt;64.5%,"Base",IF('Resultados Individuales'!T72&lt;84.5%,"Satisfactorio","Óptimo"))),"No rendida o no válida")</f>
        <v>No rendida o no válida</v>
      </c>
    </row>
    <row r="73" ht="15.75" customHeight="1">
      <c r="A73" s="82">
        <v>2.1371518E7</v>
      </c>
      <c r="B73" s="83">
        <v>6.0</v>
      </c>
      <c r="C73" s="83" t="s">
        <v>380</v>
      </c>
      <c r="D73" s="84" t="s">
        <v>381</v>
      </c>
      <c r="E73" s="84" t="s">
        <v>382</v>
      </c>
      <c r="F73" s="84" t="s">
        <v>383</v>
      </c>
      <c r="G73" s="85" t="s">
        <v>72</v>
      </c>
      <c r="H73" s="91" t="s">
        <v>79</v>
      </c>
      <c r="I73" s="92">
        <v>45758.0</v>
      </c>
      <c r="J73" s="91"/>
      <c r="K73" s="93">
        <v>2.0</v>
      </c>
      <c r="L73" s="91">
        <v>1.0</v>
      </c>
      <c r="M73" s="91">
        <v>3.0</v>
      </c>
      <c r="N73" s="91">
        <v>2.0</v>
      </c>
      <c r="O73" s="91">
        <v>3.0</v>
      </c>
      <c r="P73" s="91">
        <v>2.0</v>
      </c>
      <c r="Q73" s="91">
        <v>2.0</v>
      </c>
      <c r="R73" s="91">
        <v>2.0</v>
      </c>
      <c r="S73" s="89">
        <f t="shared" si="1"/>
        <v>17</v>
      </c>
      <c r="T73" s="90">
        <f t="shared" si="2"/>
        <v>0.425</v>
      </c>
      <c r="U73" s="89" t="str">
        <f>IF(H73="Rendida ",IF('Resultados Individuales'!T73&lt;49.5%,"Por Mejorar",IF('Resultados Individuales'!T73&lt;64.5%,"Base",IF('Resultados Individuales'!T73&lt;84.5%,"Satisfactorio","Óptimo"))),"No rendida o no válida")</f>
        <v>Por Mejorar</v>
      </c>
      <c r="V73" s="94" t="s">
        <v>384</v>
      </c>
    </row>
    <row r="74" ht="15.75" customHeight="1">
      <c r="A74" s="82">
        <v>2.1378796E7</v>
      </c>
      <c r="B74" s="83">
        <v>9.0</v>
      </c>
      <c r="C74" s="83" t="s">
        <v>385</v>
      </c>
      <c r="D74" s="84" t="s">
        <v>386</v>
      </c>
      <c r="E74" s="84" t="s">
        <v>387</v>
      </c>
      <c r="F74" s="84" t="s">
        <v>388</v>
      </c>
      <c r="G74" s="85" t="s">
        <v>72</v>
      </c>
      <c r="H74" s="91" t="s">
        <v>79</v>
      </c>
      <c r="I74" s="92">
        <v>45758.0</v>
      </c>
      <c r="J74" s="91"/>
      <c r="K74" s="93">
        <v>3.0</v>
      </c>
      <c r="L74" s="91">
        <v>4.0</v>
      </c>
      <c r="M74" s="91">
        <v>4.0</v>
      </c>
      <c r="N74" s="91">
        <v>2.0</v>
      </c>
      <c r="O74" s="91">
        <v>2.0</v>
      </c>
      <c r="P74" s="91">
        <v>2.0</v>
      </c>
      <c r="Q74" s="91">
        <v>3.0</v>
      </c>
      <c r="R74" s="91"/>
      <c r="S74" s="89">
        <f t="shared" si="1"/>
        <v>20</v>
      </c>
      <c r="T74" s="90">
        <f t="shared" si="2"/>
        <v>0.5</v>
      </c>
      <c r="U74" s="89" t="str">
        <f>IF(H74="Rendida ",IF('Resultados Individuales'!T74&lt;49.5%,"Por Mejorar",IF('Resultados Individuales'!T74&lt;64.5%,"Base",IF('Resultados Individuales'!T74&lt;84.5%,"Satisfactorio","Óptimo"))),"No rendida o no válida")</f>
        <v>Base</v>
      </c>
      <c r="V74" s="94" t="s">
        <v>389</v>
      </c>
    </row>
    <row r="75" ht="15.75" customHeight="1">
      <c r="A75" s="82">
        <v>2.1385693E7</v>
      </c>
      <c r="B75" s="83">
        <v>6.0</v>
      </c>
      <c r="C75" s="83" t="s">
        <v>390</v>
      </c>
      <c r="D75" s="84" t="s">
        <v>391</v>
      </c>
      <c r="E75" s="84" t="s">
        <v>392</v>
      </c>
      <c r="F75" s="84" t="s">
        <v>393</v>
      </c>
      <c r="G75" s="85" t="s">
        <v>72</v>
      </c>
      <c r="H75" s="91" t="s">
        <v>79</v>
      </c>
      <c r="I75" s="92">
        <v>45758.0</v>
      </c>
      <c r="J75" s="91"/>
      <c r="K75" s="93">
        <v>3.0</v>
      </c>
      <c r="L75" s="91">
        <v>3.0</v>
      </c>
      <c r="M75" s="91">
        <v>2.0</v>
      </c>
      <c r="N75" s="91">
        <v>2.0</v>
      </c>
      <c r="O75" s="91">
        <v>2.0</v>
      </c>
      <c r="P75" s="91">
        <v>2.0</v>
      </c>
      <c r="Q75" s="91">
        <v>2.0</v>
      </c>
      <c r="R75" s="91">
        <v>3.0</v>
      </c>
      <c r="S75" s="89">
        <f t="shared" si="1"/>
        <v>19</v>
      </c>
      <c r="T75" s="90">
        <f t="shared" si="2"/>
        <v>0.475</v>
      </c>
      <c r="U75" s="89" t="str">
        <f>IF(H75="Rendida ",IF('Resultados Individuales'!T75&lt;49.5%,"Por Mejorar",IF('Resultados Individuales'!T75&lt;64.5%,"Base",IF('Resultados Individuales'!T75&lt;84.5%,"Satisfactorio","Óptimo"))),"No rendida o no válida")</f>
        <v>Por Mejorar</v>
      </c>
      <c r="V75" s="94" t="s">
        <v>394</v>
      </c>
    </row>
    <row r="76" ht="15.75" customHeight="1">
      <c r="A76" s="82">
        <v>2.139114E7</v>
      </c>
      <c r="B76" s="83">
        <v>6.0</v>
      </c>
      <c r="C76" s="83" t="s">
        <v>395</v>
      </c>
      <c r="D76" s="84" t="s">
        <v>396</v>
      </c>
      <c r="E76" s="84" t="s">
        <v>163</v>
      </c>
      <c r="F76" s="84" t="s">
        <v>397</v>
      </c>
      <c r="G76" s="85" t="s">
        <v>72</v>
      </c>
      <c r="H76" s="82" t="s">
        <v>79</v>
      </c>
      <c r="I76" s="111">
        <v>45758.0</v>
      </c>
      <c r="J76" s="82"/>
      <c r="K76" s="112">
        <v>4.0</v>
      </c>
      <c r="L76" s="82">
        <v>4.0</v>
      </c>
      <c r="M76" s="82">
        <v>3.0</v>
      </c>
      <c r="N76" s="82">
        <v>3.0</v>
      </c>
      <c r="O76" s="82">
        <v>3.0</v>
      </c>
      <c r="P76" s="82">
        <v>3.0</v>
      </c>
      <c r="Q76" s="82">
        <v>3.0</v>
      </c>
      <c r="R76" s="82">
        <v>2.0</v>
      </c>
      <c r="S76" s="89">
        <f t="shared" si="1"/>
        <v>25</v>
      </c>
      <c r="T76" s="90">
        <f t="shared" si="2"/>
        <v>0.625</v>
      </c>
      <c r="U76" s="89" t="str">
        <f>IF(H76="Rendida ",IF('Resultados Individuales'!T76&lt;49.5%,"Por Mejorar",IF('Resultados Individuales'!T76&lt;64.5%,"Base",IF('Resultados Individuales'!T76&lt;84.5%,"Satisfactorio","Óptimo"))),"No rendida o no válida")</f>
        <v>Base</v>
      </c>
      <c r="V76" s="94" t="s">
        <v>398</v>
      </c>
    </row>
    <row r="77" ht="15.75" customHeight="1">
      <c r="A77" s="82">
        <v>2.1392244E7</v>
      </c>
      <c r="B77" s="83">
        <v>0.0</v>
      </c>
      <c r="C77" s="83" t="s">
        <v>399</v>
      </c>
      <c r="D77" s="84" t="s">
        <v>400</v>
      </c>
      <c r="E77" s="84" t="s">
        <v>401</v>
      </c>
      <c r="F77" s="84" t="s">
        <v>402</v>
      </c>
      <c r="G77" s="85" t="s">
        <v>72</v>
      </c>
      <c r="H77" s="82" t="s">
        <v>79</v>
      </c>
      <c r="I77" s="111">
        <v>45758.0</v>
      </c>
      <c r="J77" s="82"/>
      <c r="K77" s="112">
        <v>2.0</v>
      </c>
      <c r="L77" s="82">
        <v>3.0</v>
      </c>
      <c r="M77" s="82">
        <v>3.0</v>
      </c>
      <c r="N77" s="82">
        <v>3.0</v>
      </c>
      <c r="O77" s="82">
        <v>2.0</v>
      </c>
      <c r="P77" s="82">
        <v>3.0</v>
      </c>
      <c r="Q77" s="82">
        <v>2.0</v>
      </c>
      <c r="R77" s="82">
        <v>3.0</v>
      </c>
      <c r="S77" s="89">
        <f t="shared" si="1"/>
        <v>21</v>
      </c>
      <c r="T77" s="90">
        <f t="shared" si="2"/>
        <v>0.525</v>
      </c>
      <c r="U77" s="89" t="str">
        <f>IF(H77="Rendida ",IF('Resultados Individuales'!T77&lt;49.5%,"Por Mejorar",IF('Resultados Individuales'!T77&lt;64.5%,"Base",IF('Resultados Individuales'!T77&lt;84.5%,"Satisfactorio","Óptimo"))),"No rendida o no válida")</f>
        <v>Base</v>
      </c>
      <c r="V77" s="94" t="s">
        <v>403</v>
      </c>
    </row>
    <row r="78" ht="15.75" customHeight="1">
      <c r="A78" s="82">
        <v>2.1396299E7</v>
      </c>
      <c r="B78" s="83" t="s">
        <v>139</v>
      </c>
      <c r="C78" s="83" t="s">
        <v>404</v>
      </c>
      <c r="D78" s="84" t="s">
        <v>171</v>
      </c>
      <c r="E78" s="84" t="s">
        <v>405</v>
      </c>
      <c r="F78" s="84" t="s">
        <v>406</v>
      </c>
      <c r="G78" s="85" t="s">
        <v>72</v>
      </c>
      <c r="H78" s="91" t="s">
        <v>79</v>
      </c>
      <c r="I78" s="92">
        <v>45758.0</v>
      </c>
      <c r="J78" s="91"/>
      <c r="K78" s="93">
        <v>4.0</v>
      </c>
      <c r="L78" s="91">
        <v>3.0</v>
      </c>
      <c r="M78" s="91">
        <v>3.0</v>
      </c>
      <c r="N78" s="91">
        <v>3.0</v>
      </c>
      <c r="O78" s="91">
        <v>2.0</v>
      </c>
      <c r="P78" s="91">
        <v>2.0</v>
      </c>
      <c r="Q78" s="91">
        <v>3.0</v>
      </c>
      <c r="R78" s="91">
        <v>3.0</v>
      </c>
      <c r="S78" s="89">
        <f t="shared" si="1"/>
        <v>23</v>
      </c>
      <c r="T78" s="90">
        <f t="shared" si="2"/>
        <v>0.575</v>
      </c>
      <c r="U78" s="89" t="str">
        <f>IF(H78="Rendida ",IF('Resultados Individuales'!T78&lt;49.5%,"Por Mejorar",IF('Resultados Individuales'!T78&lt;64.5%,"Base",IF('Resultados Individuales'!T78&lt;84.5%,"Satisfactorio","Óptimo"))),"No rendida o no válida")</f>
        <v>Base</v>
      </c>
      <c r="V78" s="94" t="s">
        <v>407</v>
      </c>
    </row>
    <row r="79" ht="15.75" customHeight="1">
      <c r="A79" s="82">
        <v>2.1402399E7</v>
      </c>
      <c r="B79" s="83">
        <v>7.0</v>
      </c>
      <c r="C79" s="83" t="s">
        <v>408</v>
      </c>
      <c r="D79" s="84" t="s">
        <v>409</v>
      </c>
      <c r="E79" s="84" t="s">
        <v>410</v>
      </c>
      <c r="F79" s="84" t="s">
        <v>411</v>
      </c>
      <c r="G79" s="85" t="s">
        <v>72</v>
      </c>
      <c r="H79" s="91" t="s">
        <v>79</v>
      </c>
      <c r="I79" s="92">
        <v>45758.0</v>
      </c>
      <c r="J79" s="91"/>
      <c r="K79" s="93">
        <v>4.0</v>
      </c>
      <c r="L79" s="91">
        <v>4.0</v>
      </c>
      <c r="M79" s="91">
        <v>4.0</v>
      </c>
      <c r="N79" s="91">
        <v>4.0</v>
      </c>
      <c r="O79" s="91">
        <v>2.0</v>
      </c>
      <c r="P79" s="91">
        <v>2.0</v>
      </c>
      <c r="Q79" s="91">
        <v>1.0</v>
      </c>
      <c r="R79" s="91">
        <v>3.0</v>
      </c>
      <c r="S79" s="89">
        <f t="shared" si="1"/>
        <v>24</v>
      </c>
      <c r="T79" s="90">
        <f t="shared" si="2"/>
        <v>0.6</v>
      </c>
      <c r="U79" s="89" t="str">
        <f>IF(H79="Rendida ",IF('Resultados Individuales'!T79&lt;49.5%,"Por Mejorar",IF('Resultados Individuales'!T79&lt;64.5%,"Base",IF('Resultados Individuales'!T79&lt;84.5%,"Satisfactorio","Óptimo"))),"No rendida o no válida")</f>
        <v>Base</v>
      </c>
      <c r="V79" s="94" t="s">
        <v>412</v>
      </c>
    </row>
    <row r="80" ht="15.75" customHeight="1">
      <c r="A80" s="82">
        <v>2.1408019E7</v>
      </c>
      <c r="B80" s="83">
        <v>2.0</v>
      </c>
      <c r="C80" s="83" t="s">
        <v>413</v>
      </c>
      <c r="D80" s="84" t="s">
        <v>401</v>
      </c>
      <c r="E80" s="84" t="s">
        <v>414</v>
      </c>
      <c r="F80" s="84" t="s">
        <v>415</v>
      </c>
      <c r="G80" s="85" t="s">
        <v>72</v>
      </c>
      <c r="H80" s="91" t="s">
        <v>79</v>
      </c>
      <c r="I80" s="92">
        <v>45758.0</v>
      </c>
      <c r="J80" s="91"/>
      <c r="K80" s="93">
        <v>2.0</v>
      </c>
      <c r="L80" s="91">
        <v>3.0</v>
      </c>
      <c r="M80" s="91">
        <v>2.0</v>
      </c>
      <c r="N80" s="91">
        <v>3.0</v>
      </c>
      <c r="O80" s="91">
        <v>2.0</v>
      </c>
      <c r="P80" s="91">
        <v>3.0</v>
      </c>
      <c r="Q80" s="91">
        <v>1.0</v>
      </c>
      <c r="R80" s="91">
        <v>3.0</v>
      </c>
      <c r="S80" s="89">
        <f t="shared" si="1"/>
        <v>19</v>
      </c>
      <c r="T80" s="90">
        <f t="shared" si="2"/>
        <v>0.475</v>
      </c>
      <c r="U80" s="89" t="str">
        <f>IF(H80="Rendida ",IF('Resultados Individuales'!T80&lt;49.5%,"Por Mejorar",IF('Resultados Individuales'!T80&lt;64.5%,"Base",IF('Resultados Individuales'!T80&lt;84.5%,"Satisfactorio","Óptimo"))),"No rendida o no válida")</f>
        <v>Por Mejorar</v>
      </c>
      <c r="V80" s="1" t="s">
        <v>416</v>
      </c>
    </row>
    <row r="81" ht="15.75" customHeight="1">
      <c r="A81" s="82">
        <v>2.1410311E7</v>
      </c>
      <c r="B81" s="83">
        <v>7.0</v>
      </c>
      <c r="C81" s="83" t="s">
        <v>417</v>
      </c>
      <c r="D81" s="84" t="s">
        <v>414</v>
      </c>
      <c r="E81" s="84" t="s">
        <v>287</v>
      </c>
      <c r="F81" s="84" t="s">
        <v>418</v>
      </c>
      <c r="G81" s="85" t="s">
        <v>72</v>
      </c>
      <c r="H81" s="91" t="s">
        <v>79</v>
      </c>
      <c r="I81" s="92">
        <v>45758.0</v>
      </c>
      <c r="J81" s="91"/>
      <c r="K81" s="93">
        <v>4.0</v>
      </c>
      <c r="L81" s="91">
        <v>4.0</v>
      </c>
      <c r="M81" s="91">
        <v>4.0</v>
      </c>
      <c r="N81" s="91">
        <v>4.0</v>
      </c>
      <c r="O81" s="91">
        <v>4.0</v>
      </c>
      <c r="P81" s="91">
        <v>2.0</v>
      </c>
      <c r="Q81" s="91">
        <v>3.0</v>
      </c>
      <c r="R81" s="91">
        <v>2.0</v>
      </c>
      <c r="S81" s="89">
        <v>27.0</v>
      </c>
      <c r="T81" s="90">
        <f t="shared" si="2"/>
        <v>0.675</v>
      </c>
      <c r="U81" s="89" t="str">
        <f>IF(H81="Rendida ",IF('Resultados Individuales'!T81&lt;49.5%,"Por Mejorar",IF('Resultados Individuales'!T81&lt;64.5%,"Base",IF('Resultados Individuales'!T81&lt;84.5%,"Satisfactorio","Óptimo"))),"No rendida o no válida")</f>
        <v>Satisfactorio</v>
      </c>
      <c r="V81" s="94" t="s">
        <v>419</v>
      </c>
    </row>
    <row r="82" ht="15.75" customHeight="1">
      <c r="A82" s="98">
        <v>2.1414944E7</v>
      </c>
      <c r="B82" s="99">
        <v>3.0</v>
      </c>
      <c r="C82" s="83" t="s">
        <v>420</v>
      </c>
      <c r="D82" s="100" t="s">
        <v>141</v>
      </c>
      <c r="E82" s="100" t="s">
        <v>421</v>
      </c>
      <c r="F82" s="100" t="s">
        <v>422</v>
      </c>
      <c r="G82" s="128"/>
      <c r="H82" s="105"/>
      <c r="I82" s="129"/>
      <c r="J82" s="105"/>
      <c r="K82" s="130"/>
      <c r="L82" s="105"/>
      <c r="M82" s="105"/>
      <c r="N82" s="105"/>
      <c r="O82" s="105"/>
      <c r="P82" s="105"/>
      <c r="Q82" s="105"/>
      <c r="R82" s="105"/>
      <c r="S82" s="106">
        <f t="shared" ref="S82:S211" si="3">SUM(K82:R82)</f>
        <v>0</v>
      </c>
      <c r="T82" s="107">
        <f t="shared" si="2"/>
        <v>0</v>
      </c>
      <c r="U82" s="106" t="str">
        <f>IF(H82="Rendida ",IF('Resultados Individuales'!T82&lt;49.5%,"Por Mejorar",IF('Resultados Individuales'!T82&lt;64.5%,"Base",IF('Resultados Individuales'!T82&lt;84.5%,"Satisfactorio","Óptimo"))),"No rendida o no válida")</f>
        <v>No rendida o no válida</v>
      </c>
      <c r="V82" s="108"/>
      <c r="W82" s="108"/>
      <c r="X82" s="108"/>
      <c r="Y82" s="108"/>
      <c r="Z82" s="108"/>
    </row>
    <row r="83" ht="15.75" customHeight="1">
      <c r="A83" s="82">
        <v>2.1415871E7</v>
      </c>
      <c r="B83" s="83" t="s">
        <v>139</v>
      </c>
      <c r="C83" s="83" t="s">
        <v>423</v>
      </c>
      <c r="D83" s="84" t="s">
        <v>405</v>
      </c>
      <c r="E83" s="84" t="s">
        <v>424</v>
      </c>
      <c r="F83" s="84" t="s">
        <v>425</v>
      </c>
      <c r="G83" s="85" t="s">
        <v>72</v>
      </c>
      <c r="H83" s="91" t="s">
        <v>79</v>
      </c>
      <c r="I83" s="92">
        <v>45758.0</v>
      </c>
      <c r="J83" s="91"/>
      <c r="K83" s="93">
        <v>4.0</v>
      </c>
      <c r="L83" s="91">
        <v>4.0</v>
      </c>
      <c r="M83" s="91">
        <v>4.0</v>
      </c>
      <c r="N83" s="91">
        <v>4.0</v>
      </c>
      <c r="O83" s="91">
        <v>3.0</v>
      </c>
      <c r="P83" s="91">
        <v>3.0</v>
      </c>
      <c r="Q83" s="91">
        <v>3.0</v>
      </c>
      <c r="R83" s="91">
        <v>4.0</v>
      </c>
      <c r="S83" s="89">
        <f t="shared" si="3"/>
        <v>29</v>
      </c>
      <c r="T83" s="90">
        <f t="shared" si="2"/>
        <v>0.725</v>
      </c>
      <c r="U83" s="89" t="str">
        <f>IF(H83="Rendida ",IF('Resultados Individuales'!T83&lt;49.5%,"Por Mejorar",IF('Resultados Individuales'!T83&lt;64.5%,"Base",IF('Resultados Individuales'!T83&lt;84.5%,"Satisfactorio","Óptimo"))),"No rendida o no válida")</f>
        <v>Satisfactorio</v>
      </c>
      <c r="V83" s="94" t="s">
        <v>426</v>
      </c>
    </row>
    <row r="84" ht="15.75" customHeight="1">
      <c r="A84" s="82">
        <v>2.1417793E7</v>
      </c>
      <c r="B84" s="83">
        <v>5.0</v>
      </c>
      <c r="C84" s="83" t="s">
        <v>427</v>
      </c>
      <c r="D84" s="84" t="s">
        <v>88</v>
      </c>
      <c r="E84" s="84" t="s">
        <v>428</v>
      </c>
      <c r="F84" s="84" t="s">
        <v>429</v>
      </c>
      <c r="G84" s="85" t="s">
        <v>72</v>
      </c>
      <c r="H84" s="91" t="s">
        <v>79</v>
      </c>
      <c r="I84" s="92">
        <v>45758.0</v>
      </c>
      <c r="J84" s="91"/>
      <c r="K84" s="93">
        <v>4.0</v>
      </c>
      <c r="L84" s="91">
        <v>4.0</v>
      </c>
      <c r="M84" s="91">
        <v>4.0</v>
      </c>
      <c r="N84" s="91">
        <v>4.0</v>
      </c>
      <c r="O84" s="91">
        <v>2.0</v>
      </c>
      <c r="P84" s="91">
        <v>2.0</v>
      </c>
      <c r="Q84" s="91">
        <v>3.0</v>
      </c>
      <c r="R84" s="91">
        <v>3.0</v>
      </c>
      <c r="S84" s="89">
        <f t="shared" si="3"/>
        <v>26</v>
      </c>
      <c r="T84" s="90">
        <f t="shared" si="2"/>
        <v>0.65</v>
      </c>
      <c r="U84" s="89" t="str">
        <f>IF(H84="Rendida ",IF('Resultados Individuales'!T84&lt;49.5%,"Por Mejorar",IF('Resultados Individuales'!T84&lt;64.5%,"Base",IF('Resultados Individuales'!T84&lt;84.5%,"Satisfactorio","Óptimo"))),"No rendida o no válida")</f>
        <v>Satisfactorio</v>
      </c>
      <c r="V84" s="94" t="s">
        <v>430</v>
      </c>
    </row>
    <row r="85" ht="15.75" customHeight="1">
      <c r="A85" s="82">
        <v>2.1432883E7</v>
      </c>
      <c r="B85" s="83">
        <v>6.0</v>
      </c>
      <c r="C85" s="83" t="s">
        <v>431</v>
      </c>
      <c r="D85" s="84" t="s">
        <v>432</v>
      </c>
      <c r="E85" s="84" t="s">
        <v>92</v>
      </c>
      <c r="F85" s="84" t="s">
        <v>433</v>
      </c>
      <c r="G85" s="85" t="s">
        <v>72</v>
      </c>
      <c r="H85" s="91" t="s">
        <v>79</v>
      </c>
      <c r="I85" s="92">
        <v>45758.0</v>
      </c>
      <c r="J85" s="91"/>
      <c r="K85" s="93">
        <v>3.0</v>
      </c>
      <c r="L85" s="91">
        <v>2.0</v>
      </c>
      <c r="M85" s="91">
        <v>3.0</v>
      </c>
      <c r="N85" s="91">
        <v>3.0</v>
      </c>
      <c r="O85" s="91">
        <v>2.0</v>
      </c>
      <c r="P85" s="91">
        <v>3.0</v>
      </c>
      <c r="Q85" s="91">
        <v>2.0</v>
      </c>
      <c r="R85" s="91">
        <v>3.0</v>
      </c>
      <c r="S85" s="89">
        <f t="shared" si="3"/>
        <v>21</v>
      </c>
      <c r="T85" s="90">
        <f t="shared" si="2"/>
        <v>0.525</v>
      </c>
      <c r="U85" s="89" t="str">
        <f>IF(H85="Rendida ",IF('Resultados Individuales'!T85&lt;49.5%,"Por Mejorar",IF('Resultados Individuales'!T85&lt;64.5%,"Base",IF('Resultados Individuales'!T85&lt;84.5%,"Satisfactorio","Óptimo"))),"No rendida o no válida")</f>
        <v>Base</v>
      </c>
      <c r="V85" s="94" t="s">
        <v>434</v>
      </c>
    </row>
    <row r="86" ht="15.75" customHeight="1">
      <c r="A86" s="82">
        <v>2.1444392E7</v>
      </c>
      <c r="B86" s="83">
        <v>9.0</v>
      </c>
      <c r="C86" s="83" t="s">
        <v>435</v>
      </c>
      <c r="D86" s="84" t="s">
        <v>436</v>
      </c>
      <c r="E86" s="84" t="s">
        <v>437</v>
      </c>
      <c r="F86" s="84" t="s">
        <v>438</v>
      </c>
      <c r="G86" s="85" t="s">
        <v>72</v>
      </c>
      <c r="H86" s="91" t="s">
        <v>79</v>
      </c>
      <c r="I86" s="92">
        <v>45758.0</v>
      </c>
      <c r="J86" s="91"/>
      <c r="K86" s="93">
        <v>4.0</v>
      </c>
      <c r="L86" s="91">
        <v>4.0</v>
      </c>
      <c r="M86" s="91">
        <v>4.0</v>
      </c>
      <c r="N86" s="91">
        <v>3.0</v>
      </c>
      <c r="O86" s="91">
        <v>2.0</v>
      </c>
      <c r="P86" s="91">
        <v>2.0</v>
      </c>
      <c r="Q86" s="91">
        <v>1.0</v>
      </c>
      <c r="R86" s="91">
        <v>3.0</v>
      </c>
      <c r="S86" s="89">
        <f t="shared" si="3"/>
        <v>23</v>
      </c>
      <c r="T86" s="90">
        <f t="shared" si="2"/>
        <v>0.575</v>
      </c>
      <c r="U86" s="89" t="str">
        <f>IF(H86="Rendida ",IF('Resultados Individuales'!T86&lt;49.5%,"Por Mejorar",IF('Resultados Individuales'!T86&lt;64.5%,"Base",IF('Resultados Individuales'!T86&lt;84.5%,"Satisfactorio","Óptimo"))),"No rendida o no válida")</f>
        <v>Base</v>
      </c>
      <c r="V86" s="94" t="s">
        <v>439</v>
      </c>
    </row>
    <row r="87" ht="15.75" customHeight="1">
      <c r="A87" s="82">
        <v>2.1446302E7</v>
      </c>
      <c r="B87" s="83">
        <v>4.0</v>
      </c>
      <c r="C87" s="83" t="s">
        <v>440</v>
      </c>
      <c r="D87" s="84" t="s">
        <v>441</v>
      </c>
      <c r="E87" s="84" t="s">
        <v>386</v>
      </c>
      <c r="F87" s="84" t="s">
        <v>442</v>
      </c>
      <c r="G87" s="85" t="s">
        <v>72</v>
      </c>
      <c r="H87" s="82" t="s">
        <v>79</v>
      </c>
      <c r="I87" s="111">
        <v>45758.0</v>
      </c>
      <c r="J87" s="82"/>
      <c r="K87" s="112">
        <v>3.0</v>
      </c>
      <c r="L87" s="82">
        <v>3.0</v>
      </c>
      <c r="M87" s="82">
        <v>4.0</v>
      </c>
      <c r="N87" s="82">
        <v>3.0</v>
      </c>
      <c r="O87" s="82">
        <v>1.0</v>
      </c>
      <c r="P87" s="82">
        <v>2.0</v>
      </c>
      <c r="Q87" s="82">
        <v>1.0</v>
      </c>
      <c r="R87" s="82">
        <v>3.0</v>
      </c>
      <c r="S87" s="89">
        <f t="shared" si="3"/>
        <v>20</v>
      </c>
      <c r="T87" s="90">
        <f t="shared" si="2"/>
        <v>0.5</v>
      </c>
      <c r="U87" s="89" t="str">
        <f>IF(H87="Rendida ",IF('Resultados Individuales'!T87&lt;49.5%,"Por Mejorar",IF('Resultados Individuales'!T87&lt;64.5%,"Base",IF('Resultados Individuales'!T87&lt;84.5%,"Satisfactorio","Óptimo"))),"No rendida o no válida")</f>
        <v>Base</v>
      </c>
      <c r="V87" s="94" t="s">
        <v>443</v>
      </c>
    </row>
    <row r="88" ht="82.5" customHeight="1">
      <c r="A88" s="82">
        <v>2.1449321E7</v>
      </c>
      <c r="B88" s="83">
        <v>7.0</v>
      </c>
      <c r="C88" s="83" t="s">
        <v>444</v>
      </c>
      <c r="D88" s="84" t="s">
        <v>445</v>
      </c>
      <c r="E88" s="84" t="s">
        <v>446</v>
      </c>
      <c r="F88" s="84" t="s">
        <v>447</v>
      </c>
      <c r="G88" s="85" t="s">
        <v>72</v>
      </c>
      <c r="H88" s="82" t="s">
        <v>79</v>
      </c>
      <c r="I88" s="111">
        <v>45758.0</v>
      </c>
      <c r="J88" s="91"/>
      <c r="K88" s="93">
        <v>4.0</v>
      </c>
      <c r="L88" s="91">
        <v>3.0</v>
      </c>
      <c r="M88" s="91">
        <v>3.0</v>
      </c>
      <c r="N88" s="91">
        <v>3.0</v>
      </c>
      <c r="O88" s="91">
        <v>1.0</v>
      </c>
      <c r="P88" s="91">
        <v>1.0</v>
      </c>
      <c r="Q88" s="91">
        <v>1.0</v>
      </c>
      <c r="R88" s="91">
        <v>2.0</v>
      </c>
      <c r="S88" s="89">
        <f t="shared" si="3"/>
        <v>18</v>
      </c>
      <c r="T88" s="90">
        <f t="shared" si="2"/>
        <v>0.45</v>
      </c>
      <c r="U88" s="89" t="str">
        <f>IF(H88="Rendida ",IF('Resultados Individuales'!T88&lt;49.5%,"Por Mejorar",IF('Resultados Individuales'!T88&lt;64.5%,"Base",IF('Resultados Individuales'!T88&lt;84.5%,"Satisfactorio","Óptimo"))),"No rendida o no válida")</f>
        <v>Por Mejorar</v>
      </c>
      <c r="V88" s="94" t="s">
        <v>448</v>
      </c>
    </row>
    <row r="89" ht="15.75" customHeight="1">
      <c r="A89" s="82">
        <v>2.145281E7</v>
      </c>
      <c r="B89" s="83" t="s">
        <v>139</v>
      </c>
      <c r="C89" s="83" t="s">
        <v>449</v>
      </c>
      <c r="D89" s="84" t="s">
        <v>353</v>
      </c>
      <c r="E89" s="84" t="s">
        <v>305</v>
      </c>
      <c r="F89" s="84" t="s">
        <v>450</v>
      </c>
      <c r="G89" s="85" t="s">
        <v>72</v>
      </c>
      <c r="H89" s="91" t="s">
        <v>79</v>
      </c>
      <c r="I89" s="92">
        <v>45758.0</v>
      </c>
      <c r="J89" s="91"/>
      <c r="K89" s="93">
        <v>2.0</v>
      </c>
      <c r="L89" s="91">
        <v>2.0</v>
      </c>
      <c r="M89" s="91">
        <v>3.0</v>
      </c>
      <c r="N89" s="91">
        <v>2.0</v>
      </c>
      <c r="O89" s="91">
        <v>2.0</v>
      </c>
      <c r="P89" s="91">
        <v>2.0</v>
      </c>
      <c r="Q89" s="91">
        <v>2.0</v>
      </c>
      <c r="R89" s="91">
        <v>3.0</v>
      </c>
      <c r="S89" s="89">
        <f t="shared" si="3"/>
        <v>18</v>
      </c>
      <c r="T89" s="90">
        <f t="shared" si="2"/>
        <v>0.45</v>
      </c>
      <c r="U89" s="89" t="str">
        <f>IF(H89="Rendida ",IF('Resultados Individuales'!T89&lt;49.5%,"Por Mejorar",IF('Resultados Individuales'!T89&lt;64.5%,"Base",IF('Resultados Individuales'!T89&lt;84.5%,"Satisfactorio","Óptimo"))),"No rendida o no válida")</f>
        <v>Por Mejorar</v>
      </c>
      <c r="V89" s="94" t="s">
        <v>451</v>
      </c>
    </row>
    <row r="90" ht="15.75" customHeight="1">
      <c r="A90" s="82">
        <v>2.1452919E7</v>
      </c>
      <c r="B90" s="83" t="s">
        <v>139</v>
      </c>
      <c r="C90" s="83" t="s">
        <v>452</v>
      </c>
      <c r="D90" s="84" t="s">
        <v>453</v>
      </c>
      <c r="E90" s="84" t="s">
        <v>454</v>
      </c>
      <c r="F90" s="84" t="s">
        <v>455</v>
      </c>
      <c r="G90" s="85" t="s">
        <v>72</v>
      </c>
      <c r="H90" s="82" t="s">
        <v>79</v>
      </c>
      <c r="I90" s="111">
        <v>45758.0</v>
      </c>
      <c r="J90" s="82"/>
      <c r="K90" s="112">
        <v>4.0</v>
      </c>
      <c r="L90" s="82">
        <v>4.0</v>
      </c>
      <c r="M90" s="82">
        <v>4.0</v>
      </c>
      <c r="N90" s="82">
        <v>4.0</v>
      </c>
      <c r="O90" s="82">
        <v>4.0</v>
      </c>
      <c r="P90" s="82">
        <v>4.0</v>
      </c>
      <c r="Q90" s="82">
        <v>4.0</v>
      </c>
      <c r="R90" s="82">
        <v>4.0</v>
      </c>
      <c r="S90" s="89">
        <f t="shared" si="3"/>
        <v>32</v>
      </c>
      <c r="T90" s="90">
        <f t="shared" si="2"/>
        <v>0.8</v>
      </c>
      <c r="U90" s="89" t="str">
        <f>IF(H90="Rendida ",IF('Resultados Individuales'!T90&lt;49.5%,"Por Mejorar",IF('Resultados Individuales'!T90&lt;64.5%,"Base",IF('Resultados Individuales'!T90&lt;84.5%,"Satisfactorio","Óptimo"))),"No rendida o no válida")</f>
        <v>Satisfactorio</v>
      </c>
      <c r="V90" s="94" t="s">
        <v>456</v>
      </c>
    </row>
    <row r="91" ht="15.75" customHeight="1">
      <c r="A91" s="82">
        <v>2.1454723E7</v>
      </c>
      <c r="B91" s="83">
        <v>6.0</v>
      </c>
      <c r="C91" s="83" t="s">
        <v>457</v>
      </c>
      <c r="D91" s="84" t="s">
        <v>458</v>
      </c>
      <c r="E91" s="84" t="s">
        <v>88</v>
      </c>
      <c r="F91" s="84" t="s">
        <v>459</v>
      </c>
      <c r="G91" s="85" t="s">
        <v>72</v>
      </c>
      <c r="H91" s="91" t="s">
        <v>79</v>
      </c>
      <c r="I91" s="92">
        <v>45758.0</v>
      </c>
      <c r="J91" s="91"/>
      <c r="K91" s="93">
        <v>3.0</v>
      </c>
      <c r="L91" s="91">
        <v>2.0</v>
      </c>
      <c r="M91" s="91">
        <v>3.0</v>
      </c>
      <c r="N91" s="91">
        <v>2.0</v>
      </c>
      <c r="O91" s="91">
        <v>2.0</v>
      </c>
      <c r="P91" s="91">
        <v>2.0</v>
      </c>
      <c r="Q91" s="91">
        <v>1.0</v>
      </c>
      <c r="R91" s="91">
        <v>2.0</v>
      </c>
      <c r="S91" s="89">
        <f t="shared" si="3"/>
        <v>17</v>
      </c>
      <c r="T91" s="90">
        <f t="shared" si="2"/>
        <v>0.425</v>
      </c>
      <c r="U91" s="89" t="str">
        <f>IF(H91="Rendida ",IF('Resultados Individuales'!T91&lt;49.5%,"Por Mejorar",IF('Resultados Individuales'!T91&lt;64.5%,"Base",IF('Resultados Individuales'!T91&lt;84.5%,"Satisfactorio","Óptimo"))),"No rendida o no válida")</f>
        <v>Por Mejorar</v>
      </c>
      <c r="V91" s="94" t="s">
        <v>460</v>
      </c>
    </row>
    <row r="92" ht="15.75" customHeight="1">
      <c r="A92" s="82">
        <v>2.1462616E7</v>
      </c>
      <c r="B92" s="83">
        <v>0.0</v>
      </c>
      <c r="C92" s="83" t="s">
        <v>461</v>
      </c>
      <c r="D92" s="84" t="s">
        <v>305</v>
      </c>
      <c r="E92" s="84" t="s">
        <v>462</v>
      </c>
      <c r="F92" s="84" t="s">
        <v>463</v>
      </c>
      <c r="G92" s="85" t="s">
        <v>72</v>
      </c>
      <c r="H92" s="91" t="s">
        <v>79</v>
      </c>
      <c r="I92" s="92">
        <v>45758.0</v>
      </c>
      <c r="J92" s="91"/>
      <c r="K92" s="93">
        <v>2.0</v>
      </c>
      <c r="L92" s="91">
        <v>3.0</v>
      </c>
      <c r="M92" s="91">
        <v>3.0</v>
      </c>
      <c r="N92" s="91">
        <v>2.0</v>
      </c>
      <c r="O92" s="91">
        <v>2.0</v>
      </c>
      <c r="P92" s="91">
        <v>2.0</v>
      </c>
      <c r="Q92" s="91">
        <v>2.0</v>
      </c>
      <c r="R92" s="91">
        <v>2.0</v>
      </c>
      <c r="S92" s="89">
        <f t="shared" si="3"/>
        <v>18</v>
      </c>
      <c r="T92" s="90">
        <f t="shared" si="2"/>
        <v>0.45</v>
      </c>
      <c r="U92" s="89" t="str">
        <f>IF(H92="Rendida ",IF('Resultados Individuales'!T92&lt;49.5%,"Por Mejorar",IF('Resultados Individuales'!T92&lt;64.5%,"Base",IF('Resultados Individuales'!T92&lt;84.5%,"Satisfactorio","Óptimo"))),"No rendida o no válida")</f>
        <v>Por Mejorar</v>
      </c>
      <c r="V92" s="94" t="s">
        <v>464</v>
      </c>
    </row>
    <row r="93" ht="15.75" customHeight="1">
      <c r="A93" s="98">
        <v>2.1463234E7</v>
      </c>
      <c r="B93" s="99">
        <v>9.0</v>
      </c>
      <c r="C93" s="83" t="s">
        <v>465</v>
      </c>
      <c r="D93" s="100" t="s">
        <v>466</v>
      </c>
      <c r="E93" s="100" t="s">
        <v>265</v>
      </c>
      <c r="F93" s="100" t="s">
        <v>467</v>
      </c>
      <c r="G93" s="128"/>
      <c r="H93" s="105"/>
      <c r="I93" s="129"/>
      <c r="J93" s="105"/>
      <c r="K93" s="130"/>
      <c r="L93" s="105"/>
      <c r="M93" s="105"/>
      <c r="N93" s="105"/>
      <c r="O93" s="105"/>
      <c r="P93" s="105"/>
      <c r="Q93" s="105"/>
      <c r="R93" s="105"/>
      <c r="S93" s="106">
        <f t="shared" si="3"/>
        <v>0</v>
      </c>
      <c r="T93" s="107">
        <f t="shared" si="2"/>
        <v>0</v>
      </c>
      <c r="U93" s="106" t="str">
        <f>IF(H93="Rendida ",IF('Resultados Individuales'!T93&lt;49.5%,"Por Mejorar",IF('Resultados Individuales'!T93&lt;64.5%,"Base",IF('Resultados Individuales'!T93&lt;84.5%,"Satisfactorio","Óptimo"))),"No rendida o no válida")</f>
        <v>No rendida o no válida</v>
      </c>
      <c r="V93" s="108"/>
      <c r="W93" s="108"/>
      <c r="X93" s="108"/>
      <c r="Y93" s="108"/>
      <c r="Z93" s="108"/>
    </row>
    <row r="94" ht="15.75" customHeight="1">
      <c r="A94" s="82">
        <v>2.1467178E7</v>
      </c>
      <c r="B94" s="83">
        <v>6.0</v>
      </c>
      <c r="C94" s="83" t="s">
        <v>468</v>
      </c>
      <c r="D94" s="84" t="s">
        <v>69</v>
      </c>
      <c r="E94" s="84" t="s">
        <v>469</v>
      </c>
      <c r="F94" s="84" t="s">
        <v>470</v>
      </c>
      <c r="G94" s="85" t="s">
        <v>72</v>
      </c>
      <c r="H94" s="91" t="s">
        <v>79</v>
      </c>
      <c r="I94" s="92">
        <v>45758.0</v>
      </c>
      <c r="J94" s="91"/>
      <c r="K94" s="93">
        <v>3.0</v>
      </c>
      <c r="L94" s="91">
        <v>3.0</v>
      </c>
      <c r="M94" s="91">
        <v>4.0</v>
      </c>
      <c r="N94" s="91">
        <v>4.0</v>
      </c>
      <c r="O94" s="91">
        <v>2.0</v>
      </c>
      <c r="P94" s="91">
        <v>2.0</v>
      </c>
      <c r="Q94" s="91">
        <v>2.0</v>
      </c>
      <c r="R94" s="91">
        <v>3.0</v>
      </c>
      <c r="S94" s="89">
        <f t="shared" si="3"/>
        <v>23</v>
      </c>
      <c r="T94" s="90">
        <f t="shared" si="2"/>
        <v>0.575</v>
      </c>
      <c r="U94" s="89" t="str">
        <f>IF(H94="Rendida ",IF('Resultados Individuales'!T94&lt;49.5%,"Por Mejorar",IF('Resultados Individuales'!T94&lt;64.5%,"Base",IF('Resultados Individuales'!T94&lt;84.5%,"Satisfactorio","Óptimo"))),"No rendida o no válida")</f>
        <v>Base</v>
      </c>
      <c r="V94" s="94" t="s">
        <v>471</v>
      </c>
    </row>
    <row r="95" ht="15.75" customHeight="1">
      <c r="A95" s="82">
        <v>2.1471174E7</v>
      </c>
      <c r="B95" s="83">
        <v>5.0</v>
      </c>
      <c r="C95" s="83" t="s">
        <v>472</v>
      </c>
      <c r="D95" s="84" t="s">
        <v>340</v>
      </c>
      <c r="E95" s="84" t="s">
        <v>473</v>
      </c>
      <c r="F95" s="84" t="s">
        <v>474</v>
      </c>
      <c r="G95" s="85" t="s">
        <v>72</v>
      </c>
      <c r="H95" s="91" t="s">
        <v>79</v>
      </c>
      <c r="I95" s="92">
        <v>45758.0</v>
      </c>
      <c r="J95" s="91"/>
      <c r="K95" s="93">
        <v>3.0</v>
      </c>
      <c r="L95" s="91">
        <v>3.0</v>
      </c>
      <c r="M95" s="91">
        <v>3.0</v>
      </c>
      <c r="N95" s="91">
        <v>3.0</v>
      </c>
      <c r="O95" s="91">
        <v>2.0</v>
      </c>
      <c r="P95" s="91">
        <v>2.0</v>
      </c>
      <c r="Q95" s="91">
        <v>1.0</v>
      </c>
      <c r="R95" s="91">
        <v>3.0</v>
      </c>
      <c r="S95" s="89">
        <f t="shared" si="3"/>
        <v>20</v>
      </c>
      <c r="T95" s="90">
        <f t="shared" si="2"/>
        <v>0.5</v>
      </c>
      <c r="U95" s="89" t="str">
        <f>IF(H95="Rendida ",IF('Resultados Individuales'!T95&lt;49.5%,"Por Mejorar",IF('Resultados Individuales'!T95&lt;64.5%,"Base",IF('Resultados Individuales'!T95&lt;84.5%,"Satisfactorio","Óptimo"))),"No rendida o no válida")</f>
        <v>Base</v>
      </c>
      <c r="V95" s="94" t="s">
        <v>475</v>
      </c>
    </row>
    <row r="96" ht="15.75" customHeight="1">
      <c r="A96" s="98">
        <v>2.1477568E7</v>
      </c>
      <c r="B96" s="99">
        <v>9.0</v>
      </c>
      <c r="C96" s="83" t="s">
        <v>476</v>
      </c>
      <c r="D96" s="100" t="s">
        <v>477</v>
      </c>
      <c r="E96" s="100" t="s">
        <v>321</v>
      </c>
      <c r="F96" s="100" t="s">
        <v>478</v>
      </c>
      <c r="G96" s="128"/>
      <c r="H96" s="105"/>
      <c r="I96" s="129"/>
      <c r="J96" s="105"/>
      <c r="K96" s="130"/>
      <c r="L96" s="105"/>
      <c r="M96" s="105"/>
      <c r="N96" s="105"/>
      <c r="O96" s="105"/>
      <c r="P96" s="105"/>
      <c r="Q96" s="105"/>
      <c r="R96" s="105"/>
      <c r="S96" s="106">
        <f t="shared" si="3"/>
        <v>0</v>
      </c>
      <c r="T96" s="107">
        <f t="shared" si="2"/>
        <v>0</v>
      </c>
      <c r="U96" s="106" t="str">
        <f>IF(H96="Rendida ",IF('Resultados Individuales'!T96&lt;49.5%,"Por Mejorar",IF('Resultados Individuales'!T96&lt;64.5%,"Base",IF('Resultados Individuales'!T96&lt;84.5%,"Satisfactorio","Óptimo"))),"No rendida o no válida")</f>
        <v>No rendida o no válida</v>
      </c>
      <c r="V96" s="108"/>
      <c r="W96" s="108"/>
      <c r="X96" s="108"/>
      <c r="Y96" s="108"/>
      <c r="Z96" s="108"/>
    </row>
    <row r="97" ht="15.75" customHeight="1">
      <c r="A97" s="82">
        <v>2.1484307E7</v>
      </c>
      <c r="B97" s="83">
        <v>2.0</v>
      </c>
      <c r="C97" s="83" t="s">
        <v>479</v>
      </c>
      <c r="D97" s="84" t="s">
        <v>172</v>
      </c>
      <c r="E97" s="84" t="s">
        <v>480</v>
      </c>
      <c r="F97" s="84" t="s">
        <v>481</v>
      </c>
      <c r="G97" s="85" t="s">
        <v>72</v>
      </c>
      <c r="H97" s="91" t="s">
        <v>79</v>
      </c>
      <c r="I97" s="92">
        <v>45758.0</v>
      </c>
      <c r="J97" s="91"/>
      <c r="K97" s="93">
        <v>3.0</v>
      </c>
      <c r="L97" s="91">
        <v>2.0</v>
      </c>
      <c r="M97" s="91">
        <v>3.0</v>
      </c>
      <c r="N97" s="91">
        <v>3.0</v>
      </c>
      <c r="O97" s="91">
        <v>2.0</v>
      </c>
      <c r="P97" s="91">
        <v>2.0</v>
      </c>
      <c r="Q97" s="91">
        <v>1.0</v>
      </c>
      <c r="R97" s="91">
        <v>3.0</v>
      </c>
      <c r="S97" s="89">
        <f t="shared" si="3"/>
        <v>19</v>
      </c>
      <c r="T97" s="90">
        <f t="shared" si="2"/>
        <v>0.475</v>
      </c>
      <c r="U97" s="89" t="str">
        <f>IF(H97="Rendida ",IF('Resultados Individuales'!T97&lt;49.5%,"Por Mejorar",IF('Resultados Individuales'!T97&lt;64.5%,"Base",IF('Resultados Individuales'!T97&lt;84.5%,"Satisfactorio","Óptimo"))),"No rendida o no válida")</f>
        <v>Por Mejorar</v>
      </c>
      <c r="V97" s="94" t="s">
        <v>482</v>
      </c>
    </row>
    <row r="98" ht="15.75" customHeight="1">
      <c r="A98" s="82">
        <v>2.1486487E7</v>
      </c>
      <c r="B98" s="83">
        <v>8.0</v>
      </c>
      <c r="C98" s="83" t="s">
        <v>483</v>
      </c>
      <c r="D98" s="84" t="s">
        <v>484</v>
      </c>
      <c r="E98" s="84" t="s">
        <v>485</v>
      </c>
      <c r="F98" s="84" t="s">
        <v>486</v>
      </c>
      <c r="G98" s="85" t="s">
        <v>72</v>
      </c>
      <c r="H98" s="91" t="s">
        <v>79</v>
      </c>
      <c r="I98" s="92">
        <v>45758.0</v>
      </c>
      <c r="J98" s="91"/>
      <c r="K98" s="93">
        <v>4.0</v>
      </c>
      <c r="L98" s="91">
        <v>4.0</v>
      </c>
      <c r="M98" s="91">
        <v>3.0</v>
      </c>
      <c r="N98" s="91">
        <v>4.0</v>
      </c>
      <c r="O98" s="91">
        <v>3.0</v>
      </c>
      <c r="P98" s="91">
        <v>3.0</v>
      </c>
      <c r="Q98" s="91">
        <v>3.0</v>
      </c>
      <c r="R98" s="91">
        <v>4.0</v>
      </c>
      <c r="S98" s="89">
        <f t="shared" si="3"/>
        <v>28</v>
      </c>
      <c r="T98" s="90">
        <f t="shared" si="2"/>
        <v>0.7</v>
      </c>
      <c r="U98" s="89" t="str">
        <f>IF(H98="Rendida ",IF('Resultados Individuales'!T98&lt;49.5%,"Por Mejorar",IF('Resultados Individuales'!T98&lt;64.5%,"Base",IF('Resultados Individuales'!T98&lt;84.5%,"Satisfactorio","Óptimo"))),"No rendida o no válida")</f>
        <v>Satisfactorio</v>
      </c>
      <c r="V98" s="94" t="s">
        <v>487</v>
      </c>
    </row>
    <row r="99" ht="15.75" customHeight="1">
      <c r="A99" s="82">
        <v>2.1490039E7</v>
      </c>
      <c r="B99" s="83">
        <v>4.0</v>
      </c>
      <c r="C99" s="83" t="s">
        <v>488</v>
      </c>
      <c r="D99" s="84" t="s">
        <v>489</v>
      </c>
      <c r="E99" s="84" t="s">
        <v>490</v>
      </c>
      <c r="F99" s="84" t="s">
        <v>491</v>
      </c>
      <c r="G99" s="85" t="s">
        <v>72</v>
      </c>
      <c r="H99" s="91" t="s">
        <v>79</v>
      </c>
      <c r="I99" s="92">
        <v>45758.0</v>
      </c>
      <c r="J99" s="91"/>
      <c r="K99" s="93">
        <v>2.0</v>
      </c>
      <c r="L99" s="91">
        <v>2.0</v>
      </c>
      <c r="M99" s="91">
        <v>2.0</v>
      </c>
      <c r="N99" s="91">
        <v>2.0</v>
      </c>
      <c r="O99" s="91">
        <v>2.0</v>
      </c>
      <c r="P99" s="91">
        <v>2.0</v>
      </c>
      <c r="Q99" s="91">
        <v>2.0</v>
      </c>
      <c r="R99" s="91">
        <v>3.0</v>
      </c>
      <c r="S99" s="89">
        <f t="shared" si="3"/>
        <v>17</v>
      </c>
      <c r="T99" s="90">
        <f t="shared" si="2"/>
        <v>0.425</v>
      </c>
      <c r="U99" s="89" t="str">
        <f>IF(H99="Rendida ",IF('Resultados Individuales'!T99&lt;49.5%,"Por Mejorar",IF('Resultados Individuales'!T99&lt;64.5%,"Base",IF('Resultados Individuales'!T99&lt;84.5%,"Satisfactorio","Óptimo"))),"No rendida o no válida")</f>
        <v>Por Mejorar</v>
      </c>
      <c r="V99" s="94" t="s">
        <v>492</v>
      </c>
    </row>
    <row r="100" ht="15.75" customHeight="1">
      <c r="A100" s="82">
        <v>2.1491212E7</v>
      </c>
      <c r="B100" s="83">
        <v>0.0</v>
      </c>
      <c r="C100" s="83" t="s">
        <v>493</v>
      </c>
      <c r="D100" s="84" t="s">
        <v>97</v>
      </c>
      <c r="E100" s="84" t="s">
        <v>101</v>
      </c>
      <c r="F100" s="84" t="s">
        <v>494</v>
      </c>
      <c r="G100" s="85" t="s">
        <v>72</v>
      </c>
      <c r="H100" s="91" t="s">
        <v>79</v>
      </c>
      <c r="I100" s="92">
        <v>45758.0</v>
      </c>
      <c r="J100" s="91"/>
      <c r="K100" s="93">
        <v>4.0</v>
      </c>
      <c r="L100" s="91">
        <v>4.0</v>
      </c>
      <c r="M100" s="91">
        <v>3.0</v>
      </c>
      <c r="N100" s="91">
        <v>4.0</v>
      </c>
      <c r="O100" s="91">
        <v>2.0</v>
      </c>
      <c r="P100" s="91">
        <v>2.0</v>
      </c>
      <c r="Q100" s="91">
        <v>1.0</v>
      </c>
      <c r="R100" s="91">
        <v>3.0</v>
      </c>
      <c r="S100" s="89">
        <f t="shared" si="3"/>
        <v>23</v>
      </c>
      <c r="T100" s="90">
        <f t="shared" si="2"/>
        <v>0.575</v>
      </c>
      <c r="U100" s="89" t="str">
        <f>IF(H100="Rendida ",IF('Resultados Individuales'!T100&lt;49.5%,"Por Mejorar",IF('Resultados Individuales'!T100&lt;64.5%,"Base",IF('Resultados Individuales'!T100&lt;84.5%,"Satisfactorio","Óptimo"))),"No rendida o no válida")</f>
        <v>Base</v>
      </c>
      <c r="V100" s="94" t="s">
        <v>495</v>
      </c>
    </row>
    <row r="101" ht="15.75" customHeight="1">
      <c r="A101" s="82">
        <v>2.1493287E7</v>
      </c>
      <c r="B101" s="83">
        <v>3.0</v>
      </c>
      <c r="C101" s="83" t="s">
        <v>496</v>
      </c>
      <c r="D101" s="84" t="s">
        <v>497</v>
      </c>
      <c r="E101" s="84" t="s">
        <v>498</v>
      </c>
      <c r="F101" s="84" t="s">
        <v>499</v>
      </c>
      <c r="G101" s="85" t="s">
        <v>72</v>
      </c>
      <c r="H101" s="91" t="s">
        <v>79</v>
      </c>
      <c r="I101" s="92">
        <v>45758.0</v>
      </c>
      <c r="J101" s="91"/>
      <c r="K101" s="93">
        <v>3.0</v>
      </c>
      <c r="L101" s="91">
        <v>4.0</v>
      </c>
      <c r="M101" s="91">
        <v>4.0</v>
      </c>
      <c r="N101" s="91">
        <v>4.0</v>
      </c>
      <c r="O101" s="91"/>
      <c r="P101" s="91"/>
      <c r="Q101" s="91"/>
      <c r="R101" s="91"/>
      <c r="S101" s="89">
        <f t="shared" si="3"/>
        <v>15</v>
      </c>
      <c r="T101" s="90">
        <f t="shared" si="2"/>
        <v>0.375</v>
      </c>
      <c r="U101" s="89" t="str">
        <f>IF(H101="Rendida ",IF('Resultados Individuales'!T101&lt;49.5%,"Por Mejorar",IF('Resultados Individuales'!T101&lt;64.5%,"Base",IF('Resultados Individuales'!T101&lt;84.5%,"Satisfactorio","Óptimo"))),"No rendida o no válida")</f>
        <v>Por Mejorar</v>
      </c>
      <c r="V101" s="1" t="s">
        <v>500</v>
      </c>
    </row>
    <row r="102" ht="15.75" customHeight="1">
      <c r="A102" s="82">
        <v>2.1498345E7</v>
      </c>
      <c r="B102" s="83">
        <v>1.0</v>
      </c>
      <c r="C102" s="83" t="s">
        <v>501</v>
      </c>
      <c r="D102" s="84" t="s">
        <v>502</v>
      </c>
      <c r="E102" s="84" t="s">
        <v>503</v>
      </c>
      <c r="F102" s="84" t="s">
        <v>504</v>
      </c>
      <c r="G102" s="85" t="s">
        <v>72</v>
      </c>
      <c r="H102" s="131" t="s">
        <v>79</v>
      </c>
      <c r="I102" s="132">
        <v>45758.0</v>
      </c>
      <c r="J102" s="131"/>
      <c r="K102" s="133">
        <v>4.0</v>
      </c>
      <c r="L102" s="131">
        <v>4.0</v>
      </c>
      <c r="M102" s="131">
        <v>3.0</v>
      </c>
      <c r="N102" s="131">
        <v>4.0</v>
      </c>
      <c r="O102" s="131">
        <v>3.0</v>
      </c>
      <c r="P102" s="131">
        <v>3.0</v>
      </c>
      <c r="Q102" s="131">
        <v>3.0</v>
      </c>
      <c r="R102" s="131">
        <v>3.0</v>
      </c>
      <c r="S102" s="89">
        <f t="shared" si="3"/>
        <v>27</v>
      </c>
      <c r="T102" s="90">
        <f t="shared" si="2"/>
        <v>0.675</v>
      </c>
      <c r="U102" s="89" t="str">
        <f>IF(H102="Rendida ",IF('Resultados Individuales'!T102&lt;49.5%,"Por Mejorar",IF('Resultados Individuales'!T102&lt;64.5%,"Base",IF('Resultados Individuales'!T102&lt;84.5%,"Satisfactorio","Óptimo"))),"No rendida o no válida")</f>
        <v>Satisfactorio</v>
      </c>
      <c r="V102" s="94" t="s">
        <v>505</v>
      </c>
    </row>
    <row r="103" ht="15.75" customHeight="1">
      <c r="A103" s="82">
        <v>2.1498756E7</v>
      </c>
      <c r="B103" s="83">
        <v>2.0</v>
      </c>
      <c r="C103" s="83" t="s">
        <v>506</v>
      </c>
      <c r="D103" s="84" t="s">
        <v>69</v>
      </c>
      <c r="E103" s="84" t="s">
        <v>172</v>
      </c>
      <c r="F103" s="84" t="s">
        <v>507</v>
      </c>
      <c r="G103" s="85" t="s">
        <v>72</v>
      </c>
      <c r="H103" s="91" t="s">
        <v>79</v>
      </c>
      <c r="I103" s="134">
        <v>45758.0</v>
      </c>
      <c r="J103" s="91"/>
      <c r="K103" s="91">
        <v>4.0</v>
      </c>
      <c r="L103" s="91">
        <v>3.0</v>
      </c>
      <c r="M103" s="91">
        <v>3.0</v>
      </c>
      <c r="N103" s="91">
        <v>3.0</v>
      </c>
      <c r="O103" s="91">
        <v>3.0</v>
      </c>
      <c r="P103" s="91">
        <v>3.0</v>
      </c>
      <c r="Q103" s="91">
        <v>2.0</v>
      </c>
      <c r="R103" s="91">
        <v>3.0</v>
      </c>
      <c r="S103" s="89">
        <f t="shared" si="3"/>
        <v>24</v>
      </c>
      <c r="T103" s="90">
        <f t="shared" si="2"/>
        <v>0.6</v>
      </c>
      <c r="U103" s="89" t="str">
        <f>IF(H103="Rendida ",IF('Resultados Individuales'!T103&lt;49.5%,"Por Mejorar",IF('Resultados Individuales'!T103&lt;64.5%,"Base",IF('Resultados Individuales'!T103&lt;84.5%,"Satisfactorio","Óptimo"))),"No rendida o no válida")</f>
        <v>Base</v>
      </c>
      <c r="V103" s="94" t="s">
        <v>508</v>
      </c>
    </row>
    <row r="104" ht="15.75" customHeight="1">
      <c r="A104" s="82">
        <v>2.1499352E7</v>
      </c>
      <c r="B104" s="83" t="s">
        <v>139</v>
      </c>
      <c r="C104" s="83" t="s">
        <v>509</v>
      </c>
      <c r="D104" s="84" t="s">
        <v>510</v>
      </c>
      <c r="E104" s="84" t="s">
        <v>511</v>
      </c>
      <c r="F104" s="84" t="s">
        <v>512</v>
      </c>
      <c r="G104" s="85" t="s">
        <v>72</v>
      </c>
      <c r="H104" s="91" t="s">
        <v>79</v>
      </c>
      <c r="I104" s="134">
        <v>45758.0</v>
      </c>
      <c r="J104" s="91"/>
      <c r="K104" s="91">
        <v>3.0</v>
      </c>
      <c r="L104" s="91">
        <v>4.0</v>
      </c>
      <c r="M104" s="91">
        <v>3.0</v>
      </c>
      <c r="N104" s="91">
        <v>4.0</v>
      </c>
      <c r="O104" s="91">
        <v>3.0</v>
      </c>
      <c r="P104" s="91">
        <v>3.0</v>
      </c>
      <c r="Q104" s="91">
        <v>3.0</v>
      </c>
      <c r="R104" s="91">
        <v>3.0</v>
      </c>
      <c r="S104" s="89">
        <f t="shared" si="3"/>
        <v>26</v>
      </c>
      <c r="T104" s="90">
        <f t="shared" si="2"/>
        <v>0.65</v>
      </c>
      <c r="U104" s="89" t="str">
        <f>IF(H104="Rendida ",IF('Resultados Individuales'!T104&lt;49.5%,"Por Mejorar",IF('Resultados Individuales'!T104&lt;64.5%,"Base",IF('Resultados Individuales'!T104&lt;84.5%,"Satisfactorio","Óptimo"))),"No rendida o no válida")</f>
        <v>Satisfactorio</v>
      </c>
      <c r="V104" s="94" t="s">
        <v>513</v>
      </c>
    </row>
    <row r="105" ht="15.75" customHeight="1">
      <c r="A105" s="116">
        <v>2.150177E7</v>
      </c>
      <c r="B105" s="117">
        <v>2.0</v>
      </c>
      <c r="C105" s="83" t="s">
        <v>514</v>
      </c>
      <c r="D105" s="118" t="s">
        <v>515</v>
      </c>
      <c r="E105" s="118" t="s">
        <v>516</v>
      </c>
      <c r="F105" s="118" t="s">
        <v>517</v>
      </c>
      <c r="G105" s="85" t="s">
        <v>72</v>
      </c>
      <c r="H105" s="135" t="s">
        <v>79</v>
      </c>
      <c r="I105" s="136">
        <v>45758.0</v>
      </c>
      <c r="J105" s="135"/>
      <c r="K105" s="135">
        <v>4.0</v>
      </c>
      <c r="L105" s="135">
        <v>4.0</v>
      </c>
      <c r="M105" s="135">
        <v>4.0</v>
      </c>
      <c r="N105" s="135">
        <v>4.0</v>
      </c>
      <c r="O105" s="135">
        <v>3.0</v>
      </c>
      <c r="P105" s="135">
        <v>3.0</v>
      </c>
      <c r="Q105" s="135">
        <v>4.0</v>
      </c>
      <c r="R105" s="135">
        <v>3.0</v>
      </c>
      <c r="S105" s="121">
        <f t="shared" si="3"/>
        <v>29</v>
      </c>
      <c r="T105" s="122">
        <f t="shared" si="2"/>
        <v>0.725</v>
      </c>
      <c r="U105" s="121" t="str">
        <f>IF(H105="Rendida ",IF('Resultados Individuales'!T105&lt;49.5%,"Por Mejorar",IF('Resultados Individuales'!T105&lt;64.5%,"Base",IF('Resultados Individuales'!T105&lt;84.5%,"Satisfactorio","Óptimo"))),"No rendida o no válida")</f>
        <v>Satisfactorio</v>
      </c>
      <c r="V105" s="137" t="s">
        <v>518</v>
      </c>
      <c r="W105" s="123"/>
      <c r="X105" s="123"/>
      <c r="Y105" s="123"/>
      <c r="Z105" s="123"/>
    </row>
    <row r="106" ht="15.75" customHeight="1">
      <c r="A106" s="98">
        <v>2.1502157E7</v>
      </c>
      <c r="B106" s="99">
        <v>2.0</v>
      </c>
      <c r="C106" s="83" t="s">
        <v>519</v>
      </c>
      <c r="D106" s="100" t="s">
        <v>251</v>
      </c>
      <c r="E106" s="100" t="s">
        <v>520</v>
      </c>
      <c r="F106" s="100" t="s">
        <v>521</v>
      </c>
      <c r="G106" s="105"/>
      <c r="H106" s="105"/>
      <c r="I106" s="105"/>
      <c r="J106" s="105"/>
      <c r="K106" s="105"/>
      <c r="L106" s="105"/>
      <c r="M106" s="105"/>
      <c r="N106" s="105"/>
      <c r="O106" s="105"/>
      <c r="P106" s="105"/>
      <c r="Q106" s="105"/>
      <c r="R106" s="105"/>
      <c r="S106" s="106">
        <f t="shared" si="3"/>
        <v>0</v>
      </c>
      <c r="T106" s="107">
        <f t="shared" si="2"/>
        <v>0</v>
      </c>
      <c r="U106" s="106" t="str">
        <f>IF(H106="Rendida ",IF('Resultados Individuales'!T106&lt;49.5%,"Por Mejorar",IF('Resultados Individuales'!T106&lt;64.5%,"Base",IF('Resultados Individuales'!T106&lt;84.5%,"Satisfactorio","Óptimo"))),"No rendida o no válida")</f>
        <v>No rendida o no válida</v>
      </c>
      <c r="V106" s="108"/>
      <c r="W106" s="108"/>
      <c r="X106" s="108"/>
      <c r="Y106" s="108"/>
      <c r="Z106" s="108"/>
    </row>
    <row r="107" ht="15.75" customHeight="1">
      <c r="A107" s="98">
        <v>2.1511227E7</v>
      </c>
      <c r="B107" s="99">
        <v>6.0</v>
      </c>
      <c r="C107" s="83" t="s">
        <v>522</v>
      </c>
      <c r="D107" s="100" t="s">
        <v>273</v>
      </c>
      <c r="E107" s="100" t="s">
        <v>130</v>
      </c>
      <c r="F107" s="100" t="s">
        <v>523</v>
      </c>
      <c r="G107" s="105"/>
      <c r="H107" s="105"/>
      <c r="I107" s="105"/>
      <c r="J107" s="105"/>
      <c r="K107" s="105"/>
      <c r="L107" s="105"/>
      <c r="M107" s="105"/>
      <c r="N107" s="105"/>
      <c r="O107" s="105"/>
      <c r="P107" s="105"/>
      <c r="Q107" s="105"/>
      <c r="R107" s="105"/>
      <c r="S107" s="106">
        <f t="shared" si="3"/>
        <v>0</v>
      </c>
      <c r="T107" s="107">
        <f t="shared" si="2"/>
        <v>0</v>
      </c>
      <c r="U107" s="106" t="str">
        <f>IF(H107="Rendida ",IF('Resultados Individuales'!T107&lt;49.5%,"Por Mejorar",IF('Resultados Individuales'!T107&lt;64.5%,"Base",IF('Resultados Individuales'!T107&lt;84.5%,"Satisfactorio","Óptimo"))),"No rendida o no válida")</f>
        <v>No rendida o no válida</v>
      </c>
      <c r="V107" s="108"/>
      <c r="W107" s="108"/>
      <c r="X107" s="108"/>
      <c r="Y107" s="108"/>
      <c r="Z107" s="108"/>
    </row>
    <row r="108" ht="15.75" customHeight="1">
      <c r="A108" s="82">
        <v>2.1525226E7</v>
      </c>
      <c r="B108" s="83">
        <v>4.0</v>
      </c>
      <c r="C108" s="83" t="s">
        <v>524</v>
      </c>
      <c r="D108" s="84" t="s">
        <v>484</v>
      </c>
      <c r="E108" s="84" t="s">
        <v>525</v>
      </c>
      <c r="F108" s="84" t="s">
        <v>526</v>
      </c>
      <c r="G108" s="85" t="s">
        <v>72</v>
      </c>
      <c r="H108" s="91" t="s">
        <v>79</v>
      </c>
      <c r="I108" s="134">
        <v>45758.0</v>
      </c>
      <c r="J108" s="91"/>
      <c r="K108" s="91">
        <v>3.0</v>
      </c>
      <c r="L108" s="91">
        <v>2.0</v>
      </c>
      <c r="M108" s="91">
        <v>3.0</v>
      </c>
      <c r="N108" s="91">
        <v>3.0</v>
      </c>
      <c r="O108" s="91">
        <v>3.0</v>
      </c>
      <c r="P108" s="91">
        <v>3.0</v>
      </c>
      <c r="Q108" s="91">
        <v>3.0</v>
      </c>
      <c r="R108" s="91">
        <v>4.0</v>
      </c>
      <c r="S108" s="89">
        <f t="shared" si="3"/>
        <v>24</v>
      </c>
      <c r="T108" s="90">
        <f t="shared" si="2"/>
        <v>0.6</v>
      </c>
      <c r="U108" s="89" t="str">
        <f>IF(H108="Rendida ",IF('Resultados Individuales'!T108&lt;49.5%,"Por Mejorar",IF('Resultados Individuales'!T108&lt;64.5%,"Base",IF('Resultados Individuales'!T108&lt;84.5%,"Satisfactorio","Óptimo"))),"No rendida o no válida")</f>
        <v>Base</v>
      </c>
      <c r="V108" s="94" t="s">
        <v>527</v>
      </c>
    </row>
    <row r="109" ht="15.75" customHeight="1">
      <c r="A109" s="82">
        <v>2.1531362E7</v>
      </c>
      <c r="B109" s="83" t="s">
        <v>139</v>
      </c>
      <c r="C109" s="83" t="s">
        <v>528</v>
      </c>
      <c r="D109" s="84" t="s">
        <v>529</v>
      </c>
      <c r="E109" s="84" t="s">
        <v>273</v>
      </c>
      <c r="F109" s="84" t="s">
        <v>530</v>
      </c>
      <c r="G109" s="85" t="s">
        <v>72</v>
      </c>
      <c r="H109" s="82" t="s">
        <v>79</v>
      </c>
      <c r="I109" s="125">
        <v>45758.0</v>
      </c>
      <c r="J109" s="82"/>
      <c r="K109" s="82">
        <v>4.0</v>
      </c>
      <c r="L109" s="82">
        <v>4.0</v>
      </c>
      <c r="M109" s="82">
        <v>4.0</v>
      </c>
      <c r="N109" s="82">
        <v>4.0</v>
      </c>
      <c r="O109" s="82">
        <v>3.0</v>
      </c>
      <c r="P109" s="82">
        <v>3.0</v>
      </c>
      <c r="Q109" s="82">
        <v>2.0</v>
      </c>
      <c r="R109" s="82">
        <v>3.0</v>
      </c>
      <c r="S109" s="89">
        <f t="shared" si="3"/>
        <v>27</v>
      </c>
      <c r="T109" s="90">
        <f t="shared" si="2"/>
        <v>0.675</v>
      </c>
      <c r="U109" s="89" t="str">
        <f>IF(H109="Rendida ",IF('Resultados Individuales'!T109&lt;49.5%,"Por Mejorar",IF('Resultados Individuales'!T109&lt;64.5%,"Base",IF('Resultados Individuales'!T109&lt;84.5%,"Satisfactorio","Óptimo"))),"No rendida o no válida")</f>
        <v>Satisfactorio</v>
      </c>
      <c r="V109" s="94" t="s">
        <v>531</v>
      </c>
    </row>
    <row r="110" ht="15.75" customHeight="1">
      <c r="A110" s="98">
        <v>2.1535309E7</v>
      </c>
      <c r="B110" s="99">
        <v>5.0</v>
      </c>
      <c r="C110" s="83" t="s">
        <v>532</v>
      </c>
      <c r="D110" s="100" t="s">
        <v>533</v>
      </c>
      <c r="E110" s="100" t="s">
        <v>122</v>
      </c>
      <c r="F110" s="100" t="s">
        <v>534</v>
      </c>
      <c r="G110" s="105"/>
      <c r="H110" s="105"/>
      <c r="I110" s="105"/>
      <c r="J110" s="105"/>
      <c r="K110" s="105"/>
      <c r="L110" s="105"/>
      <c r="M110" s="105"/>
      <c r="N110" s="105"/>
      <c r="O110" s="105"/>
      <c r="P110" s="105"/>
      <c r="Q110" s="105"/>
      <c r="R110" s="105"/>
      <c r="S110" s="106">
        <f t="shared" si="3"/>
        <v>0</v>
      </c>
      <c r="T110" s="107">
        <f t="shared" si="2"/>
        <v>0</v>
      </c>
      <c r="U110" s="106" t="str">
        <f>IF(H110="Rendida ",IF('Resultados Individuales'!T110&lt;49.5%,"Por Mejorar",IF('Resultados Individuales'!T110&lt;64.5%,"Base",IF('Resultados Individuales'!T110&lt;84.5%,"Satisfactorio","Óptimo"))),"No rendida o no válida")</f>
        <v>No rendida o no válida</v>
      </c>
      <c r="V110" s="108"/>
      <c r="W110" s="108"/>
      <c r="X110" s="108"/>
      <c r="Y110" s="108"/>
      <c r="Z110" s="108"/>
    </row>
    <row r="111" ht="15.75" customHeight="1">
      <c r="A111" s="98">
        <v>2.1547315E7</v>
      </c>
      <c r="B111" s="99">
        <v>5.0</v>
      </c>
      <c r="C111" s="83" t="s">
        <v>535</v>
      </c>
      <c r="D111" s="100" t="s">
        <v>188</v>
      </c>
      <c r="E111" s="100" t="s">
        <v>536</v>
      </c>
      <c r="F111" s="100" t="s">
        <v>512</v>
      </c>
      <c r="G111" s="105"/>
      <c r="H111" s="105"/>
      <c r="I111" s="105"/>
      <c r="J111" s="105"/>
      <c r="K111" s="105"/>
      <c r="L111" s="105"/>
      <c r="M111" s="105"/>
      <c r="N111" s="105"/>
      <c r="O111" s="105"/>
      <c r="P111" s="105"/>
      <c r="Q111" s="105"/>
      <c r="R111" s="105"/>
      <c r="S111" s="106">
        <f t="shared" si="3"/>
        <v>0</v>
      </c>
      <c r="T111" s="107">
        <f t="shared" si="2"/>
        <v>0</v>
      </c>
      <c r="U111" s="106" t="str">
        <f>IF(H111="Rendida ",IF('Resultados Individuales'!T111&lt;49.5%,"Por Mejorar",IF('Resultados Individuales'!T111&lt;64.5%,"Base",IF('Resultados Individuales'!T111&lt;84.5%,"Satisfactorio","Óptimo"))),"No rendida o no válida")</f>
        <v>No rendida o no válida</v>
      </c>
      <c r="V111" s="108"/>
      <c r="W111" s="108"/>
      <c r="X111" s="108"/>
      <c r="Y111" s="108"/>
      <c r="Z111" s="108"/>
    </row>
    <row r="112" ht="15.75" customHeight="1">
      <c r="A112" s="82">
        <v>2.155003E7</v>
      </c>
      <c r="B112" s="83">
        <v>6.0</v>
      </c>
      <c r="C112" s="83" t="s">
        <v>537</v>
      </c>
      <c r="D112" s="84" t="s">
        <v>538</v>
      </c>
      <c r="E112" s="84" t="s">
        <v>231</v>
      </c>
      <c r="F112" s="84" t="s">
        <v>539</v>
      </c>
      <c r="G112" s="85" t="s">
        <v>72</v>
      </c>
      <c r="H112" s="91" t="s">
        <v>79</v>
      </c>
      <c r="I112" s="134">
        <v>45758.0</v>
      </c>
      <c r="J112" s="91"/>
      <c r="K112" s="91">
        <v>2.0</v>
      </c>
      <c r="L112" s="91">
        <v>3.0</v>
      </c>
      <c r="M112" s="91">
        <v>3.0</v>
      </c>
      <c r="N112" s="91">
        <v>2.0</v>
      </c>
      <c r="O112" s="91">
        <v>3.0</v>
      </c>
      <c r="P112" s="91">
        <v>3.0</v>
      </c>
      <c r="Q112" s="91">
        <v>2.0</v>
      </c>
      <c r="R112" s="91">
        <v>3.0</v>
      </c>
      <c r="S112" s="89">
        <f t="shared" si="3"/>
        <v>21</v>
      </c>
      <c r="T112" s="90">
        <f t="shared" si="2"/>
        <v>0.525</v>
      </c>
      <c r="U112" s="89" t="str">
        <f>IF(H112="Rendida ",IF('Resultados Individuales'!T112&lt;49.5%,"Por Mejorar",IF('Resultados Individuales'!T112&lt;64.5%,"Base",IF('Resultados Individuales'!T112&lt;84.5%,"Satisfactorio","Óptimo"))),"No rendida o no válida")</f>
        <v>Base</v>
      </c>
      <c r="V112" s="94" t="s">
        <v>540</v>
      </c>
    </row>
    <row r="113" ht="15.75" customHeight="1">
      <c r="A113" s="82">
        <v>2.1556331E7</v>
      </c>
      <c r="B113" s="83">
        <v>6.0</v>
      </c>
      <c r="C113" s="83" t="s">
        <v>541</v>
      </c>
      <c r="D113" s="84" t="s">
        <v>171</v>
      </c>
      <c r="E113" s="84" t="s">
        <v>87</v>
      </c>
      <c r="F113" s="84" t="s">
        <v>542</v>
      </c>
      <c r="G113" s="85" t="s">
        <v>72</v>
      </c>
      <c r="H113" s="82" t="s">
        <v>79</v>
      </c>
      <c r="I113" s="125">
        <v>45758.0</v>
      </c>
      <c r="J113" s="82"/>
      <c r="K113" s="82">
        <v>2.0</v>
      </c>
      <c r="L113" s="82">
        <v>3.0</v>
      </c>
      <c r="M113" s="82">
        <v>3.0</v>
      </c>
      <c r="N113" s="82">
        <v>2.0</v>
      </c>
      <c r="O113" s="82">
        <v>2.0</v>
      </c>
      <c r="P113" s="82">
        <v>2.0</v>
      </c>
      <c r="Q113" s="82">
        <v>2.0</v>
      </c>
      <c r="R113" s="82">
        <v>2.0</v>
      </c>
      <c r="S113" s="89">
        <f t="shared" si="3"/>
        <v>18</v>
      </c>
      <c r="T113" s="90">
        <f t="shared" si="2"/>
        <v>0.45</v>
      </c>
      <c r="U113" s="89" t="str">
        <f>IF(H113="Rendida ",IF('Resultados Individuales'!T113&lt;49.5%,"Por Mejorar",IF('Resultados Individuales'!T113&lt;64.5%,"Base",IF('Resultados Individuales'!T113&lt;84.5%,"Satisfactorio","Óptimo"))),"No rendida o no válida")</f>
        <v>Por Mejorar</v>
      </c>
      <c r="V113" s="94" t="s">
        <v>543</v>
      </c>
    </row>
    <row r="114" ht="15.75" customHeight="1">
      <c r="A114" s="82">
        <v>2.1556514E7</v>
      </c>
      <c r="B114" s="83">
        <v>9.0</v>
      </c>
      <c r="C114" s="83" t="s">
        <v>544</v>
      </c>
      <c r="D114" s="84" t="s">
        <v>386</v>
      </c>
      <c r="E114" s="84" t="s">
        <v>445</v>
      </c>
      <c r="F114" s="84" t="s">
        <v>545</v>
      </c>
      <c r="G114" s="85" t="s">
        <v>72</v>
      </c>
      <c r="H114" s="91" t="s">
        <v>79</v>
      </c>
      <c r="I114" s="134">
        <v>45758.0</v>
      </c>
      <c r="J114" s="91"/>
      <c r="K114" s="91">
        <v>4.0</v>
      </c>
      <c r="L114" s="91">
        <v>4.0</v>
      </c>
      <c r="M114" s="91">
        <v>4.0</v>
      </c>
      <c r="N114" s="91">
        <v>4.0</v>
      </c>
      <c r="O114" s="91">
        <v>4.0</v>
      </c>
      <c r="P114" s="91">
        <v>4.0</v>
      </c>
      <c r="Q114" s="91">
        <v>4.0</v>
      </c>
      <c r="R114" s="91">
        <v>4.0</v>
      </c>
      <c r="S114" s="89">
        <f t="shared" si="3"/>
        <v>32</v>
      </c>
      <c r="T114" s="90">
        <f t="shared" si="2"/>
        <v>0.8</v>
      </c>
      <c r="U114" s="89" t="str">
        <f>IF(H114="Rendida ",IF('Resultados Individuales'!T114&lt;49.5%,"Por Mejorar",IF('Resultados Individuales'!T114&lt;64.5%,"Base",IF('Resultados Individuales'!T114&lt;84.5%,"Satisfactorio","Óptimo"))),"No rendida o no válida")</f>
        <v>Satisfactorio</v>
      </c>
      <c r="V114" s="94" t="s">
        <v>546</v>
      </c>
    </row>
    <row r="115" ht="15.75" customHeight="1">
      <c r="A115" s="98">
        <v>2.1564501E7</v>
      </c>
      <c r="B115" s="99">
        <v>0.0</v>
      </c>
      <c r="C115" s="83" t="s">
        <v>547</v>
      </c>
      <c r="D115" s="100" t="s">
        <v>548</v>
      </c>
      <c r="E115" s="100" t="s">
        <v>549</v>
      </c>
      <c r="F115" s="100" t="s">
        <v>550</v>
      </c>
      <c r="G115" s="98"/>
      <c r="H115" s="98"/>
      <c r="I115" s="98"/>
      <c r="J115" s="98"/>
      <c r="K115" s="98"/>
      <c r="L115" s="98"/>
      <c r="M115" s="98"/>
      <c r="N115" s="98"/>
      <c r="O115" s="98"/>
      <c r="P115" s="98"/>
      <c r="Q115" s="98"/>
      <c r="R115" s="98"/>
      <c r="S115" s="106">
        <f t="shared" si="3"/>
        <v>0</v>
      </c>
      <c r="T115" s="107">
        <f t="shared" si="2"/>
        <v>0</v>
      </c>
      <c r="U115" s="106" t="str">
        <f>IF(H115="Rendida ",IF('Resultados Individuales'!T115&lt;49.5%,"Por Mejorar",IF('Resultados Individuales'!T115&lt;64.5%,"Base",IF('Resultados Individuales'!T115&lt;84.5%,"Satisfactorio","Óptimo"))),"No rendida o no válida")</f>
        <v>No rendida o no válida</v>
      </c>
      <c r="V115" s="108"/>
      <c r="W115" s="108"/>
      <c r="X115" s="108"/>
      <c r="Y115" s="108"/>
      <c r="Z115" s="108"/>
    </row>
    <row r="116" ht="15.75" customHeight="1">
      <c r="A116" s="82">
        <v>2.1568726E7</v>
      </c>
      <c r="B116" s="83">
        <v>0.0</v>
      </c>
      <c r="C116" s="83" t="s">
        <v>551</v>
      </c>
      <c r="D116" s="84" t="s">
        <v>552</v>
      </c>
      <c r="E116" s="84" t="s">
        <v>321</v>
      </c>
      <c r="F116" s="84" t="s">
        <v>553</v>
      </c>
      <c r="G116" s="85" t="s">
        <v>72</v>
      </c>
      <c r="H116" s="91" t="s">
        <v>73</v>
      </c>
      <c r="I116" s="91" t="s">
        <v>109</v>
      </c>
      <c r="J116" s="91" t="s">
        <v>253</v>
      </c>
      <c r="K116" s="91"/>
      <c r="L116" s="91"/>
      <c r="M116" s="91"/>
      <c r="N116" s="91"/>
      <c r="O116" s="91"/>
      <c r="P116" s="91"/>
      <c r="Q116" s="91"/>
      <c r="R116" s="91"/>
      <c r="S116" s="89">
        <f t="shared" si="3"/>
        <v>0</v>
      </c>
      <c r="T116" s="90">
        <f t="shared" si="2"/>
        <v>0</v>
      </c>
      <c r="U116" s="89" t="str">
        <f>IF(H116="Rendida ",IF('Resultados Individuales'!T116&lt;49.5%,"Por Mejorar",IF('Resultados Individuales'!T116&lt;64.5%,"Base",IF('Resultados Individuales'!T116&lt;84.5%,"Satisfactorio","Óptimo"))),"No rendida o no válida")</f>
        <v>No rendida o no válida</v>
      </c>
    </row>
    <row r="117" ht="15.75" customHeight="1">
      <c r="A117" s="82">
        <v>2.1573693E7</v>
      </c>
      <c r="B117" s="83">
        <v>8.0</v>
      </c>
      <c r="C117" s="83" t="s">
        <v>554</v>
      </c>
      <c r="D117" s="84" t="s">
        <v>125</v>
      </c>
      <c r="E117" s="84" t="s">
        <v>555</v>
      </c>
      <c r="F117" s="84" t="s">
        <v>556</v>
      </c>
      <c r="G117" s="85" t="s">
        <v>72</v>
      </c>
      <c r="H117" s="82" t="s">
        <v>79</v>
      </c>
      <c r="I117" s="125">
        <v>45758.0</v>
      </c>
      <c r="J117" s="82"/>
      <c r="K117" s="82">
        <v>3.0</v>
      </c>
      <c r="L117" s="82">
        <v>3.0</v>
      </c>
      <c r="M117" s="82">
        <v>3.0</v>
      </c>
      <c r="N117" s="82">
        <v>2.0</v>
      </c>
      <c r="O117" s="82">
        <v>3.0</v>
      </c>
      <c r="P117" s="82">
        <v>3.0</v>
      </c>
      <c r="Q117" s="82">
        <v>3.0</v>
      </c>
      <c r="R117" s="82">
        <v>2.0</v>
      </c>
      <c r="S117" s="89">
        <f t="shared" si="3"/>
        <v>22</v>
      </c>
      <c r="T117" s="90">
        <f t="shared" si="2"/>
        <v>0.55</v>
      </c>
      <c r="U117" s="89" t="str">
        <f>IF(H117="Rendida ",IF('Resultados Individuales'!T117&lt;49.5%,"Por Mejorar",IF('Resultados Individuales'!T117&lt;64.5%,"Base",IF('Resultados Individuales'!T117&lt;84.5%,"Satisfactorio","Óptimo"))),"No rendida o no válida")</f>
        <v>Base</v>
      </c>
      <c r="V117" s="94" t="s">
        <v>557</v>
      </c>
    </row>
    <row r="118" ht="15.75" customHeight="1">
      <c r="A118" s="82">
        <v>2.1585278E7</v>
      </c>
      <c r="B118" s="83">
        <v>4.0</v>
      </c>
      <c r="C118" s="83" t="s">
        <v>558</v>
      </c>
      <c r="D118" s="84" t="s">
        <v>559</v>
      </c>
      <c r="E118" s="84" t="s">
        <v>560</v>
      </c>
      <c r="F118" s="84" t="s">
        <v>561</v>
      </c>
      <c r="G118" s="85" t="s">
        <v>72</v>
      </c>
      <c r="H118" s="91" t="s">
        <v>79</v>
      </c>
      <c r="I118" s="134">
        <v>45758.0</v>
      </c>
      <c r="J118" s="91"/>
      <c r="K118" s="91">
        <v>1.0</v>
      </c>
      <c r="L118" s="91">
        <v>2.0</v>
      </c>
      <c r="M118" s="91">
        <v>2.0</v>
      </c>
      <c r="N118" s="91">
        <v>1.0</v>
      </c>
      <c r="O118" s="91">
        <v>2.0</v>
      </c>
      <c r="P118" s="91">
        <v>2.0</v>
      </c>
      <c r="Q118" s="91">
        <v>2.0</v>
      </c>
      <c r="R118" s="91">
        <v>3.0</v>
      </c>
      <c r="S118" s="89">
        <f t="shared" si="3"/>
        <v>15</v>
      </c>
      <c r="T118" s="90">
        <f t="shared" si="2"/>
        <v>0.375</v>
      </c>
      <c r="U118" s="89" t="str">
        <f>IF(H118="Rendida ",IF('Resultados Individuales'!T118&lt;49.5%,"Por Mejorar",IF('Resultados Individuales'!T118&lt;64.5%,"Base",IF('Resultados Individuales'!T118&lt;84.5%,"Satisfactorio","Óptimo"))),"No rendida o no válida")</f>
        <v>Por Mejorar</v>
      </c>
      <c r="V118" s="138" t="s">
        <v>562</v>
      </c>
    </row>
    <row r="119" ht="15.75" customHeight="1">
      <c r="A119" s="82">
        <v>2.1586014E7</v>
      </c>
      <c r="B119" s="83">
        <v>0.0</v>
      </c>
      <c r="C119" s="83" t="s">
        <v>563</v>
      </c>
      <c r="D119" s="84" t="s">
        <v>88</v>
      </c>
      <c r="E119" s="84" t="s">
        <v>564</v>
      </c>
      <c r="F119" s="84" t="s">
        <v>565</v>
      </c>
      <c r="G119" s="85" t="s">
        <v>72</v>
      </c>
      <c r="H119" s="82" t="s">
        <v>79</v>
      </c>
      <c r="I119" s="125">
        <v>45758.0</v>
      </c>
      <c r="J119" s="82"/>
      <c r="K119" s="82">
        <v>4.0</v>
      </c>
      <c r="L119" s="82">
        <v>3.0</v>
      </c>
      <c r="M119" s="82">
        <v>4.0</v>
      </c>
      <c r="N119" s="82">
        <v>4.0</v>
      </c>
      <c r="O119" s="82">
        <v>3.0</v>
      </c>
      <c r="P119" s="82">
        <v>3.0</v>
      </c>
      <c r="Q119" s="82">
        <v>2.0</v>
      </c>
      <c r="R119" s="82">
        <v>2.0</v>
      </c>
      <c r="S119" s="89">
        <f t="shared" si="3"/>
        <v>25</v>
      </c>
      <c r="T119" s="90">
        <f t="shared" si="2"/>
        <v>0.625</v>
      </c>
      <c r="U119" s="89" t="str">
        <f>IF(H119="Rendida ",IF('Resultados Individuales'!T119&lt;49.5%,"Por Mejorar",IF('Resultados Individuales'!T119&lt;64.5%,"Base",IF('Resultados Individuales'!T119&lt;84.5%,"Satisfactorio","Óptimo"))),"No rendida o no válida")</f>
        <v>Base</v>
      </c>
      <c r="V119" s="126" t="s">
        <v>566</v>
      </c>
    </row>
    <row r="120" ht="15.75" customHeight="1">
      <c r="A120" s="98">
        <v>2.1588549E7</v>
      </c>
      <c r="B120" s="99">
        <v>6.0</v>
      </c>
      <c r="C120" s="83" t="s">
        <v>567</v>
      </c>
      <c r="D120" s="100" t="s">
        <v>568</v>
      </c>
      <c r="E120" s="100" t="s">
        <v>569</v>
      </c>
      <c r="F120" s="100" t="s">
        <v>570</v>
      </c>
      <c r="G120" s="105"/>
      <c r="H120" s="105"/>
      <c r="I120" s="105"/>
      <c r="J120" s="105"/>
      <c r="K120" s="105"/>
      <c r="L120" s="105"/>
      <c r="M120" s="105"/>
      <c r="N120" s="105"/>
      <c r="O120" s="105"/>
      <c r="P120" s="105"/>
      <c r="Q120" s="105"/>
      <c r="R120" s="105"/>
      <c r="S120" s="106">
        <f t="shared" si="3"/>
        <v>0</v>
      </c>
      <c r="T120" s="107">
        <f t="shared" si="2"/>
        <v>0</v>
      </c>
      <c r="U120" s="106" t="str">
        <f>IF(H120="Rendida ",IF('Resultados Individuales'!T120&lt;49.5%,"Por Mejorar",IF('Resultados Individuales'!T120&lt;64.5%,"Base",IF('Resultados Individuales'!T120&lt;84.5%,"Satisfactorio","Óptimo"))),"No rendida o no válida")</f>
        <v>No rendida o no válida</v>
      </c>
      <c r="V120" s="108"/>
      <c r="W120" s="108"/>
      <c r="X120" s="108"/>
      <c r="Y120" s="108"/>
      <c r="Z120" s="108"/>
    </row>
    <row r="121" ht="15.75" customHeight="1">
      <c r="A121" s="82">
        <v>2.158896E7</v>
      </c>
      <c r="B121" s="83">
        <v>2.0</v>
      </c>
      <c r="C121" s="83" t="s">
        <v>571</v>
      </c>
      <c r="D121" s="84" t="s">
        <v>572</v>
      </c>
      <c r="E121" s="84" t="s">
        <v>573</v>
      </c>
      <c r="F121" s="84" t="s">
        <v>574</v>
      </c>
      <c r="G121" s="85" t="s">
        <v>72</v>
      </c>
      <c r="H121" s="82" t="s">
        <v>79</v>
      </c>
      <c r="I121" s="125">
        <v>45758.0</v>
      </c>
      <c r="J121" s="82"/>
      <c r="K121" s="82">
        <v>2.0</v>
      </c>
      <c r="L121" s="82">
        <v>3.0</v>
      </c>
      <c r="M121" s="82">
        <v>3.0</v>
      </c>
      <c r="N121" s="82">
        <v>2.0</v>
      </c>
      <c r="O121" s="82">
        <v>3.0</v>
      </c>
      <c r="P121" s="82">
        <v>3.0</v>
      </c>
      <c r="Q121" s="82">
        <v>3.0</v>
      </c>
      <c r="R121" s="82">
        <v>2.0</v>
      </c>
      <c r="S121" s="89">
        <f t="shared" si="3"/>
        <v>21</v>
      </c>
      <c r="T121" s="90">
        <f t="shared" si="2"/>
        <v>0.525</v>
      </c>
      <c r="U121" s="89" t="str">
        <f>IF(H121="Rendida ",IF('Resultados Individuales'!T121&lt;49.5%,"Por Mejorar",IF('Resultados Individuales'!T121&lt;64.5%,"Base",IF('Resultados Individuales'!T121&lt;84.5%,"Satisfactorio","Óptimo"))),"No rendida o no válida")</f>
        <v>Base</v>
      </c>
      <c r="V121" s="94" t="s">
        <v>575</v>
      </c>
    </row>
    <row r="122" ht="15.75" customHeight="1">
      <c r="A122" s="82">
        <v>2.1591699E7</v>
      </c>
      <c r="B122" s="83">
        <v>5.0</v>
      </c>
      <c r="C122" s="83" t="s">
        <v>576</v>
      </c>
      <c r="D122" s="84" t="s">
        <v>122</v>
      </c>
      <c r="E122" s="84" t="s">
        <v>577</v>
      </c>
      <c r="F122" s="84" t="s">
        <v>578</v>
      </c>
      <c r="G122" s="85" t="s">
        <v>72</v>
      </c>
      <c r="H122" s="82" t="s">
        <v>79</v>
      </c>
      <c r="I122" s="125">
        <v>45758.0</v>
      </c>
      <c r="J122" s="82"/>
      <c r="K122" s="82">
        <v>3.0</v>
      </c>
      <c r="L122" s="82">
        <v>3.0</v>
      </c>
      <c r="M122" s="82">
        <v>4.0</v>
      </c>
      <c r="N122" s="82">
        <v>3.0</v>
      </c>
      <c r="O122" s="82">
        <v>2.0</v>
      </c>
      <c r="P122" s="82">
        <v>2.0</v>
      </c>
      <c r="Q122" s="82">
        <v>1.0</v>
      </c>
      <c r="R122" s="82">
        <v>3.0</v>
      </c>
      <c r="S122" s="89">
        <f t="shared" si="3"/>
        <v>21</v>
      </c>
      <c r="T122" s="90">
        <f t="shared" si="2"/>
        <v>0.525</v>
      </c>
      <c r="U122" s="89" t="str">
        <f>IF(H122="Rendida ",IF('Resultados Individuales'!T122&lt;49.5%,"Por Mejorar",IF('Resultados Individuales'!T122&lt;64.5%,"Base",IF('Resultados Individuales'!T122&lt;84.5%,"Satisfactorio","Óptimo"))),"No rendida o no válida")</f>
        <v>Base</v>
      </c>
      <c r="V122" s="94" t="s">
        <v>579</v>
      </c>
    </row>
    <row r="123" ht="15.75" customHeight="1">
      <c r="A123" s="82">
        <v>2.1598009E7</v>
      </c>
      <c r="B123" s="83" t="s">
        <v>139</v>
      </c>
      <c r="C123" s="83" t="s">
        <v>580</v>
      </c>
      <c r="D123" s="84" t="s">
        <v>581</v>
      </c>
      <c r="E123" s="84" t="s">
        <v>88</v>
      </c>
      <c r="F123" s="84" t="s">
        <v>582</v>
      </c>
      <c r="G123" s="85" t="s">
        <v>72</v>
      </c>
      <c r="H123" s="82" t="s">
        <v>79</v>
      </c>
      <c r="I123" s="125">
        <v>45758.0</v>
      </c>
      <c r="J123" s="82"/>
      <c r="K123" s="82">
        <v>3.0</v>
      </c>
      <c r="L123" s="82">
        <v>3.0</v>
      </c>
      <c r="M123" s="82">
        <v>4.0</v>
      </c>
      <c r="N123" s="82">
        <v>3.0</v>
      </c>
      <c r="O123" s="82">
        <v>2.0</v>
      </c>
      <c r="P123" s="82">
        <v>2.0</v>
      </c>
      <c r="Q123" s="82">
        <v>1.0</v>
      </c>
      <c r="R123" s="82">
        <v>2.0</v>
      </c>
      <c r="S123" s="89">
        <f t="shared" si="3"/>
        <v>20</v>
      </c>
      <c r="T123" s="90">
        <f t="shared" si="2"/>
        <v>0.5</v>
      </c>
      <c r="U123" s="89" t="str">
        <f>IF(H123="Rendida ",IF('Resultados Individuales'!T123&lt;49.5%,"Por Mejorar",IF('Resultados Individuales'!T123&lt;64.5%,"Base",IF('Resultados Individuales'!T123&lt;84.5%,"Satisfactorio","Óptimo"))),"No rendida o no válida")</f>
        <v>Base</v>
      </c>
      <c r="V123" s="126" t="s">
        <v>583</v>
      </c>
    </row>
    <row r="124" ht="15.75" customHeight="1">
      <c r="A124" s="82">
        <v>2.1598165E7</v>
      </c>
      <c r="B124" s="83">
        <v>7.0</v>
      </c>
      <c r="C124" s="83" t="s">
        <v>584</v>
      </c>
      <c r="D124" s="84" t="s">
        <v>585</v>
      </c>
      <c r="E124" s="84" t="s">
        <v>126</v>
      </c>
      <c r="F124" s="84" t="s">
        <v>586</v>
      </c>
      <c r="G124" s="85" t="s">
        <v>72</v>
      </c>
      <c r="H124" s="82" t="s">
        <v>79</v>
      </c>
      <c r="I124" s="125">
        <v>45758.0</v>
      </c>
      <c r="J124" s="82"/>
      <c r="K124" s="82">
        <v>2.0</v>
      </c>
      <c r="L124" s="82">
        <v>2.0</v>
      </c>
      <c r="M124" s="82">
        <v>3.0</v>
      </c>
      <c r="N124" s="82">
        <v>2.0</v>
      </c>
      <c r="O124" s="82">
        <v>4.0</v>
      </c>
      <c r="P124" s="82">
        <v>4.0</v>
      </c>
      <c r="Q124" s="82">
        <v>4.0</v>
      </c>
      <c r="R124" s="82">
        <v>3.0</v>
      </c>
      <c r="S124" s="89">
        <f t="shared" si="3"/>
        <v>24</v>
      </c>
      <c r="T124" s="90">
        <f t="shared" si="2"/>
        <v>0.6</v>
      </c>
      <c r="U124" s="89" t="str">
        <f>IF(H124="Rendida ",IF('Resultados Individuales'!T124&lt;49.5%,"Por Mejorar",IF('Resultados Individuales'!T124&lt;64.5%,"Base",IF('Resultados Individuales'!T124&lt;84.5%,"Satisfactorio","Óptimo"))),"No rendida o no válida")</f>
        <v>Base</v>
      </c>
      <c r="V124" s="126" t="s">
        <v>587</v>
      </c>
    </row>
    <row r="125" ht="15.75" customHeight="1">
      <c r="A125" s="82">
        <v>2.1599408E7</v>
      </c>
      <c r="B125" s="83">
        <v>2.0</v>
      </c>
      <c r="C125" s="83" t="s">
        <v>588</v>
      </c>
      <c r="D125" s="84" t="s">
        <v>589</v>
      </c>
      <c r="E125" s="84" t="s">
        <v>221</v>
      </c>
      <c r="F125" s="84" t="s">
        <v>590</v>
      </c>
      <c r="G125" s="85" t="s">
        <v>72</v>
      </c>
      <c r="H125" s="82" t="s">
        <v>79</v>
      </c>
      <c r="I125" s="125">
        <v>45758.0</v>
      </c>
      <c r="J125" s="82"/>
      <c r="K125" s="82">
        <v>4.0</v>
      </c>
      <c r="L125" s="82">
        <v>4.0</v>
      </c>
      <c r="M125" s="82">
        <v>4.0</v>
      </c>
      <c r="N125" s="82">
        <v>4.0</v>
      </c>
      <c r="O125" s="82">
        <v>2.0</v>
      </c>
      <c r="P125" s="82">
        <v>2.0</v>
      </c>
      <c r="Q125" s="82">
        <v>2.0</v>
      </c>
      <c r="R125" s="82">
        <v>3.0</v>
      </c>
      <c r="S125" s="89">
        <f t="shared" si="3"/>
        <v>25</v>
      </c>
      <c r="T125" s="90">
        <f t="shared" si="2"/>
        <v>0.625</v>
      </c>
      <c r="U125" s="89" t="str">
        <f>IF(H125="Rendida ",IF('Resultados Individuales'!T125&lt;49.5%,"Por Mejorar",IF('Resultados Individuales'!T125&lt;64.5%,"Base",IF('Resultados Individuales'!T125&lt;84.5%,"Satisfactorio","Óptimo"))),"No rendida o no válida")</f>
        <v>Base</v>
      </c>
      <c r="V125" s="94" t="s">
        <v>591</v>
      </c>
    </row>
    <row r="126" ht="15.75" customHeight="1">
      <c r="A126" s="82">
        <v>2.1602654E7</v>
      </c>
      <c r="B126" s="83">
        <v>3.0</v>
      </c>
      <c r="C126" s="83" t="s">
        <v>592</v>
      </c>
      <c r="D126" s="84" t="s">
        <v>197</v>
      </c>
      <c r="E126" s="84" t="s">
        <v>156</v>
      </c>
      <c r="F126" s="84" t="s">
        <v>593</v>
      </c>
      <c r="G126" s="85" t="s">
        <v>72</v>
      </c>
      <c r="H126" s="82" t="s">
        <v>79</v>
      </c>
      <c r="I126" s="125">
        <v>45758.0</v>
      </c>
      <c r="J126" s="82"/>
      <c r="K126" s="82">
        <v>4.0</v>
      </c>
      <c r="L126" s="82">
        <v>4.0</v>
      </c>
      <c r="M126" s="82">
        <v>4.0</v>
      </c>
      <c r="N126" s="82">
        <v>4.0</v>
      </c>
      <c r="O126" s="82">
        <v>2.0</v>
      </c>
      <c r="P126" s="82">
        <v>2.0</v>
      </c>
      <c r="Q126" s="82">
        <v>2.0</v>
      </c>
      <c r="R126" s="82">
        <v>3.0</v>
      </c>
      <c r="S126" s="89">
        <f t="shared" si="3"/>
        <v>25</v>
      </c>
      <c r="T126" s="90">
        <f t="shared" si="2"/>
        <v>0.625</v>
      </c>
      <c r="U126" s="89" t="str">
        <f>IF(H126="Rendida ",IF('Resultados Individuales'!T126&lt;49.5%,"Por Mejorar",IF('Resultados Individuales'!T126&lt;64.5%,"Base",IF('Resultados Individuales'!T126&lt;84.5%,"Satisfactorio","Óptimo"))),"No rendida o no válida")</f>
        <v>Base</v>
      </c>
      <c r="V126" s="94" t="s">
        <v>594</v>
      </c>
    </row>
    <row r="127" ht="15.75" customHeight="1">
      <c r="A127" s="82">
        <v>2.1607061E7</v>
      </c>
      <c r="B127" s="83">
        <v>5.0</v>
      </c>
      <c r="C127" s="83" t="s">
        <v>595</v>
      </c>
      <c r="D127" s="84" t="s">
        <v>596</v>
      </c>
      <c r="E127" s="84" t="s">
        <v>597</v>
      </c>
      <c r="F127" s="84" t="s">
        <v>598</v>
      </c>
      <c r="G127" s="85" t="s">
        <v>72</v>
      </c>
      <c r="H127" s="82" t="s">
        <v>79</v>
      </c>
      <c r="I127" s="125">
        <v>45842.0</v>
      </c>
      <c r="J127" s="82"/>
      <c r="K127" s="82">
        <v>2.0</v>
      </c>
      <c r="L127" s="82">
        <v>3.0</v>
      </c>
      <c r="M127" s="82">
        <v>3.0</v>
      </c>
      <c r="N127" s="82">
        <v>2.0</v>
      </c>
      <c r="O127" s="82">
        <v>2.0</v>
      </c>
      <c r="P127" s="82">
        <v>3.0</v>
      </c>
      <c r="Q127" s="82">
        <v>3.0</v>
      </c>
      <c r="R127" s="82">
        <v>2.0</v>
      </c>
      <c r="S127" s="89">
        <f t="shared" si="3"/>
        <v>20</v>
      </c>
      <c r="T127" s="90">
        <f t="shared" si="2"/>
        <v>0.5</v>
      </c>
      <c r="U127" s="89" t="str">
        <f>IF(H127="Rendida ",IF('Resultados Individuales'!T127&lt;49.5%,"Por Mejorar",IF('Resultados Individuales'!T127&lt;64.5%,"Base",IF('Resultados Individuales'!T127&lt;84.5%,"Satisfactorio","Óptimo"))),"No rendida o no válida")</f>
        <v>Base</v>
      </c>
      <c r="V127" s="1" t="s">
        <v>599</v>
      </c>
    </row>
    <row r="128" ht="15.75" customHeight="1">
      <c r="A128" s="82">
        <v>2.1614098E7</v>
      </c>
      <c r="B128" s="83">
        <v>2.0</v>
      </c>
      <c r="C128" s="83" t="s">
        <v>600</v>
      </c>
      <c r="D128" s="84" t="s">
        <v>601</v>
      </c>
      <c r="E128" s="84" t="s">
        <v>340</v>
      </c>
      <c r="F128" s="84" t="s">
        <v>602</v>
      </c>
      <c r="G128" s="85" t="s">
        <v>72</v>
      </c>
      <c r="H128" s="82" t="s">
        <v>79</v>
      </c>
      <c r="I128" s="125">
        <v>45758.0</v>
      </c>
      <c r="J128" s="82"/>
      <c r="K128" s="82">
        <v>3.0</v>
      </c>
      <c r="L128" s="82">
        <v>3.0</v>
      </c>
      <c r="M128" s="82">
        <v>2.0</v>
      </c>
      <c r="N128" s="82">
        <v>3.0</v>
      </c>
      <c r="O128" s="82">
        <v>2.0</v>
      </c>
      <c r="P128" s="82">
        <v>2.0</v>
      </c>
      <c r="Q128" s="82">
        <v>2.0</v>
      </c>
      <c r="R128" s="82">
        <v>1.0</v>
      </c>
      <c r="S128" s="89">
        <f t="shared" si="3"/>
        <v>18</v>
      </c>
      <c r="T128" s="90">
        <f t="shared" si="2"/>
        <v>0.45</v>
      </c>
      <c r="U128" s="89" t="str">
        <f>IF(H128="Rendida ",IF('Resultados Individuales'!T128&lt;49.5%,"Por Mejorar",IF('Resultados Individuales'!T128&lt;64.5%,"Base",IF('Resultados Individuales'!T128&lt;84.5%,"Satisfactorio","Óptimo"))),"No rendida o no válida")</f>
        <v>Por Mejorar</v>
      </c>
      <c r="V128" s="1" t="s">
        <v>603</v>
      </c>
    </row>
    <row r="129" ht="15.75" customHeight="1">
      <c r="A129" s="82">
        <v>2.1614793E7</v>
      </c>
      <c r="B129" s="83">
        <v>6.0</v>
      </c>
      <c r="C129" s="83" t="s">
        <v>604</v>
      </c>
      <c r="D129" s="84" t="s">
        <v>273</v>
      </c>
      <c r="E129" s="84" t="s">
        <v>129</v>
      </c>
      <c r="F129" s="84" t="s">
        <v>605</v>
      </c>
      <c r="G129" s="85" t="s">
        <v>72</v>
      </c>
      <c r="H129" s="82" t="s">
        <v>79</v>
      </c>
      <c r="I129" s="125">
        <v>45758.0</v>
      </c>
      <c r="J129" s="82"/>
      <c r="K129" s="82">
        <v>4.0</v>
      </c>
      <c r="L129" s="82">
        <v>4.0</v>
      </c>
      <c r="M129" s="82">
        <v>4.0</v>
      </c>
      <c r="N129" s="82">
        <v>3.0</v>
      </c>
      <c r="O129" s="82">
        <v>2.0</v>
      </c>
      <c r="P129" s="82">
        <v>2.0</v>
      </c>
      <c r="Q129" s="82">
        <v>2.0</v>
      </c>
      <c r="R129" s="82">
        <v>3.0</v>
      </c>
      <c r="S129" s="89">
        <f t="shared" si="3"/>
        <v>24</v>
      </c>
      <c r="T129" s="90">
        <f t="shared" si="2"/>
        <v>0.6</v>
      </c>
      <c r="U129" s="89" t="str">
        <f>IF(H129="Rendida ",IF('Resultados Individuales'!T129&lt;49.5%,"Por Mejorar",IF('Resultados Individuales'!T129&lt;64.5%,"Base",IF('Resultados Individuales'!T129&lt;84.5%,"Satisfactorio","Óptimo"))),"No rendida o no válida")</f>
        <v>Base</v>
      </c>
      <c r="V129" s="1" t="s">
        <v>606</v>
      </c>
    </row>
    <row r="130" ht="15.75" customHeight="1">
      <c r="A130" s="98">
        <v>2.1615229E7</v>
      </c>
      <c r="B130" s="99">
        <v>8.0</v>
      </c>
      <c r="C130" s="83" t="s">
        <v>607</v>
      </c>
      <c r="D130" s="100" t="s">
        <v>608</v>
      </c>
      <c r="E130" s="100" t="s">
        <v>609</v>
      </c>
      <c r="F130" s="100" t="s">
        <v>610</v>
      </c>
      <c r="G130" s="98"/>
      <c r="H130" s="98"/>
      <c r="I130" s="98"/>
      <c r="J130" s="98"/>
      <c r="K130" s="98"/>
      <c r="L130" s="98"/>
      <c r="M130" s="98"/>
      <c r="N130" s="98"/>
      <c r="O130" s="98"/>
      <c r="P130" s="98"/>
      <c r="Q130" s="98"/>
      <c r="R130" s="98"/>
      <c r="S130" s="106">
        <f t="shared" si="3"/>
        <v>0</v>
      </c>
      <c r="T130" s="107">
        <f t="shared" si="2"/>
        <v>0</v>
      </c>
      <c r="U130" s="106" t="str">
        <f>IF(H130="Rendida ",IF('Resultados Individuales'!T130&lt;49.5%,"Por Mejorar",IF('Resultados Individuales'!T130&lt;64.5%,"Base",IF('Resultados Individuales'!T130&lt;84.5%,"Satisfactorio","Óptimo"))),"No rendida o no válida")</f>
        <v>No rendida o no válida</v>
      </c>
      <c r="V130" s="108"/>
      <c r="W130" s="108"/>
      <c r="X130" s="108"/>
      <c r="Y130" s="108"/>
      <c r="Z130" s="108"/>
    </row>
    <row r="131" ht="15.75" customHeight="1">
      <c r="A131" s="98">
        <v>2.1619039E7</v>
      </c>
      <c r="B131" s="99">
        <v>4.0</v>
      </c>
      <c r="C131" s="83" t="s">
        <v>611</v>
      </c>
      <c r="D131" s="100" t="s">
        <v>612</v>
      </c>
      <c r="E131" s="100" t="s">
        <v>613</v>
      </c>
      <c r="F131" s="100" t="s">
        <v>614</v>
      </c>
      <c r="G131" s="98"/>
      <c r="H131" s="98"/>
      <c r="I131" s="98"/>
      <c r="J131" s="98"/>
      <c r="K131" s="98"/>
      <c r="L131" s="98"/>
      <c r="M131" s="98"/>
      <c r="N131" s="98"/>
      <c r="O131" s="98"/>
      <c r="P131" s="98"/>
      <c r="Q131" s="98"/>
      <c r="R131" s="98"/>
      <c r="S131" s="106">
        <f t="shared" si="3"/>
        <v>0</v>
      </c>
      <c r="T131" s="107">
        <f t="shared" si="2"/>
        <v>0</v>
      </c>
      <c r="U131" s="106" t="str">
        <f>IF(H131="Rendida ",IF('Resultados Individuales'!T131&lt;49.5%,"Por Mejorar",IF('Resultados Individuales'!T131&lt;64.5%,"Base",IF('Resultados Individuales'!T131&lt;84.5%,"Satisfactorio","Óptimo"))),"No rendida o no válida")</f>
        <v>No rendida o no válida</v>
      </c>
      <c r="V131" s="108"/>
      <c r="W131" s="108"/>
      <c r="X131" s="108"/>
      <c r="Y131" s="108"/>
      <c r="Z131" s="108"/>
    </row>
    <row r="132" ht="15.75" customHeight="1">
      <c r="A132" s="98">
        <v>2.1619436E7</v>
      </c>
      <c r="B132" s="99">
        <v>5.0</v>
      </c>
      <c r="C132" s="83" t="s">
        <v>615</v>
      </c>
      <c r="D132" s="100" t="s">
        <v>616</v>
      </c>
      <c r="E132" s="100" t="s">
        <v>568</v>
      </c>
      <c r="F132" s="100" t="s">
        <v>617</v>
      </c>
      <c r="G132" s="98"/>
      <c r="H132" s="98"/>
      <c r="I132" s="98"/>
      <c r="J132" s="98"/>
      <c r="K132" s="98"/>
      <c r="L132" s="98"/>
      <c r="M132" s="98"/>
      <c r="N132" s="98"/>
      <c r="O132" s="98"/>
      <c r="P132" s="98"/>
      <c r="Q132" s="98"/>
      <c r="R132" s="98"/>
      <c r="S132" s="106">
        <f t="shared" si="3"/>
        <v>0</v>
      </c>
      <c r="T132" s="107">
        <f t="shared" si="2"/>
        <v>0</v>
      </c>
      <c r="U132" s="106" t="str">
        <f>IF(H132="Rendida ",IF('Resultados Individuales'!T132&lt;49.5%,"Por Mejorar",IF('Resultados Individuales'!T132&lt;64.5%,"Base",IF('Resultados Individuales'!T132&lt;84.5%,"Satisfactorio","Óptimo"))),"No rendida o no válida")</f>
        <v>No rendida o no válida</v>
      </c>
      <c r="V132" s="108"/>
      <c r="W132" s="108"/>
      <c r="X132" s="108"/>
      <c r="Y132" s="108"/>
      <c r="Z132" s="108"/>
    </row>
    <row r="133" ht="15.75" customHeight="1">
      <c r="A133" s="82">
        <v>2.1622758E7</v>
      </c>
      <c r="B133" s="83">
        <v>1.0</v>
      </c>
      <c r="C133" s="83" t="s">
        <v>618</v>
      </c>
      <c r="D133" s="84" t="s">
        <v>619</v>
      </c>
      <c r="E133" s="84" t="s">
        <v>620</v>
      </c>
      <c r="F133" s="84" t="s">
        <v>621</v>
      </c>
      <c r="G133" s="85" t="s">
        <v>72</v>
      </c>
      <c r="H133" s="82" t="s">
        <v>79</v>
      </c>
      <c r="I133" s="125">
        <v>45758.0</v>
      </c>
      <c r="J133" s="82"/>
      <c r="K133" s="82">
        <v>4.0</v>
      </c>
      <c r="L133" s="82">
        <v>4.0</v>
      </c>
      <c r="M133" s="82">
        <v>4.0</v>
      </c>
      <c r="N133" s="82">
        <v>4.0</v>
      </c>
      <c r="O133" s="82">
        <v>2.0</v>
      </c>
      <c r="P133" s="82">
        <v>2.0</v>
      </c>
      <c r="Q133" s="82">
        <v>2.0</v>
      </c>
      <c r="R133" s="82">
        <v>3.0</v>
      </c>
      <c r="S133" s="89">
        <f t="shared" si="3"/>
        <v>25</v>
      </c>
      <c r="T133" s="90">
        <f t="shared" si="2"/>
        <v>0.625</v>
      </c>
      <c r="U133" s="89" t="str">
        <f>IF(H133="Rendida ",IF('Resultados Individuales'!T133&lt;49.5%,"Por Mejorar",IF('Resultados Individuales'!T133&lt;64.5%,"Base",IF('Resultados Individuales'!T133&lt;84.5%,"Satisfactorio","Óptimo"))),"No rendida o no válida")</f>
        <v>Base</v>
      </c>
      <c r="V133" s="94" t="s">
        <v>622</v>
      </c>
    </row>
    <row r="134" ht="15.75" customHeight="1">
      <c r="A134" s="82">
        <v>2.1623609E7</v>
      </c>
      <c r="B134" s="83">
        <v>2.0</v>
      </c>
      <c r="C134" s="83" t="s">
        <v>623</v>
      </c>
      <c r="D134" s="84" t="s">
        <v>624</v>
      </c>
      <c r="E134" s="84" t="s">
        <v>625</v>
      </c>
      <c r="F134" s="84" t="s">
        <v>626</v>
      </c>
      <c r="G134" s="85" t="s">
        <v>72</v>
      </c>
      <c r="H134" s="82" t="s">
        <v>79</v>
      </c>
      <c r="I134" s="125">
        <v>45758.0</v>
      </c>
      <c r="J134" s="82"/>
      <c r="K134" s="82">
        <v>3.0</v>
      </c>
      <c r="L134" s="82">
        <v>3.0</v>
      </c>
      <c r="M134" s="82">
        <v>1.0</v>
      </c>
      <c r="N134" s="82">
        <v>3.0</v>
      </c>
      <c r="O134" s="82">
        <v>2.0</v>
      </c>
      <c r="P134" s="82">
        <v>3.0</v>
      </c>
      <c r="Q134" s="82">
        <v>2.0</v>
      </c>
      <c r="R134" s="82">
        <v>2.0</v>
      </c>
      <c r="S134" s="89">
        <f t="shared" si="3"/>
        <v>19</v>
      </c>
      <c r="T134" s="90">
        <f t="shared" si="2"/>
        <v>0.475</v>
      </c>
      <c r="U134" s="89" t="str">
        <f>IF(H134="Rendida ",IF('Resultados Individuales'!T134&lt;49.5%,"Por Mejorar",IF('Resultados Individuales'!T134&lt;64.5%,"Base",IF('Resultados Individuales'!T134&lt;84.5%,"Satisfactorio","Óptimo"))),"No rendida o no válida")</f>
        <v>Por Mejorar</v>
      </c>
      <c r="V134" s="1" t="s">
        <v>627</v>
      </c>
    </row>
    <row r="135" ht="15.75" customHeight="1">
      <c r="A135" s="82">
        <v>2.1627969E7</v>
      </c>
      <c r="B135" s="83">
        <v>7.0</v>
      </c>
      <c r="C135" s="83" t="s">
        <v>628</v>
      </c>
      <c r="D135" s="84" t="s">
        <v>629</v>
      </c>
      <c r="E135" s="84" t="s">
        <v>630</v>
      </c>
      <c r="F135" s="84" t="s">
        <v>631</v>
      </c>
      <c r="G135" s="85" t="s">
        <v>72</v>
      </c>
      <c r="H135" s="82" t="s">
        <v>79</v>
      </c>
      <c r="I135" s="125">
        <v>45758.0</v>
      </c>
      <c r="J135" s="82"/>
      <c r="K135" s="82">
        <v>3.0</v>
      </c>
      <c r="L135" s="82">
        <v>3.0</v>
      </c>
      <c r="M135" s="82">
        <v>3.0</v>
      </c>
      <c r="N135" s="82">
        <v>2.0</v>
      </c>
      <c r="O135" s="82">
        <v>2.0</v>
      </c>
      <c r="P135" s="82">
        <v>2.0</v>
      </c>
      <c r="Q135" s="82">
        <v>1.0</v>
      </c>
      <c r="R135" s="82">
        <v>3.0</v>
      </c>
      <c r="S135" s="89">
        <f t="shared" si="3"/>
        <v>19</v>
      </c>
      <c r="T135" s="90">
        <f t="shared" si="2"/>
        <v>0.475</v>
      </c>
      <c r="U135" s="89" t="str">
        <f>IF(H135="Rendida ",IF('Resultados Individuales'!T135&lt;49.5%,"Por Mejorar",IF('Resultados Individuales'!T135&lt;64.5%,"Base",IF('Resultados Individuales'!T135&lt;84.5%,"Satisfactorio","Óptimo"))),"No rendida o no válida")</f>
        <v>Por Mejorar</v>
      </c>
      <c r="V135" s="94" t="s">
        <v>632</v>
      </c>
    </row>
    <row r="136" ht="15.75" customHeight="1">
      <c r="A136" s="82">
        <v>2.1635098E7</v>
      </c>
      <c r="B136" s="83">
        <v>7.0</v>
      </c>
      <c r="C136" s="83" t="s">
        <v>633</v>
      </c>
      <c r="D136" s="84" t="s">
        <v>141</v>
      </c>
      <c r="E136" s="84" t="s">
        <v>634</v>
      </c>
      <c r="F136" s="84" t="s">
        <v>635</v>
      </c>
      <c r="G136" s="85" t="s">
        <v>72</v>
      </c>
      <c r="H136" s="82" t="s">
        <v>79</v>
      </c>
      <c r="I136" s="125">
        <v>45758.0</v>
      </c>
      <c r="J136" s="82"/>
      <c r="K136" s="82">
        <v>3.0</v>
      </c>
      <c r="L136" s="82">
        <v>2.0</v>
      </c>
      <c r="M136" s="82">
        <v>3.0</v>
      </c>
      <c r="N136" s="82">
        <v>2.0</v>
      </c>
      <c r="O136" s="82">
        <v>2.0</v>
      </c>
      <c r="P136" s="82">
        <v>2.0</v>
      </c>
      <c r="Q136" s="82">
        <v>1.0</v>
      </c>
      <c r="R136" s="82">
        <v>2.0</v>
      </c>
      <c r="S136" s="89">
        <f t="shared" si="3"/>
        <v>17</v>
      </c>
      <c r="T136" s="90">
        <f t="shared" si="2"/>
        <v>0.425</v>
      </c>
      <c r="U136" s="89" t="str">
        <f>IF(H136="Rendida ",IF('Resultados Individuales'!T136&lt;49.5%,"Por Mejorar",IF('Resultados Individuales'!T136&lt;64.5%,"Base",IF('Resultados Individuales'!T136&lt;84.5%,"Satisfactorio","Óptimo"))),"No rendida o no válida")</f>
        <v>Por Mejorar</v>
      </c>
      <c r="V136" s="94" t="s">
        <v>636</v>
      </c>
    </row>
    <row r="137" ht="15.75" customHeight="1">
      <c r="A137" s="82">
        <v>2.1641373E7</v>
      </c>
      <c r="B137" s="83">
        <v>3.0</v>
      </c>
      <c r="C137" s="83" t="s">
        <v>637</v>
      </c>
      <c r="D137" s="84" t="s">
        <v>176</v>
      </c>
      <c r="E137" s="84" t="s">
        <v>638</v>
      </c>
      <c r="F137" s="84" t="s">
        <v>639</v>
      </c>
      <c r="G137" s="85" t="s">
        <v>72</v>
      </c>
      <c r="H137" s="82" t="s">
        <v>79</v>
      </c>
      <c r="I137" s="125">
        <v>45758.0</v>
      </c>
      <c r="J137" s="82"/>
      <c r="K137" s="82">
        <v>3.0</v>
      </c>
      <c r="L137" s="82">
        <v>3.0</v>
      </c>
      <c r="M137" s="82">
        <v>3.0</v>
      </c>
      <c r="N137" s="82">
        <v>3.0</v>
      </c>
      <c r="O137" s="82">
        <v>2.0</v>
      </c>
      <c r="P137" s="82">
        <v>2.0</v>
      </c>
      <c r="Q137" s="82">
        <v>1.0</v>
      </c>
      <c r="R137" s="82">
        <v>3.0</v>
      </c>
      <c r="S137" s="89">
        <f t="shared" si="3"/>
        <v>20</v>
      </c>
      <c r="T137" s="90">
        <f t="shared" si="2"/>
        <v>0.5</v>
      </c>
      <c r="U137" s="89" t="str">
        <f>IF(H137="Rendida ",IF('Resultados Individuales'!T137&lt;49.5%,"Por Mejorar",IF('Resultados Individuales'!T137&lt;64.5%,"Base",IF('Resultados Individuales'!T137&lt;84.5%,"Satisfactorio","Óptimo"))),"No rendida o no válida")</f>
        <v>Base</v>
      </c>
      <c r="V137" s="94" t="s">
        <v>640</v>
      </c>
    </row>
    <row r="138" ht="15.75" customHeight="1">
      <c r="A138" s="82">
        <v>2.1641891E7</v>
      </c>
      <c r="B138" s="83">
        <v>3.0</v>
      </c>
      <c r="C138" s="83" t="s">
        <v>641</v>
      </c>
      <c r="D138" s="84" t="s">
        <v>269</v>
      </c>
      <c r="E138" s="84" t="s">
        <v>382</v>
      </c>
      <c r="F138" s="84" t="s">
        <v>642</v>
      </c>
      <c r="G138" s="85" t="s">
        <v>72</v>
      </c>
      <c r="H138" s="82" t="s">
        <v>79</v>
      </c>
      <c r="I138" s="125">
        <v>45758.0</v>
      </c>
      <c r="J138" s="82"/>
      <c r="K138" s="82">
        <v>4.0</v>
      </c>
      <c r="L138" s="82">
        <v>3.0</v>
      </c>
      <c r="M138" s="82">
        <v>3.0</v>
      </c>
      <c r="N138" s="82">
        <v>3.0</v>
      </c>
      <c r="O138" s="82">
        <v>2.0</v>
      </c>
      <c r="P138" s="82">
        <v>2.0</v>
      </c>
      <c r="Q138" s="82">
        <v>2.0</v>
      </c>
      <c r="R138" s="82">
        <v>3.0</v>
      </c>
      <c r="S138" s="89">
        <f t="shared" si="3"/>
        <v>22</v>
      </c>
      <c r="T138" s="90">
        <f t="shared" si="2"/>
        <v>0.55</v>
      </c>
      <c r="U138" s="89" t="str">
        <f>IF(H138="Rendida ",IF('Resultados Individuales'!T138&lt;49.5%,"Por Mejorar",IF('Resultados Individuales'!T138&lt;64.5%,"Base",IF('Resultados Individuales'!T138&lt;84.5%,"Satisfactorio","Óptimo"))),"No rendida o no válida")</f>
        <v>Base</v>
      </c>
      <c r="V138" s="94" t="s">
        <v>643</v>
      </c>
    </row>
    <row r="139" ht="15.75" customHeight="1">
      <c r="A139" s="82">
        <v>2.1648551E7</v>
      </c>
      <c r="B139" s="83">
        <v>3.0</v>
      </c>
      <c r="C139" s="83" t="s">
        <v>644</v>
      </c>
      <c r="D139" s="84" t="s">
        <v>197</v>
      </c>
      <c r="E139" s="84" t="s">
        <v>645</v>
      </c>
      <c r="F139" s="84" t="s">
        <v>422</v>
      </c>
      <c r="G139" s="85" t="s">
        <v>72</v>
      </c>
      <c r="H139" s="82" t="s">
        <v>79</v>
      </c>
      <c r="I139" s="125">
        <v>45758.0</v>
      </c>
      <c r="J139" s="82"/>
      <c r="K139" s="82">
        <v>4.0</v>
      </c>
      <c r="L139" s="82">
        <v>4.0</v>
      </c>
      <c r="M139" s="82">
        <v>4.0</v>
      </c>
      <c r="N139" s="82">
        <v>4.0</v>
      </c>
      <c r="O139" s="82">
        <v>2.0</v>
      </c>
      <c r="P139" s="82">
        <v>2.0</v>
      </c>
      <c r="Q139" s="82">
        <v>2.0</v>
      </c>
      <c r="R139" s="82">
        <v>3.0</v>
      </c>
      <c r="S139" s="89">
        <f t="shared" si="3"/>
        <v>25</v>
      </c>
      <c r="T139" s="90">
        <f t="shared" si="2"/>
        <v>0.625</v>
      </c>
      <c r="U139" s="89" t="str">
        <f>IF(H139="Rendida ",IF('Resultados Individuales'!T139&lt;49.5%,"Por Mejorar",IF('Resultados Individuales'!T139&lt;64.5%,"Base",IF('Resultados Individuales'!T139&lt;84.5%,"Satisfactorio","Óptimo"))),"No rendida o no válida")</f>
        <v>Base</v>
      </c>
      <c r="V139" s="94" t="s">
        <v>646</v>
      </c>
    </row>
    <row r="140" ht="15.75" customHeight="1">
      <c r="A140" s="82">
        <v>2.1649277E7</v>
      </c>
      <c r="B140" s="83">
        <v>3.0</v>
      </c>
      <c r="C140" s="83" t="s">
        <v>647</v>
      </c>
      <c r="D140" s="84" t="s">
        <v>648</v>
      </c>
      <c r="E140" s="84" t="s">
        <v>292</v>
      </c>
      <c r="F140" s="84" t="s">
        <v>649</v>
      </c>
      <c r="G140" s="85" t="s">
        <v>72</v>
      </c>
      <c r="H140" s="82" t="s">
        <v>79</v>
      </c>
      <c r="I140" s="125">
        <v>45758.0</v>
      </c>
      <c r="J140" s="82"/>
      <c r="K140" s="82">
        <v>2.0</v>
      </c>
      <c r="L140" s="82">
        <v>2.0</v>
      </c>
      <c r="M140" s="82">
        <v>3.0</v>
      </c>
      <c r="N140" s="82">
        <v>2.0</v>
      </c>
      <c r="O140" s="82">
        <v>3.0</v>
      </c>
      <c r="P140" s="82">
        <v>3.0</v>
      </c>
      <c r="Q140" s="82">
        <v>3.0</v>
      </c>
      <c r="R140" s="82">
        <v>4.0</v>
      </c>
      <c r="S140" s="89">
        <f t="shared" si="3"/>
        <v>22</v>
      </c>
      <c r="T140" s="90">
        <f t="shared" si="2"/>
        <v>0.55</v>
      </c>
      <c r="U140" s="89" t="str">
        <f>IF(H140="Rendida ",IF('Resultados Individuales'!T140&lt;49.5%,"Por Mejorar",IF('Resultados Individuales'!T140&lt;64.5%,"Base",IF('Resultados Individuales'!T140&lt;84.5%,"Satisfactorio","Óptimo"))),"No rendida o no válida")</f>
        <v>Base</v>
      </c>
      <c r="V140" s="94" t="s">
        <v>650</v>
      </c>
    </row>
    <row r="141" ht="15.75" customHeight="1">
      <c r="A141" s="82">
        <v>2.1653684E7</v>
      </c>
      <c r="B141" s="83">
        <v>3.0</v>
      </c>
      <c r="C141" s="83" t="s">
        <v>651</v>
      </c>
      <c r="D141" s="84" t="s">
        <v>652</v>
      </c>
      <c r="E141" s="84" t="s">
        <v>653</v>
      </c>
      <c r="F141" s="84" t="s">
        <v>654</v>
      </c>
      <c r="G141" s="85" t="s">
        <v>72</v>
      </c>
      <c r="H141" s="82" t="s">
        <v>79</v>
      </c>
      <c r="I141" s="125">
        <v>45758.0</v>
      </c>
      <c r="J141" s="82"/>
      <c r="K141" s="82">
        <v>3.0</v>
      </c>
      <c r="L141" s="82">
        <v>4.0</v>
      </c>
      <c r="M141" s="82">
        <v>4.0</v>
      </c>
      <c r="N141" s="82">
        <v>3.0</v>
      </c>
      <c r="O141" s="82">
        <v>3.0</v>
      </c>
      <c r="P141" s="82">
        <v>3.0</v>
      </c>
      <c r="Q141" s="82">
        <v>2.0</v>
      </c>
      <c r="R141" s="82">
        <v>3.0</v>
      </c>
      <c r="S141" s="89">
        <f t="shared" si="3"/>
        <v>25</v>
      </c>
      <c r="T141" s="90">
        <f t="shared" si="2"/>
        <v>0.625</v>
      </c>
      <c r="U141" s="89" t="str">
        <f>IF(H141="Rendida ",IF('Resultados Individuales'!T141&lt;49.5%,"Por Mejorar",IF('Resultados Individuales'!T141&lt;64.5%,"Base",IF('Resultados Individuales'!T141&lt;84.5%,"Satisfactorio","Óptimo"))),"No rendida o no válida")</f>
        <v>Base</v>
      </c>
      <c r="V141" s="94" t="s">
        <v>655</v>
      </c>
    </row>
    <row r="142" ht="15.75" customHeight="1">
      <c r="A142" s="82">
        <v>2.1657765E7</v>
      </c>
      <c r="B142" s="83">
        <v>5.0</v>
      </c>
      <c r="C142" s="83" t="s">
        <v>656</v>
      </c>
      <c r="D142" s="84" t="s">
        <v>657</v>
      </c>
      <c r="E142" s="84" t="s">
        <v>555</v>
      </c>
      <c r="F142" s="84" t="s">
        <v>658</v>
      </c>
      <c r="G142" s="85" t="s">
        <v>72</v>
      </c>
      <c r="H142" s="82" t="s">
        <v>79</v>
      </c>
      <c r="I142" s="125">
        <v>45758.0</v>
      </c>
      <c r="J142" s="82"/>
      <c r="K142" s="82">
        <v>4.0</v>
      </c>
      <c r="L142" s="82">
        <v>4.0</v>
      </c>
      <c r="M142" s="82">
        <v>4.0</v>
      </c>
      <c r="N142" s="82">
        <v>4.0</v>
      </c>
      <c r="O142" s="82">
        <v>3.0</v>
      </c>
      <c r="P142" s="82">
        <v>3.0</v>
      </c>
      <c r="Q142" s="82">
        <v>3.0</v>
      </c>
      <c r="R142" s="82">
        <v>4.0</v>
      </c>
      <c r="S142" s="89">
        <f t="shared" si="3"/>
        <v>29</v>
      </c>
      <c r="T142" s="90">
        <f t="shared" si="2"/>
        <v>0.725</v>
      </c>
      <c r="U142" s="89" t="str">
        <f>IF(H142="Rendida ",IF('Resultados Individuales'!T142&lt;49.5%,"Por Mejorar",IF('Resultados Individuales'!T142&lt;64.5%,"Base",IF('Resultados Individuales'!T142&lt;84.5%,"Satisfactorio","Óptimo"))),"No rendida o no válida")</f>
        <v>Satisfactorio</v>
      </c>
      <c r="V142" s="94" t="s">
        <v>659</v>
      </c>
    </row>
    <row r="143" ht="15.75" customHeight="1">
      <c r="A143" s="82">
        <v>2.16607E7</v>
      </c>
      <c r="B143" s="83">
        <v>7.0</v>
      </c>
      <c r="C143" s="83" t="s">
        <v>660</v>
      </c>
      <c r="D143" s="84" t="s">
        <v>163</v>
      </c>
      <c r="E143" s="84" t="s">
        <v>661</v>
      </c>
      <c r="F143" s="84" t="s">
        <v>662</v>
      </c>
      <c r="G143" s="85" t="s">
        <v>72</v>
      </c>
      <c r="H143" s="82" t="s">
        <v>79</v>
      </c>
      <c r="I143" s="125">
        <v>45758.0</v>
      </c>
      <c r="J143" s="82"/>
      <c r="K143" s="82">
        <v>3.0</v>
      </c>
      <c r="L143" s="82">
        <v>2.0</v>
      </c>
      <c r="M143" s="82">
        <v>2.0</v>
      </c>
      <c r="N143" s="82">
        <v>3.0</v>
      </c>
      <c r="O143" s="82">
        <v>3.0</v>
      </c>
      <c r="P143" s="82">
        <v>2.0</v>
      </c>
      <c r="Q143" s="82">
        <v>2.0</v>
      </c>
      <c r="R143" s="82">
        <v>3.0</v>
      </c>
      <c r="S143" s="89">
        <f t="shared" si="3"/>
        <v>20</v>
      </c>
      <c r="T143" s="90">
        <f t="shared" si="2"/>
        <v>0.5</v>
      </c>
      <c r="U143" s="89" t="str">
        <f>IF(H143="Rendida ",IF('Resultados Individuales'!T143&lt;49.5%,"Por Mejorar",IF('Resultados Individuales'!T143&lt;64.5%,"Base",IF('Resultados Individuales'!T143&lt;84.5%,"Satisfactorio","Óptimo"))),"No rendida o no válida")</f>
        <v>Base</v>
      </c>
      <c r="V143" s="94" t="s">
        <v>663</v>
      </c>
    </row>
    <row r="144" ht="15.75" customHeight="1">
      <c r="A144" s="82">
        <v>2.1662867E7</v>
      </c>
      <c r="B144" s="83">
        <v>5.0</v>
      </c>
      <c r="C144" s="83" t="s">
        <v>664</v>
      </c>
      <c r="D144" s="84" t="s">
        <v>665</v>
      </c>
      <c r="E144" s="84" t="s">
        <v>666</v>
      </c>
      <c r="F144" s="84" t="s">
        <v>667</v>
      </c>
      <c r="G144" s="85" t="s">
        <v>72</v>
      </c>
      <c r="H144" s="82" t="s">
        <v>79</v>
      </c>
      <c r="I144" s="125">
        <v>45758.0</v>
      </c>
      <c r="J144" s="82"/>
      <c r="K144" s="82">
        <v>2.0</v>
      </c>
      <c r="L144" s="82">
        <v>3.0</v>
      </c>
      <c r="M144" s="82">
        <v>3.0</v>
      </c>
      <c r="N144" s="82">
        <v>4.0</v>
      </c>
      <c r="O144" s="82">
        <v>1.0</v>
      </c>
      <c r="P144" s="82">
        <v>1.0</v>
      </c>
      <c r="Q144" s="82">
        <v>1.0</v>
      </c>
      <c r="R144" s="82">
        <v>2.0</v>
      </c>
      <c r="S144" s="89">
        <f t="shared" si="3"/>
        <v>17</v>
      </c>
      <c r="T144" s="90">
        <f t="shared" si="2"/>
        <v>0.425</v>
      </c>
      <c r="U144" s="89" t="str">
        <f>IF(H144="Rendida ",IF('Resultados Individuales'!T144&lt;49.5%,"Por Mejorar",IF('Resultados Individuales'!T144&lt;64.5%,"Base",IF('Resultados Individuales'!T144&lt;84.5%,"Satisfactorio","Óptimo"))),"No rendida o no válida")</f>
        <v>Por Mejorar</v>
      </c>
      <c r="V144" s="1" t="s">
        <v>668</v>
      </c>
    </row>
    <row r="145" ht="15.75" customHeight="1">
      <c r="A145" s="82">
        <v>2.1668002E7</v>
      </c>
      <c r="B145" s="83">
        <v>2.0</v>
      </c>
      <c r="C145" s="83" t="s">
        <v>669</v>
      </c>
      <c r="D145" s="84" t="s">
        <v>265</v>
      </c>
      <c r="E145" s="84" t="s">
        <v>484</v>
      </c>
      <c r="F145" s="84" t="s">
        <v>284</v>
      </c>
      <c r="G145" s="85" t="s">
        <v>72</v>
      </c>
      <c r="H145" s="82" t="s">
        <v>79</v>
      </c>
      <c r="I145" s="125">
        <v>45758.0</v>
      </c>
      <c r="J145" s="82"/>
      <c r="K145" s="82">
        <v>4.0</v>
      </c>
      <c r="L145" s="82">
        <v>4.0</v>
      </c>
      <c r="M145" s="82">
        <v>4.0</v>
      </c>
      <c r="N145" s="82">
        <v>4.0</v>
      </c>
      <c r="O145" s="82">
        <v>3.0</v>
      </c>
      <c r="P145" s="82">
        <v>3.0</v>
      </c>
      <c r="Q145" s="82">
        <v>3.0</v>
      </c>
      <c r="R145" s="82">
        <v>4.0</v>
      </c>
      <c r="S145" s="89">
        <f t="shared" si="3"/>
        <v>29</v>
      </c>
      <c r="T145" s="90">
        <f t="shared" si="2"/>
        <v>0.725</v>
      </c>
      <c r="U145" s="89" t="str">
        <f>IF(H145="Rendida ",IF('Resultados Individuales'!T145&lt;49.5%,"Por Mejorar",IF('Resultados Individuales'!T145&lt;64.5%,"Base",IF('Resultados Individuales'!T145&lt;84.5%,"Satisfactorio","Óptimo"))),"No rendida o no válida")</f>
        <v>Satisfactorio</v>
      </c>
      <c r="V145" s="94" t="s">
        <v>670</v>
      </c>
    </row>
    <row r="146" ht="15.75" customHeight="1">
      <c r="A146" s="98">
        <v>2.1669555E7</v>
      </c>
      <c r="B146" s="99">
        <v>0.0</v>
      </c>
      <c r="C146" s="83" t="s">
        <v>671</v>
      </c>
      <c r="D146" s="100" t="s">
        <v>672</v>
      </c>
      <c r="E146" s="100" t="s">
        <v>673</v>
      </c>
      <c r="F146" s="100" t="s">
        <v>674</v>
      </c>
      <c r="G146" s="98"/>
      <c r="H146" s="98"/>
      <c r="I146" s="98"/>
      <c r="J146" s="98"/>
      <c r="K146" s="98"/>
      <c r="L146" s="98"/>
      <c r="M146" s="98"/>
      <c r="N146" s="98"/>
      <c r="O146" s="98"/>
      <c r="P146" s="98"/>
      <c r="Q146" s="98"/>
      <c r="R146" s="98"/>
      <c r="S146" s="106">
        <f t="shared" si="3"/>
        <v>0</v>
      </c>
      <c r="T146" s="107">
        <f t="shared" si="2"/>
        <v>0</v>
      </c>
      <c r="U146" s="106" t="str">
        <f>IF(H146="Rendida ",IF('Resultados Individuales'!T146&lt;49.5%,"Por Mejorar",IF('Resultados Individuales'!T146&lt;64.5%,"Base",IF('Resultados Individuales'!T146&lt;84.5%,"Satisfactorio","Óptimo"))),"No rendida o no válida")</f>
        <v>No rendida o no válida</v>
      </c>
      <c r="V146" s="108"/>
      <c r="W146" s="108"/>
      <c r="X146" s="108"/>
      <c r="Y146" s="108"/>
      <c r="Z146" s="108"/>
    </row>
    <row r="147" ht="15.75" customHeight="1">
      <c r="A147" s="82">
        <v>2.1674843E7</v>
      </c>
      <c r="B147" s="83">
        <v>3.0</v>
      </c>
      <c r="C147" s="83" t="s">
        <v>675</v>
      </c>
      <c r="D147" s="84" t="s">
        <v>321</v>
      </c>
      <c r="E147" s="84" t="s">
        <v>676</v>
      </c>
      <c r="F147" s="84" t="s">
        <v>677</v>
      </c>
      <c r="G147" s="85" t="s">
        <v>72</v>
      </c>
      <c r="H147" s="82" t="s">
        <v>79</v>
      </c>
      <c r="I147" s="125">
        <v>45758.0</v>
      </c>
      <c r="J147" s="82"/>
      <c r="K147" s="82">
        <v>4.0</v>
      </c>
      <c r="L147" s="82">
        <v>3.0</v>
      </c>
      <c r="M147" s="82">
        <v>3.0</v>
      </c>
      <c r="N147" s="82">
        <v>3.0</v>
      </c>
      <c r="O147" s="82">
        <v>3.0</v>
      </c>
      <c r="P147" s="82">
        <v>3.0</v>
      </c>
      <c r="Q147" s="82">
        <v>2.0</v>
      </c>
      <c r="R147" s="82">
        <v>3.0</v>
      </c>
      <c r="S147" s="89">
        <f t="shared" si="3"/>
        <v>24</v>
      </c>
      <c r="T147" s="90">
        <f t="shared" si="2"/>
        <v>0.6</v>
      </c>
      <c r="U147" s="89" t="str">
        <f>IF(H147="Rendida ",IF('Resultados Individuales'!T147&lt;49.5%,"Por Mejorar",IF('Resultados Individuales'!T147&lt;64.5%,"Base",IF('Resultados Individuales'!T147&lt;84.5%,"Satisfactorio","Óptimo"))),"No rendida o no válida")</f>
        <v>Base</v>
      </c>
      <c r="V147" s="94" t="s">
        <v>678</v>
      </c>
    </row>
    <row r="148" ht="15.75" customHeight="1">
      <c r="A148" s="82">
        <v>2.1679045E7</v>
      </c>
      <c r="B148" s="83">
        <v>6.0</v>
      </c>
      <c r="C148" s="83" t="s">
        <v>679</v>
      </c>
      <c r="D148" s="84" t="s">
        <v>680</v>
      </c>
      <c r="E148" s="84" t="s">
        <v>681</v>
      </c>
      <c r="F148" s="84" t="s">
        <v>682</v>
      </c>
      <c r="G148" s="85" t="s">
        <v>72</v>
      </c>
      <c r="H148" s="82" t="s">
        <v>79</v>
      </c>
      <c r="I148" s="125">
        <v>45758.0</v>
      </c>
      <c r="J148" s="82"/>
      <c r="K148" s="82">
        <v>4.0</v>
      </c>
      <c r="L148" s="82">
        <v>3.0</v>
      </c>
      <c r="M148" s="82">
        <v>3.0</v>
      </c>
      <c r="N148" s="82">
        <v>3.0</v>
      </c>
      <c r="O148" s="82">
        <v>3.0</v>
      </c>
      <c r="P148" s="82">
        <v>3.0</v>
      </c>
      <c r="Q148" s="82">
        <v>3.0</v>
      </c>
      <c r="R148" s="82">
        <v>4.0</v>
      </c>
      <c r="S148" s="89">
        <f t="shared" si="3"/>
        <v>26</v>
      </c>
      <c r="T148" s="90">
        <f t="shared" si="2"/>
        <v>0.65</v>
      </c>
      <c r="U148" s="89" t="str">
        <f>IF(H148="Rendida ",IF('Resultados Individuales'!T148&lt;49.5%,"Por Mejorar",IF('Resultados Individuales'!T148&lt;64.5%,"Base",IF('Resultados Individuales'!T148&lt;84.5%,"Satisfactorio","Óptimo"))),"No rendida o no válida")</f>
        <v>Satisfactorio</v>
      </c>
      <c r="V148" s="94" t="s">
        <v>683</v>
      </c>
    </row>
    <row r="149" ht="15.75" customHeight="1">
      <c r="A149" s="82">
        <v>2.1679827E7</v>
      </c>
      <c r="B149" s="83">
        <v>9.0</v>
      </c>
      <c r="C149" s="83" t="s">
        <v>684</v>
      </c>
      <c r="D149" s="84" t="s">
        <v>685</v>
      </c>
      <c r="E149" s="84" t="s">
        <v>686</v>
      </c>
      <c r="F149" s="84" t="s">
        <v>687</v>
      </c>
      <c r="G149" s="85" t="s">
        <v>72</v>
      </c>
      <c r="H149" s="82" t="s">
        <v>79</v>
      </c>
      <c r="I149" s="125">
        <v>45758.0</v>
      </c>
      <c r="J149" s="82"/>
      <c r="K149" s="82">
        <v>3.0</v>
      </c>
      <c r="L149" s="82">
        <v>4.0</v>
      </c>
      <c r="M149" s="82">
        <v>4.0</v>
      </c>
      <c r="N149" s="82">
        <v>3.0</v>
      </c>
      <c r="O149" s="82">
        <v>3.0</v>
      </c>
      <c r="P149" s="82">
        <v>3.0</v>
      </c>
      <c r="Q149" s="82">
        <v>2.0</v>
      </c>
      <c r="R149" s="82">
        <v>3.0</v>
      </c>
      <c r="S149" s="89">
        <f t="shared" si="3"/>
        <v>25</v>
      </c>
      <c r="T149" s="90">
        <f t="shared" si="2"/>
        <v>0.625</v>
      </c>
      <c r="U149" s="89" t="str">
        <f>IF(H149="Rendida ",IF('Resultados Individuales'!T149&lt;49.5%,"Por Mejorar",IF('Resultados Individuales'!T149&lt;64.5%,"Base",IF('Resultados Individuales'!T149&lt;84.5%,"Satisfactorio","Óptimo"))),"No rendida o no válida")</f>
        <v>Base</v>
      </c>
      <c r="V149" s="94" t="s">
        <v>688</v>
      </c>
    </row>
    <row r="150" ht="15.75" customHeight="1">
      <c r="A150" s="82">
        <v>2.1682177E7</v>
      </c>
      <c r="B150" s="83">
        <v>7.0</v>
      </c>
      <c r="C150" s="83" t="s">
        <v>689</v>
      </c>
      <c r="D150" s="84" t="s">
        <v>142</v>
      </c>
      <c r="E150" s="84" t="s">
        <v>690</v>
      </c>
      <c r="F150" s="84" t="s">
        <v>691</v>
      </c>
      <c r="G150" s="85" t="s">
        <v>72</v>
      </c>
      <c r="H150" s="82" t="s">
        <v>79</v>
      </c>
      <c r="I150" s="125">
        <v>45758.0</v>
      </c>
      <c r="J150" s="82"/>
      <c r="K150" s="82">
        <v>4.0</v>
      </c>
      <c r="L150" s="82">
        <v>4.0</v>
      </c>
      <c r="M150" s="82">
        <v>4.0</v>
      </c>
      <c r="N150" s="82">
        <v>4.0</v>
      </c>
      <c r="O150" s="82">
        <v>3.0</v>
      </c>
      <c r="P150" s="82">
        <v>3.0</v>
      </c>
      <c r="Q150" s="82">
        <v>3.0</v>
      </c>
      <c r="R150" s="82">
        <v>4.0</v>
      </c>
      <c r="S150" s="89">
        <f t="shared" si="3"/>
        <v>29</v>
      </c>
      <c r="T150" s="90">
        <f t="shared" si="2"/>
        <v>0.725</v>
      </c>
      <c r="U150" s="89" t="str">
        <f>IF(H150="Rendida ",IF('Resultados Individuales'!T150&lt;49.5%,"Por Mejorar",IF('Resultados Individuales'!T150&lt;64.5%,"Base",IF('Resultados Individuales'!T150&lt;84.5%,"Satisfactorio","Óptimo"))),"No rendida o no válida")</f>
        <v>Satisfactorio</v>
      </c>
      <c r="V150" s="94" t="s">
        <v>692</v>
      </c>
    </row>
    <row r="151" ht="15.75" customHeight="1">
      <c r="A151" s="82">
        <v>2.1690463E7</v>
      </c>
      <c r="B151" s="83" t="s">
        <v>139</v>
      </c>
      <c r="C151" s="83" t="s">
        <v>693</v>
      </c>
      <c r="D151" s="84" t="s">
        <v>694</v>
      </c>
      <c r="E151" s="84" t="s">
        <v>695</v>
      </c>
      <c r="F151" s="84" t="s">
        <v>696</v>
      </c>
      <c r="G151" s="85" t="s">
        <v>72</v>
      </c>
      <c r="H151" s="82" t="s">
        <v>79</v>
      </c>
      <c r="I151" s="125">
        <v>45758.0</v>
      </c>
      <c r="J151" s="82"/>
      <c r="K151" s="82">
        <v>4.0</v>
      </c>
      <c r="L151" s="82">
        <v>3.0</v>
      </c>
      <c r="M151" s="82">
        <v>3.0</v>
      </c>
      <c r="N151" s="82">
        <v>4.0</v>
      </c>
      <c r="O151" s="82">
        <v>2.0</v>
      </c>
      <c r="P151" s="82">
        <v>2.0</v>
      </c>
      <c r="Q151" s="82">
        <v>2.0</v>
      </c>
      <c r="R151" s="82">
        <v>3.0</v>
      </c>
      <c r="S151" s="89">
        <f t="shared" si="3"/>
        <v>23</v>
      </c>
      <c r="T151" s="90">
        <f t="shared" si="2"/>
        <v>0.575</v>
      </c>
      <c r="U151" s="89" t="str">
        <f>IF(H151="Rendida ",IF('Resultados Individuales'!T151&lt;49.5%,"Por Mejorar",IF('Resultados Individuales'!T151&lt;64.5%,"Base",IF('Resultados Individuales'!T151&lt;84.5%,"Satisfactorio","Óptimo"))),"No rendida o no válida")</f>
        <v>Base</v>
      </c>
      <c r="V151" s="94" t="s">
        <v>697</v>
      </c>
    </row>
    <row r="152" ht="15.75" customHeight="1">
      <c r="A152" s="82">
        <v>2.1690852E7</v>
      </c>
      <c r="B152" s="83" t="s">
        <v>139</v>
      </c>
      <c r="C152" s="83" t="s">
        <v>698</v>
      </c>
      <c r="D152" s="84" t="s">
        <v>620</v>
      </c>
      <c r="E152" s="84" t="s">
        <v>699</v>
      </c>
      <c r="F152" s="84" t="s">
        <v>700</v>
      </c>
      <c r="G152" s="85" t="s">
        <v>72</v>
      </c>
      <c r="H152" s="82" t="s">
        <v>79</v>
      </c>
      <c r="I152" s="125">
        <v>45758.0</v>
      </c>
      <c r="J152" s="82"/>
      <c r="K152" s="82">
        <v>3.0</v>
      </c>
      <c r="L152" s="82">
        <v>2.0</v>
      </c>
      <c r="M152" s="82">
        <v>2.0</v>
      </c>
      <c r="N152" s="82">
        <v>2.0</v>
      </c>
      <c r="O152" s="82">
        <v>2.0</v>
      </c>
      <c r="P152" s="82">
        <v>2.0</v>
      </c>
      <c r="Q152" s="82">
        <v>2.0</v>
      </c>
      <c r="R152" s="82">
        <v>2.0</v>
      </c>
      <c r="S152" s="89">
        <f t="shared" si="3"/>
        <v>17</v>
      </c>
      <c r="T152" s="90">
        <f t="shared" si="2"/>
        <v>0.425</v>
      </c>
      <c r="U152" s="89" t="str">
        <f>IF(H152="Rendida ",IF('Resultados Individuales'!T152&lt;49.5%,"Por Mejorar",IF('Resultados Individuales'!T152&lt;64.5%,"Base",IF('Resultados Individuales'!T152&lt;84.5%,"Satisfactorio","Óptimo"))),"No rendida o no válida")</f>
        <v>Por Mejorar</v>
      </c>
      <c r="V152" s="94" t="s">
        <v>701</v>
      </c>
    </row>
    <row r="153" ht="15.75" customHeight="1">
      <c r="A153" s="82">
        <v>2.1694374E7</v>
      </c>
      <c r="B153" s="83">
        <v>0.0</v>
      </c>
      <c r="C153" s="83" t="s">
        <v>702</v>
      </c>
      <c r="D153" s="84" t="s">
        <v>703</v>
      </c>
      <c r="E153" s="84" t="s">
        <v>704</v>
      </c>
      <c r="F153" s="84" t="s">
        <v>705</v>
      </c>
      <c r="G153" s="85" t="s">
        <v>72</v>
      </c>
      <c r="H153" s="82" t="s">
        <v>79</v>
      </c>
      <c r="I153" s="125">
        <v>45842.0</v>
      </c>
      <c r="J153" s="82"/>
      <c r="K153" s="82">
        <v>2.0</v>
      </c>
      <c r="L153" s="82">
        <v>3.0</v>
      </c>
      <c r="M153" s="82">
        <v>2.0</v>
      </c>
      <c r="N153" s="82">
        <v>3.0</v>
      </c>
      <c r="O153" s="82">
        <v>2.0</v>
      </c>
      <c r="P153" s="82">
        <v>2.0</v>
      </c>
      <c r="Q153" s="82">
        <v>3.0</v>
      </c>
      <c r="R153" s="82">
        <v>2.0</v>
      </c>
      <c r="S153" s="89">
        <f t="shared" si="3"/>
        <v>19</v>
      </c>
      <c r="T153" s="90">
        <f t="shared" si="2"/>
        <v>0.475</v>
      </c>
      <c r="U153" s="89" t="str">
        <f>IF(H153="Rendida ",IF('Resultados Individuales'!T153&lt;49.5%,"Por Mejorar",IF('Resultados Individuales'!T153&lt;64.5%,"Base",IF('Resultados Individuales'!T153&lt;84.5%,"Satisfactorio","Óptimo"))),"No rendida o no válida")</f>
        <v>Por Mejorar</v>
      </c>
      <c r="V153" s="94" t="s">
        <v>706</v>
      </c>
    </row>
    <row r="154" ht="15.75" customHeight="1">
      <c r="A154" s="82">
        <v>2.169784E7</v>
      </c>
      <c r="B154" s="83">
        <v>4.0</v>
      </c>
      <c r="C154" s="83" t="s">
        <v>707</v>
      </c>
      <c r="D154" s="84" t="s">
        <v>708</v>
      </c>
      <c r="E154" s="84" t="s">
        <v>87</v>
      </c>
      <c r="F154" s="84" t="s">
        <v>709</v>
      </c>
      <c r="G154" s="85" t="s">
        <v>72</v>
      </c>
      <c r="H154" s="82" t="s">
        <v>79</v>
      </c>
      <c r="I154" s="125">
        <v>45758.0</v>
      </c>
      <c r="J154" s="82"/>
      <c r="K154" s="82">
        <v>3.0</v>
      </c>
      <c r="L154" s="82">
        <v>4.0</v>
      </c>
      <c r="M154" s="82">
        <v>4.0</v>
      </c>
      <c r="N154" s="82">
        <v>4.0</v>
      </c>
      <c r="O154" s="82">
        <v>3.0</v>
      </c>
      <c r="P154" s="82">
        <v>3.0</v>
      </c>
      <c r="Q154" s="82">
        <v>1.0</v>
      </c>
      <c r="R154" s="82">
        <v>3.0</v>
      </c>
      <c r="S154" s="89">
        <f t="shared" si="3"/>
        <v>25</v>
      </c>
      <c r="T154" s="90">
        <f t="shared" si="2"/>
        <v>0.625</v>
      </c>
      <c r="U154" s="89" t="str">
        <f>IF(H154="Rendida ",IF('Resultados Individuales'!T154&lt;49.5%,"Por Mejorar",IF('Resultados Individuales'!T154&lt;64.5%,"Base",IF('Resultados Individuales'!T154&lt;84.5%,"Satisfactorio","Óptimo"))),"No rendida o no válida")</f>
        <v>Base</v>
      </c>
      <c r="V154" s="94" t="s">
        <v>710</v>
      </c>
    </row>
    <row r="155" ht="15.75" customHeight="1">
      <c r="A155" s="82">
        <v>2.1701244E7</v>
      </c>
      <c r="B155" s="83">
        <v>9.0</v>
      </c>
      <c r="C155" s="83" t="s">
        <v>711</v>
      </c>
      <c r="D155" s="84" t="s">
        <v>273</v>
      </c>
      <c r="E155" s="84" t="s">
        <v>320</v>
      </c>
      <c r="F155" s="84" t="s">
        <v>712</v>
      </c>
      <c r="G155" s="85" t="s">
        <v>72</v>
      </c>
      <c r="H155" s="82" t="s">
        <v>79</v>
      </c>
      <c r="I155" s="125">
        <v>45758.0</v>
      </c>
      <c r="J155" s="82"/>
      <c r="K155" s="82">
        <v>3.0</v>
      </c>
      <c r="L155" s="82">
        <v>3.0</v>
      </c>
      <c r="M155" s="82">
        <v>3.0</v>
      </c>
      <c r="N155" s="82">
        <v>2.0</v>
      </c>
      <c r="O155" s="82">
        <v>3.0</v>
      </c>
      <c r="P155" s="82">
        <v>3.0</v>
      </c>
      <c r="Q155" s="82">
        <v>2.0</v>
      </c>
      <c r="R155" s="82">
        <v>3.0</v>
      </c>
      <c r="S155" s="89">
        <f t="shared" si="3"/>
        <v>22</v>
      </c>
      <c r="T155" s="90">
        <f t="shared" si="2"/>
        <v>0.55</v>
      </c>
      <c r="U155" s="89" t="str">
        <f>IF(H155="Rendida ",IF('Resultados Individuales'!T155&lt;49.5%,"Por Mejorar",IF('Resultados Individuales'!T155&lt;64.5%,"Base",IF('Resultados Individuales'!T155&lt;84.5%,"Satisfactorio","Óptimo"))),"No rendida o no válida")</f>
        <v>Base</v>
      </c>
      <c r="V155" s="94" t="s">
        <v>713</v>
      </c>
    </row>
    <row r="156" ht="15.75" customHeight="1">
      <c r="A156" s="82">
        <v>2.1702424E7</v>
      </c>
      <c r="B156" s="83">
        <v>2.0</v>
      </c>
      <c r="C156" s="83" t="s">
        <v>714</v>
      </c>
      <c r="D156" s="84" t="s">
        <v>715</v>
      </c>
      <c r="E156" s="84" t="s">
        <v>88</v>
      </c>
      <c r="F156" s="84" t="s">
        <v>716</v>
      </c>
      <c r="G156" s="85" t="s">
        <v>72</v>
      </c>
      <c r="H156" s="82" t="s">
        <v>79</v>
      </c>
      <c r="I156" s="125">
        <v>45758.0</v>
      </c>
      <c r="J156" s="82"/>
      <c r="K156" s="82">
        <v>4.0</v>
      </c>
      <c r="L156" s="82">
        <v>4.0</v>
      </c>
      <c r="M156" s="82">
        <v>4.0</v>
      </c>
      <c r="N156" s="82">
        <v>4.0</v>
      </c>
      <c r="O156" s="82">
        <v>4.0</v>
      </c>
      <c r="P156" s="82">
        <v>4.0</v>
      </c>
      <c r="Q156" s="82">
        <v>4.0</v>
      </c>
      <c r="R156" s="82">
        <v>4.0</v>
      </c>
      <c r="S156" s="89">
        <f t="shared" si="3"/>
        <v>32</v>
      </c>
      <c r="T156" s="90">
        <f t="shared" si="2"/>
        <v>0.8</v>
      </c>
      <c r="U156" s="89" t="str">
        <f>IF(H156="Rendida ",IF('Resultados Individuales'!T156&lt;49.5%,"Por Mejorar",IF('Resultados Individuales'!T156&lt;64.5%,"Base",IF('Resultados Individuales'!T156&lt;84.5%,"Satisfactorio","Óptimo"))),"No rendida o no válida")</f>
        <v>Satisfactorio</v>
      </c>
      <c r="V156" s="94" t="s">
        <v>717</v>
      </c>
    </row>
    <row r="157" ht="15.75" customHeight="1">
      <c r="A157" s="98">
        <v>2.1702979E7</v>
      </c>
      <c r="B157" s="99">
        <v>1.0</v>
      </c>
      <c r="C157" s="83" t="s">
        <v>718</v>
      </c>
      <c r="D157" s="100" t="s">
        <v>719</v>
      </c>
      <c r="E157" s="100" t="s">
        <v>720</v>
      </c>
      <c r="F157" s="100" t="s">
        <v>721</v>
      </c>
      <c r="G157" s="98"/>
      <c r="H157" s="98"/>
      <c r="I157" s="98"/>
      <c r="J157" s="98"/>
      <c r="K157" s="98"/>
      <c r="L157" s="98"/>
      <c r="M157" s="98"/>
      <c r="N157" s="98"/>
      <c r="O157" s="98"/>
      <c r="P157" s="98"/>
      <c r="Q157" s="98"/>
      <c r="R157" s="98"/>
      <c r="S157" s="106">
        <f t="shared" si="3"/>
        <v>0</v>
      </c>
      <c r="T157" s="107">
        <f t="shared" si="2"/>
        <v>0</v>
      </c>
      <c r="U157" s="106" t="str">
        <f>IF(H157="Rendida ",IF('Resultados Individuales'!T157&lt;49.5%,"Por Mejorar",IF('Resultados Individuales'!T157&lt;64.5%,"Base",IF('Resultados Individuales'!T157&lt;84.5%,"Satisfactorio","Óptimo"))),"No rendida o no válida")</f>
        <v>No rendida o no válida</v>
      </c>
      <c r="V157" s="108"/>
      <c r="W157" s="108"/>
      <c r="X157" s="108"/>
      <c r="Y157" s="108"/>
      <c r="Z157" s="108"/>
    </row>
    <row r="158" ht="15.75" customHeight="1">
      <c r="A158" s="82">
        <v>2.1709175E7</v>
      </c>
      <c r="B158" s="83">
        <v>6.0</v>
      </c>
      <c r="C158" s="83" t="s">
        <v>722</v>
      </c>
      <c r="D158" s="84" t="s">
        <v>723</v>
      </c>
      <c r="E158" s="84" t="s">
        <v>142</v>
      </c>
      <c r="F158" s="84" t="s">
        <v>360</v>
      </c>
      <c r="G158" s="85" t="s">
        <v>72</v>
      </c>
      <c r="H158" s="82" t="s">
        <v>79</v>
      </c>
      <c r="I158" s="125">
        <v>45758.0</v>
      </c>
      <c r="J158" s="82"/>
      <c r="K158" s="82">
        <v>3.0</v>
      </c>
      <c r="L158" s="82">
        <v>3.0</v>
      </c>
      <c r="M158" s="82">
        <v>4.0</v>
      </c>
      <c r="N158" s="82">
        <v>3.0</v>
      </c>
      <c r="O158" s="82">
        <v>2.0</v>
      </c>
      <c r="P158" s="82">
        <v>2.0</v>
      </c>
      <c r="Q158" s="82">
        <v>3.0</v>
      </c>
      <c r="R158" s="82">
        <v>2.0</v>
      </c>
      <c r="S158" s="89">
        <f t="shared" si="3"/>
        <v>22</v>
      </c>
      <c r="T158" s="90">
        <f t="shared" si="2"/>
        <v>0.55</v>
      </c>
      <c r="U158" s="89" t="str">
        <f>IF(H158="Rendida ",IF('Resultados Individuales'!T158&lt;49.5%,"Por Mejorar",IF('Resultados Individuales'!T158&lt;64.5%,"Base",IF('Resultados Individuales'!T158&lt;84.5%,"Satisfactorio","Óptimo"))),"No rendida o no válida")</f>
        <v>Base</v>
      </c>
      <c r="V158" s="94" t="s">
        <v>724</v>
      </c>
    </row>
    <row r="159" ht="15.75" customHeight="1">
      <c r="A159" s="98">
        <v>2.1709446E7</v>
      </c>
      <c r="B159" s="99">
        <v>1.0</v>
      </c>
      <c r="C159" s="83" t="s">
        <v>725</v>
      </c>
      <c r="D159" s="100" t="s">
        <v>726</v>
      </c>
      <c r="E159" s="100" t="s">
        <v>373</v>
      </c>
      <c r="F159" s="100" t="s">
        <v>727</v>
      </c>
      <c r="G159" s="98"/>
      <c r="H159" s="98"/>
      <c r="I159" s="98"/>
      <c r="J159" s="98"/>
      <c r="K159" s="98"/>
      <c r="L159" s="98"/>
      <c r="M159" s="98"/>
      <c r="N159" s="98"/>
      <c r="O159" s="98"/>
      <c r="P159" s="98"/>
      <c r="Q159" s="98"/>
      <c r="R159" s="98"/>
      <c r="S159" s="106">
        <f t="shared" si="3"/>
        <v>0</v>
      </c>
      <c r="T159" s="107">
        <f t="shared" si="2"/>
        <v>0</v>
      </c>
      <c r="U159" s="106" t="str">
        <f>IF(H159="Rendida ",IF('Resultados Individuales'!T159&lt;49.5%,"Por Mejorar",IF('Resultados Individuales'!T159&lt;64.5%,"Base",IF('Resultados Individuales'!T159&lt;84.5%,"Satisfactorio","Óptimo"))),"No rendida o no válida")</f>
        <v>No rendida o no válida</v>
      </c>
      <c r="V159" s="108"/>
      <c r="W159" s="108"/>
      <c r="X159" s="108"/>
      <c r="Y159" s="108"/>
      <c r="Z159" s="108"/>
    </row>
    <row r="160" ht="15.75" customHeight="1">
      <c r="A160" s="82">
        <v>2.1710886E7</v>
      </c>
      <c r="B160" s="83">
        <v>1.0</v>
      </c>
      <c r="C160" s="83" t="s">
        <v>728</v>
      </c>
      <c r="D160" s="84" t="s">
        <v>729</v>
      </c>
      <c r="E160" s="84" t="s">
        <v>484</v>
      </c>
      <c r="F160" s="84" t="s">
        <v>730</v>
      </c>
      <c r="G160" s="85" t="s">
        <v>72</v>
      </c>
      <c r="H160" s="82" t="s">
        <v>79</v>
      </c>
      <c r="I160" s="125">
        <v>45758.0</v>
      </c>
      <c r="J160" s="82"/>
      <c r="K160" s="82">
        <v>2.0</v>
      </c>
      <c r="L160" s="82">
        <v>3.0</v>
      </c>
      <c r="M160" s="82">
        <v>3.0</v>
      </c>
      <c r="N160" s="82">
        <v>2.0</v>
      </c>
      <c r="O160" s="82">
        <v>2.0</v>
      </c>
      <c r="P160" s="82">
        <v>2.0</v>
      </c>
      <c r="Q160" s="82">
        <v>1.0</v>
      </c>
      <c r="R160" s="82">
        <v>3.0</v>
      </c>
      <c r="S160" s="89">
        <f t="shared" si="3"/>
        <v>18</v>
      </c>
      <c r="T160" s="90">
        <f t="shared" si="2"/>
        <v>0.45</v>
      </c>
      <c r="U160" s="89" t="str">
        <f>IF(H160="Rendida ",IF('Resultados Individuales'!T160&lt;49.5%,"Por Mejorar",IF('Resultados Individuales'!T160&lt;64.5%,"Base",IF('Resultados Individuales'!T160&lt;84.5%,"Satisfactorio","Óptimo"))),"No rendida o no válida")</f>
        <v>Por Mejorar</v>
      </c>
      <c r="V160" s="1" t="s">
        <v>731</v>
      </c>
    </row>
    <row r="161" ht="15.75" customHeight="1">
      <c r="A161" s="98">
        <v>2.1713827E7</v>
      </c>
      <c r="B161" s="99">
        <v>2.0</v>
      </c>
      <c r="C161" s="83" t="s">
        <v>732</v>
      </c>
      <c r="D161" s="100" t="s">
        <v>321</v>
      </c>
      <c r="E161" s="100" t="s">
        <v>733</v>
      </c>
      <c r="F161" s="100" t="s">
        <v>734</v>
      </c>
      <c r="G161" s="98"/>
      <c r="H161" s="98"/>
      <c r="I161" s="98"/>
      <c r="J161" s="98"/>
      <c r="K161" s="98"/>
      <c r="L161" s="98"/>
      <c r="M161" s="98"/>
      <c r="N161" s="98"/>
      <c r="O161" s="98"/>
      <c r="P161" s="98"/>
      <c r="Q161" s="98"/>
      <c r="R161" s="98"/>
      <c r="S161" s="106">
        <f t="shared" si="3"/>
        <v>0</v>
      </c>
      <c r="T161" s="107">
        <f t="shared" si="2"/>
        <v>0</v>
      </c>
      <c r="U161" s="106" t="str">
        <f>IF(H161="Rendida ",IF('Resultados Individuales'!T161&lt;49.5%,"Por Mejorar",IF('Resultados Individuales'!T161&lt;64.5%,"Base",IF('Resultados Individuales'!T161&lt;84.5%,"Satisfactorio","Óptimo"))),"No rendida o no válida")</f>
        <v>No rendida o no válida</v>
      </c>
      <c r="V161" s="108"/>
      <c r="W161" s="108"/>
      <c r="X161" s="108"/>
      <c r="Y161" s="108"/>
      <c r="Z161" s="108"/>
    </row>
    <row r="162" ht="15.75" customHeight="1">
      <c r="A162" s="98">
        <v>2.1716261E7</v>
      </c>
      <c r="B162" s="99">
        <v>0.0</v>
      </c>
      <c r="C162" s="83" t="s">
        <v>735</v>
      </c>
      <c r="D162" s="100" t="s">
        <v>736</v>
      </c>
      <c r="E162" s="100" t="s">
        <v>737</v>
      </c>
      <c r="F162" s="100" t="s">
        <v>738</v>
      </c>
      <c r="G162" s="98"/>
      <c r="H162" s="98"/>
      <c r="I162" s="98"/>
      <c r="J162" s="98"/>
      <c r="K162" s="98"/>
      <c r="L162" s="98"/>
      <c r="M162" s="98"/>
      <c r="N162" s="98"/>
      <c r="O162" s="98"/>
      <c r="P162" s="98"/>
      <c r="Q162" s="98"/>
      <c r="R162" s="98"/>
      <c r="S162" s="106">
        <f t="shared" si="3"/>
        <v>0</v>
      </c>
      <c r="T162" s="107">
        <f t="shared" si="2"/>
        <v>0</v>
      </c>
      <c r="U162" s="106" t="str">
        <f>IF(H162="Rendida ",IF('Resultados Individuales'!T162&lt;49.5%,"Por Mejorar",IF('Resultados Individuales'!T162&lt;64.5%,"Base",IF('Resultados Individuales'!T162&lt;84.5%,"Satisfactorio","Óptimo"))),"No rendida o no válida")</f>
        <v>No rendida o no válida</v>
      </c>
      <c r="V162" s="108"/>
      <c r="W162" s="108"/>
      <c r="X162" s="108"/>
      <c r="Y162" s="108"/>
      <c r="Z162" s="108"/>
    </row>
    <row r="163" ht="15.75" customHeight="1">
      <c r="A163" s="82">
        <v>2.1719117E7</v>
      </c>
      <c r="B163" s="83">
        <v>3.0</v>
      </c>
      <c r="C163" s="83" t="s">
        <v>739</v>
      </c>
      <c r="D163" s="84" t="s">
        <v>202</v>
      </c>
      <c r="E163" s="84" t="s">
        <v>740</v>
      </c>
      <c r="F163" s="84" t="s">
        <v>741</v>
      </c>
      <c r="G163" s="85" t="s">
        <v>72</v>
      </c>
      <c r="H163" s="82" t="s">
        <v>79</v>
      </c>
      <c r="I163" s="125">
        <v>45758.0</v>
      </c>
      <c r="J163" s="82"/>
      <c r="K163" s="82">
        <v>3.0</v>
      </c>
      <c r="L163" s="82">
        <v>2.0</v>
      </c>
      <c r="M163" s="82">
        <v>4.0</v>
      </c>
      <c r="N163" s="82">
        <v>3.0</v>
      </c>
      <c r="O163" s="82">
        <v>3.0</v>
      </c>
      <c r="P163" s="82">
        <v>2.0</v>
      </c>
      <c r="Q163" s="82">
        <v>3.0</v>
      </c>
      <c r="R163" s="82">
        <v>2.0</v>
      </c>
      <c r="S163" s="89">
        <f t="shared" si="3"/>
        <v>22</v>
      </c>
      <c r="T163" s="90">
        <f t="shared" si="2"/>
        <v>0.55</v>
      </c>
      <c r="U163" s="89" t="str">
        <f>IF(H163="Rendida ",IF('Resultados Individuales'!T163&lt;49.5%,"Por Mejorar",IF('Resultados Individuales'!T163&lt;64.5%,"Base",IF('Resultados Individuales'!T163&lt;84.5%,"Satisfactorio","Óptimo"))),"No rendida o no válida")</f>
        <v>Base</v>
      </c>
      <c r="V163" s="1" t="s">
        <v>742</v>
      </c>
    </row>
    <row r="164" ht="15.75" customHeight="1">
      <c r="A164" s="82">
        <v>2.1720859E7</v>
      </c>
      <c r="B164" s="83">
        <v>9.0</v>
      </c>
      <c r="C164" s="83" t="s">
        <v>743</v>
      </c>
      <c r="D164" s="84" t="s">
        <v>744</v>
      </c>
      <c r="E164" s="84" t="s">
        <v>321</v>
      </c>
      <c r="F164" s="84" t="s">
        <v>745</v>
      </c>
      <c r="G164" s="85" t="s">
        <v>72</v>
      </c>
      <c r="H164" s="82" t="s">
        <v>79</v>
      </c>
      <c r="I164" s="125">
        <v>45758.0</v>
      </c>
      <c r="J164" s="82"/>
      <c r="K164" s="82">
        <v>3.0</v>
      </c>
      <c r="L164" s="82">
        <v>2.0</v>
      </c>
      <c r="M164" s="82">
        <v>4.0</v>
      </c>
      <c r="N164" s="82">
        <v>3.0</v>
      </c>
      <c r="O164" s="82">
        <v>2.0</v>
      </c>
      <c r="P164" s="82">
        <v>2.0</v>
      </c>
      <c r="Q164" s="82">
        <v>2.0</v>
      </c>
      <c r="R164" s="82">
        <v>3.0</v>
      </c>
      <c r="S164" s="89">
        <f t="shared" si="3"/>
        <v>21</v>
      </c>
      <c r="T164" s="90">
        <f t="shared" si="2"/>
        <v>0.525</v>
      </c>
      <c r="U164" s="89" t="str">
        <f>IF(H164="Rendida ",IF('Resultados Individuales'!T164&lt;49.5%,"Por Mejorar",IF('Resultados Individuales'!T164&lt;64.5%,"Base",IF('Resultados Individuales'!T164&lt;84.5%,"Satisfactorio","Óptimo"))),"No rendida o no válida")</f>
        <v>Base</v>
      </c>
      <c r="V164" s="94" t="s">
        <v>746</v>
      </c>
    </row>
    <row r="165" ht="15.75" customHeight="1">
      <c r="A165" s="82">
        <v>2.1724405E7</v>
      </c>
      <c r="B165" s="83">
        <v>6.0</v>
      </c>
      <c r="C165" s="83" t="s">
        <v>747</v>
      </c>
      <c r="D165" s="84" t="s">
        <v>568</v>
      </c>
      <c r="E165" s="84" t="s">
        <v>748</v>
      </c>
      <c r="F165" s="84" t="s">
        <v>749</v>
      </c>
      <c r="G165" s="85" t="s">
        <v>72</v>
      </c>
      <c r="H165" s="82" t="s">
        <v>79</v>
      </c>
      <c r="I165" s="125">
        <v>45758.0</v>
      </c>
      <c r="J165" s="82"/>
      <c r="K165" s="82">
        <v>3.0</v>
      </c>
      <c r="L165" s="82">
        <v>2.0</v>
      </c>
      <c r="M165" s="82">
        <v>2.0</v>
      </c>
      <c r="N165" s="82">
        <v>2.0</v>
      </c>
      <c r="O165" s="82">
        <v>3.0</v>
      </c>
      <c r="P165" s="82">
        <v>3.0</v>
      </c>
      <c r="Q165" s="82">
        <v>3.0</v>
      </c>
      <c r="R165" s="82">
        <v>3.0</v>
      </c>
      <c r="S165" s="89">
        <f t="shared" si="3"/>
        <v>21</v>
      </c>
      <c r="T165" s="90">
        <f t="shared" si="2"/>
        <v>0.525</v>
      </c>
      <c r="U165" s="89" t="str">
        <f>IF(H165="Rendida ",IF('Resultados Individuales'!T165&lt;49.5%,"Por Mejorar",IF('Resultados Individuales'!T165&lt;64.5%,"Base",IF('Resultados Individuales'!T165&lt;84.5%,"Satisfactorio","Óptimo"))),"No rendida o no válida")</f>
        <v>Base</v>
      </c>
      <c r="V165" s="94" t="s">
        <v>750</v>
      </c>
    </row>
    <row r="166" ht="15.75" customHeight="1">
      <c r="A166" s="82">
        <v>2.1727481E7</v>
      </c>
      <c r="B166" s="83">
        <v>8.0</v>
      </c>
      <c r="C166" s="83" t="s">
        <v>751</v>
      </c>
      <c r="D166" s="84" t="s">
        <v>405</v>
      </c>
      <c r="E166" s="84" t="s">
        <v>638</v>
      </c>
      <c r="F166" s="84" t="s">
        <v>752</v>
      </c>
      <c r="G166" s="85" t="s">
        <v>72</v>
      </c>
      <c r="H166" s="82" t="s">
        <v>79</v>
      </c>
      <c r="I166" s="125">
        <v>45758.0</v>
      </c>
      <c r="J166" s="82"/>
      <c r="K166" s="82">
        <v>1.0</v>
      </c>
      <c r="L166" s="82">
        <v>1.0</v>
      </c>
      <c r="M166" s="82">
        <v>2.0</v>
      </c>
      <c r="N166" s="82">
        <v>1.0</v>
      </c>
      <c r="O166" s="82">
        <v>2.0</v>
      </c>
      <c r="P166" s="82">
        <v>2.0</v>
      </c>
      <c r="Q166" s="82">
        <v>1.0</v>
      </c>
      <c r="R166" s="82">
        <v>2.0</v>
      </c>
      <c r="S166" s="89">
        <f t="shared" si="3"/>
        <v>12</v>
      </c>
      <c r="T166" s="90">
        <f t="shared" si="2"/>
        <v>0.3</v>
      </c>
      <c r="U166" s="89" t="str">
        <f>IF(H166="Rendida ",IF('Resultados Individuales'!T166&lt;49.5%,"Por Mejorar",IF('Resultados Individuales'!T166&lt;64.5%,"Base",IF('Resultados Individuales'!T166&lt;84.5%,"Satisfactorio","Óptimo"))),"No rendida o no válida")</f>
        <v>Por Mejorar</v>
      </c>
      <c r="V166" s="94" t="s">
        <v>753</v>
      </c>
    </row>
    <row r="167" ht="15.75" customHeight="1">
      <c r="A167" s="98">
        <v>2.1730669E7</v>
      </c>
      <c r="B167" s="99">
        <v>8.0</v>
      </c>
      <c r="C167" s="83" t="s">
        <v>754</v>
      </c>
      <c r="D167" s="100" t="s">
        <v>755</v>
      </c>
      <c r="E167" s="100" t="s">
        <v>221</v>
      </c>
      <c r="F167" s="100" t="s">
        <v>756</v>
      </c>
      <c r="G167" s="98"/>
      <c r="H167" s="98"/>
      <c r="I167" s="98"/>
      <c r="J167" s="98"/>
      <c r="K167" s="98"/>
      <c r="L167" s="98"/>
      <c r="M167" s="98"/>
      <c r="N167" s="98"/>
      <c r="O167" s="98"/>
      <c r="P167" s="98"/>
      <c r="Q167" s="98"/>
      <c r="R167" s="98"/>
      <c r="S167" s="106">
        <f t="shared" si="3"/>
        <v>0</v>
      </c>
      <c r="T167" s="107">
        <f t="shared" si="2"/>
        <v>0</v>
      </c>
      <c r="U167" s="106" t="str">
        <f>IF(H167="Rendida ",IF('Resultados Individuales'!T167&lt;49.5%,"Por Mejorar",IF('Resultados Individuales'!T167&lt;64.5%,"Base",IF('Resultados Individuales'!T167&lt;84.5%,"Satisfactorio","Óptimo"))),"No rendida o no válida")</f>
        <v>No rendida o no válida</v>
      </c>
      <c r="V167" s="108"/>
      <c r="W167" s="108"/>
      <c r="X167" s="108"/>
      <c r="Y167" s="108"/>
      <c r="Z167" s="108"/>
    </row>
    <row r="168" ht="15.75" customHeight="1">
      <c r="A168" s="98">
        <v>2.1730688E7</v>
      </c>
      <c r="B168" s="99">
        <v>4.0</v>
      </c>
      <c r="C168" s="83" t="s">
        <v>757</v>
      </c>
      <c r="D168" s="100" t="s">
        <v>758</v>
      </c>
      <c r="E168" s="100" t="s">
        <v>759</v>
      </c>
      <c r="F168" s="100" t="s">
        <v>760</v>
      </c>
      <c r="G168" s="98"/>
      <c r="H168" s="98"/>
      <c r="I168" s="98"/>
      <c r="J168" s="98"/>
      <c r="K168" s="98"/>
      <c r="L168" s="98"/>
      <c r="M168" s="98"/>
      <c r="N168" s="98"/>
      <c r="O168" s="98"/>
      <c r="P168" s="98"/>
      <c r="Q168" s="98"/>
      <c r="R168" s="98"/>
      <c r="S168" s="106">
        <f t="shared" si="3"/>
        <v>0</v>
      </c>
      <c r="T168" s="107">
        <f t="shared" si="2"/>
        <v>0</v>
      </c>
      <c r="U168" s="106" t="str">
        <f>IF(H168="Rendida ",IF('Resultados Individuales'!T168&lt;49.5%,"Por Mejorar",IF('Resultados Individuales'!T168&lt;64.5%,"Base",IF('Resultados Individuales'!T168&lt;84.5%,"Satisfactorio","Óptimo"))),"No rendida o no válida")</f>
        <v>No rendida o no válida</v>
      </c>
      <c r="V168" s="108"/>
      <c r="W168" s="108"/>
      <c r="X168" s="108"/>
      <c r="Y168" s="108"/>
      <c r="Z168" s="108"/>
    </row>
    <row r="169" ht="15.75" customHeight="1">
      <c r="A169" s="82">
        <v>2.1734212E7</v>
      </c>
      <c r="B169" s="83">
        <v>0.0</v>
      </c>
      <c r="C169" s="83" t="s">
        <v>761</v>
      </c>
      <c r="D169" s="84" t="s">
        <v>762</v>
      </c>
      <c r="E169" s="84" t="s">
        <v>305</v>
      </c>
      <c r="F169" s="84" t="s">
        <v>763</v>
      </c>
      <c r="G169" s="85" t="s">
        <v>72</v>
      </c>
      <c r="H169" s="82" t="s">
        <v>79</v>
      </c>
      <c r="I169" s="125">
        <v>45758.0</v>
      </c>
      <c r="J169" s="82"/>
      <c r="K169" s="82">
        <v>2.0</v>
      </c>
      <c r="L169" s="82">
        <v>2.0</v>
      </c>
      <c r="M169" s="82">
        <v>3.0</v>
      </c>
      <c r="N169" s="82">
        <v>2.0</v>
      </c>
      <c r="O169" s="82">
        <v>2.0</v>
      </c>
      <c r="P169" s="82">
        <v>3.0</v>
      </c>
      <c r="Q169" s="82">
        <v>2.0</v>
      </c>
      <c r="R169" s="82">
        <v>3.0</v>
      </c>
      <c r="S169" s="89">
        <f t="shared" si="3"/>
        <v>19</v>
      </c>
      <c r="T169" s="90">
        <f t="shared" si="2"/>
        <v>0.475</v>
      </c>
      <c r="U169" s="89" t="str">
        <f>IF(H169="Rendida ",IF('Resultados Individuales'!T169&lt;49.5%,"Por Mejorar",IF('Resultados Individuales'!T169&lt;64.5%,"Base",IF('Resultados Individuales'!T169&lt;84.5%,"Satisfactorio","Óptimo"))),"No rendida o no válida")</f>
        <v>Por Mejorar</v>
      </c>
      <c r="V169" s="94" t="s">
        <v>764</v>
      </c>
    </row>
    <row r="170" ht="15.75" customHeight="1">
      <c r="A170" s="82">
        <v>2.173557E7</v>
      </c>
      <c r="B170" s="83">
        <v>2.0</v>
      </c>
      <c r="C170" s="83" t="s">
        <v>765</v>
      </c>
      <c r="D170" s="84" t="s">
        <v>69</v>
      </c>
      <c r="E170" s="84" t="s">
        <v>251</v>
      </c>
      <c r="F170" s="84" t="s">
        <v>766</v>
      </c>
      <c r="G170" s="85" t="s">
        <v>72</v>
      </c>
      <c r="H170" s="82" t="s">
        <v>79</v>
      </c>
      <c r="I170" s="125">
        <v>45758.0</v>
      </c>
      <c r="J170" s="82"/>
      <c r="K170" s="82">
        <v>2.0</v>
      </c>
      <c r="L170" s="82">
        <v>3.0</v>
      </c>
      <c r="M170" s="82">
        <v>3.0</v>
      </c>
      <c r="N170" s="82">
        <v>2.0</v>
      </c>
      <c r="O170" s="82">
        <v>2.0</v>
      </c>
      <c r="P170" s="82">
        <v>2.0</v>
      </c>
      <c r="Q170" s="82">
        <v>1.0</v>
      </c>
      <c r="R170" s="82">
        <v>2.0</v>
      </c>
      <c r="S170" s="89">
        <f t="shared" si="3"/>
        <v>17</v>
      </c>
      <c r="T170" s="90">
        <f t="shared" si="2"/>
        <v>0.425</v>
      </c>
      <c r="U170" s="89" t="str">
        <f>IF(H170="Rendida ",IF('Resultados Individuales'!T170&lt;49.5%,"Por Mejorar",IF('Resultados Individuales'!T170&lt;64.5%,"Base",IF('Resultados Individuales'!T170&lt;84.5%,"Satisfactorio","Óptimo"))),"No rendida o no válida")</f>
        <v>Por Mejorar</v>
      </c>
      <c r="V170" s="94" t="s">
        <v>767</v>
      </c>
    </row>
    <row r="171" ht="15.75" customHeight="1">
      <c r="A171" s="82">
        <v>2.1737226E7</v>
      </c>
      <c r="B171" s="83">
        <v>7.0</v>
      </c>
      <c r="C171" s="83" t="s">
        <v>768</v>
      </c>
      <c r="D171" s="84" t="s">
        <v>769</v>
      </c>
      <c r="E171" s="84" t="s">
        <v>770</v>
      </c>
      <c r="F171" s="84" t="s">
        <v>771</v>
      </c>
      <c r="G171" s="85" t="s">
        <v>72</v>
      </c>
      <c r="H171" s="82" t="s">
        <v>79</v>
      </c>
      <c r="I171" s="125">
        <v>45758.0</v>
      </c>
      <c r="J171" s="82"/>
      <c r="K171" s="82">
        <v>2.0</v>
      </c>
      <c r="L171" s="82">
        <v>2.0</v>
      </c>
      <c r="M171" s="82">
        <v>3.0</v>
      </c>
      <c r="N171" s="82">
        <v>2.0</v>
      </c>
      <c r="O171" s="82">
        <v>2.0</v>
      </c>
      <c r="P171" s="82">
        <v>3.0</v>
      </c>
      <c r="Q171" s="82">
        <v>2.0</v>
      </c>
      <c r="R171" s="82">
        <v>2.0</v>
      </c>
      <c r="S171" s="89">
        <f t="shared" si="3"/>
        <v>18</v>
      </c>
      <c r="T171" s="90">
        <f t="shared" si="2"/>
        <v>0.45</v>
      </c>
      <c r="U171" s="89" t="str">
        <f>IF(H171="Rendida ",IF('Resultados Individuales'!T171&lt;49.5%,"Por Mejorar",IF('Resultados Individuales'!T171&lt;64.5%,"Base",IF('Resultados Individuales'!T171&lt;84.5%,"Satisfactorio","Óptimo"))),"No rendida o no válida")</f>
        <v>Por Mejorar</v>
      </c>
      <c r="V171" s="94" t="s">
        <v>772</v>
      </c>
    </row>
    <row r="172" ht="15.75" customHeight="1">
      <c r="A172" s="98">
        <v>2.1756479E7</v>
      </c>
      <c r="B172" s="99">
        <v>4.0</v>
      </c>
      <c r="C172" s="83" t="s">
        <v>773</v>
      </c>
      <c r="D172" s="100" t="s">
        <v>266</v>
      </c>
      <c r="E172" s="100" t="s">
        <v>484</v>
      </c>
      <c r="F172" s="100" t="s">
        <v>774</v>
      </c>
      <c r="G172" s="98"/>
      <c r="H172" s="98"/>
      <c r="I172" s="98"/>
      <c r="J172" s="98"/>
      <c r="K172" s="98"/>
      <c r="L172" s="98"/>
      <c r="M172" s="98"/>
      <c r="N172" s="98"/>
      <c r="O172" s="98"/>
      <c r="P172" s="98"/>
      <c r="Q172" s="98"/>
      <c r="R172" s="98"/>
      <c r="S172" s="106">
        <f t="shared" si="3"/>
        <v>0</v>
      </c>
      <c r="T172" s="107">
        <f t="shared" si="2"/>
        <v>0</v>
      </c>
      <c r="U172" s="106" t="str">
        <f>IF(H172="Rendida ",IF('Resultados Individuales'!T172&lt;49.5%,"Por Mejorar",IF('Resultados Individuales'!T172&lt;64.5%,"Base",IF('Resultados Individuales'!T172&lt;84.5%,"Satisfactorio","Óptimo"))),"No rendida o no válida")</f>
        <v>No rendida o no válida</v>
      </c>
      <c r="V172" s="108"/>
      <c r="W172" s="108"/>
      <c r="X172" s="108"/>
      <c r="Y172" s="108"/>
      <c r="Z172" s="108"/>
    </row>
    <row r="173" ht="15.75" customHeight="1">
      <c r="A173" s="82">
        <v>2.1759315E7</v>
      </c>
      <c r="B173" s="83">
        <v>8.0</v>
      </c>
      <c r="C173" s="83" t="s">
        <v>775</v>
      </c>
      <c r="D173" s="84" t="s">
        <v>88</v>
      </c>
      <c r="E173" s="84" t="s">
        <v>776</v>
      </c>
      <c r="F173" s="84" t="s">
        <v>777</v>
      </c>
      <c r="G173" s="85" t="s">
        <v>72</v>
      </c>
      <c r="H173" s="82" t="s">
        <v>79</v>
      </c>
      <c r="I173" s="125">
        <v>45758.0</v>
      </c>
      <c r="J173" s="82"/>
      <c r="K173" s="82">
        <v>2.0</v>
      </c>
      <c r="L173" s="82">
        <v>2.0</v>
      </c>
      <c r="M173" s="82">
        <v>3.0</v>
      </c>
      <c r="N173" s="82">
        <v>2.0</v>
      </c>
      <c r="O173" s="82">
        <v>2.0</v>
      </c>
      <c r="P173" s="82">
        <v>2.0</v>
      </c>
      <c r="Q173" s="82">
        <v>1.0</v>
      </c>
      <c r="R173" s="82">
        <v>3.0</v>
      </c>
      <c r="S173" s="89">
        <f t="shared" si="3"/>
        <v>17</v>
      </c>
      <c r="T173" s="90">
        <f t="shared" si="2"/>
        <v>0.425</v>
      </c>
      <c r="U173" s="89" t="str">
        <f>IF(H173="Rendida ",IF('Resultados Individuales'!T173&lt;49.5%,"Por Mejorar",IF('Resultados Individuales'!T173&lt;64.5%,"Base",IF('Resultados Individuales'!T173&lt;84.5%,"Satisfactorio","Óptimo"))),"No rendida o no válida")</f>
        <v>Por Mejorar</v>
      </c>
      <c r="V173" s="94" t="s">
        <v>778</v>
      </c>
    </row>
    <row r="174" ht="15.75" customHeight="1">
      <c r="A174" s="82">
        <v>2.1761443E7</v>
      </c>
      <c r="B174" s="83">
        <v>0.0</v>
      </c>
      <c r="C174" s="83" t="s">
        <v>779</v>
      </c>
      <c r="D174" s="84" t="s">
        <v>69</v>
      </c>
      <c r="E174" s="84" t="s">
        <v>694</v>
      </c>
      <c r="F174" s="84" t="s">
        <v>752</v>
      </c>
      <c r="G174" s="85" t="s">
        <v>72</v>
      </c>
      <c r="H174" s="82" t="s">
        <v>79</v>
      </c>
      <c r="I174" s="125">
        <v>45758.0</v>
      </c>
      <c r="J174" s="82"/>
      <c r="K174" s="82">
        <v>3.0</v>
      </c>
      <c r="L174" s="82">
        <v>3.0</v>
      </c>
      <c r="M174" s="82">
        <v>3.0</v>
      </c>
      <c r="N174" s="82">
        <v>3.0</v>
      </c>
      <c r="O174" s="82">
        <v>2.0</v>
      </c>
      <c r="P174" s="82">
        <v>2.0</v>
      </c>
      <c r="Q174" s="82">
        <v>1.0</v>
      </c>
      <c r="R174" s="82">
        <v>3.0</v>
      </c>
      <c r="S174" s="89">
        <f t="shared" si="3"/>
        <v>20</v>
      </c>
      <c r="T174" s="90">
        <f t="shared" si="2"/>
        <v>0.5</v>
      </c>
      <c r="U174" s="89" t="str">
        <f>IF(H174="Rendida ",IF('Resultados Individuales'!T174&lt;49.5%,"Por Mejorar",IF('Resultados Individuales'!T174&lt;64.5%,"Base",IF('Resultados Individuales'!T174&lt;84.5%,"Satisfactorio","Óptimo"))),"No rendida o no válida")</f>
        <v>Base</v>
      </c>
      <c r="V174" s="94" t="s">
        <v>780</v>
      </c>
    </row>
    <row r="175" ht="15.75" customHeight="1">
      <c r="A175" s="98">
        <v>2.1763449E7</v>
      </c>
      <c r="B175" s="99">
        <v>0.0</v>
      </c>
      <c r="C175" s="83" t="s">
        <v>781</v>
      </c>
      <c r="D175" s="100" t="s">
        <v>130</v>
      </c>
      <c r="E175" s="100" t="s">
        <v>782</v>
      </c>
      <c r="F175" s="100" t="s">
        <v>783</v>
      </c>
      <c r="G175" s="98"/>
      <c r="H175" s="98"/>
      <c r="I175" s="98"/>
      <c r="J175" s="98"/>
      <c r="K175" s="98"/>
      <c r="L175" s="98"/>
      <c r="M175" s="98"/>
      <c r="N175" s="98"/>
      <c r="O175" s="98"/>
      <c r="P175" s="98"/>
      <c r="Q175" s="98"/>
      <c r="R175" s="98"/>
      <c r="S175" s="106">
        <f t="shared" si="3"/>
        <v>0</v>
      </c>
      <c r="T175" s="107">
        <f t="shared" si="2"/>
        <v>0</v>
      </c>
      <c r="U175" s="106" t="str">
        <f>IF(H175="Rendida ",IF('Resultados Individuales'!T175&lt;49.5%,"Por Mejorar",IF('Resultados Individuales'!T175&lt;64.5%,"Base",IF('Resultados Individuales'!T175&lt;84.5%,"Satisfactorio","Óptimo"))),"No rendida o no válida")</f>
        <v>No rendida o no válida</v>
      </c>
      <c r="V175" s="108"/>
      <c r="W175" s="108"/>
      <c r="X175" s="108"/>
      <c r="Y175" s="108"/>
      <c r="Z175" s="108"/>
    </row>
    <row r="176" ht="15.75" customHeight="1">
      <c r="A176" s="82">
        <v>2.1764725E7</v>
      </c>
      <c r="B176" s="83">
        <v>8.0</v>
      </c>
      <c r="C176" s="83" t="s">
        <v>784</v>
      </c>
      <c r="D176" s="84" t="s">
        <v>325</v>
      </c>
      <c r="E176" s="84" t="s">
        <v>785</v>
      </c>
      <c r="F176" s="84" t="s">
        <v>786</v>
      </c>
      <c r="G176" s="85" t="s">
        <v>72</v>
      </c>
      <c r="H176" s="82" t="s">
        <v>79</v>
      </c>
      <c r="I176" s="125">
        <v>45758.0</v>
      </c>
      <c r="J176" s="82"/>
      <c r="K176" s="82">
        <v>3.0</v>
      </c>
      <c r="L176" s="82">
        <v>3.0</v>
      </c>
      <c r="M176" s="82">
        <v>2.0</v>
      </c>
      <c r="N176" s="82">
        <v>3.0</v>
      </c>
      <c r="O176" s="82">
        <v>2.0</v>
      </c>
      <c r="P176" s="82">
        <v>1.0</v>
      </c>
      <c r="Q176" s="82">
        <v>1.0</v>
      </c>
      <c r="R176" s="82">
        <v>2.0</v>
      </c>
      <c r="S176" s="89">
        <f t="shared" si="3"/>
        <v>17</v>
      </c>
      <c r="T176" s="90">
        <f t="shared" si="2"/>
        <v>0.425</v>
      </c>
      <c r="U176" s="89" t="str">
        <f>IF(H176="Rendida ",IF('Resultados Individuales'!T176&lt;49.5%,"Por Mejorar",IF('Resultados Individuales'!T176&lt;64.5%,"Base",IF('Resultados Individuales'!T176&lt;84.5%,"Satisfactorio","Óptimo"))),"No rendida o no válida")</f>
        <v>Por Mejorar</v>
      </c>
      <c r="V176" s="94" t="s">
        <v>787</v>
      </c>
    </row>
    <row r="177" ht="15.75" customHeight="1">
      <c r="A177" s="98">
        <v>2.1769249E7</v>
      </c>
      <c r="B177" s="99">
        <v>0.0</v>
      </c>
      <c r="C177" s="83" t="s">
        <v>788</v>
      </c>
      <c r="D177" s="100" t="s">
        <v>789</v>
      </c>
      <c r="E177" s="100" t="s">
        <v>790</v>
      </c>
      <c r="F177" s="100" t="s">
        <v>791</v>
      </c>
      <c r="G177" s="98"/>
      <c r="H177" s="98"/>
      <c r="I177" s="98"/>
      <c r="J177" s="98"/>
      <c r="K177" s="98"/>
      <c r="L177" s="98"/>
      <c r="M177" s="98"/>
      <c r="N177" s="98"/>
      <c r="O177" s="98"/>
      <c r="P177" s="98"/>
      <c r="Q177" s="98"/>
      <c r="R177" s="98"/>
      <c r="S177" s="106">
        <f t="shared" si="3"/>
        <v>0</v>
      </c>
      <c r="T177" s="107">
        <f t="shared" si="2"/>
        <v>0</v>
      </c>
      <c r="U177" s="106" t="str">
        <f>IF(H177="Rendida ",IF('Resultados Individuales'!T177&lt;49.5%,"Por Mejorar",IF('Resultados Individuales'!T177&lt;64.5%,"Base",IF('Resultados Individuales'!T177&lt;84.5%,"Satisfactorio","Óptimo"))),"No rendida o no válida")</f>
        <v>No rendida o no válida</v>
      </c>
      <c r="V177" s="108"/>
      <c r="W177" s="108"/>
      <c r="X177" s="108"/>
      <c r="Y177" s="108"/>
      <c r="Z177" s="108"/>
    </row>
    <row r="178" ht="15.75" customHeight="1">
      <c r="A178" s="98">
        <v>2.17719E7</v>
      </c>
      <c r="B178" s="99">
        <v>3.0</v>
      </c>
      <c r="C178" s="83" t="s">
        <v>792</v>
      </c>
      <c r="D178" s="100" t="s">
        <v>661</v>
      </c>
      <c r="E178" s="100" t="s">
        <v>292</v>
      </c>
      <c r="F178" s="100" t="s">
        <v>793</v>
      </c>
      <c r="G178" s="98"/>
      <c r="H178" s="98"/>
      <c r="I178" s="98"/>
      <c r="J178" s="98"/>
      <c r="K178" s="98"/>
      <c r="L178" s="98"/>
      <c r="M178" s="98"/>
      <c r="N178" s="98"/>
      <c r="O178" s="98"/>
      <c r="P178" s="98"/>
      <c r="Q178" s="98"/>
      <c r="R178" s="98"/>
      <c r="S178" s="106">
        <f t="shared" si="3"/>
        <v>0</v>
      </c>
      <c r="T178" s="107">
        <f t="shared" si="2"/>
        <v>0</v>
      </c>
      <c r="U178" s="106" t="str">
        <f>IF(H178="Rendida ",IF('Resultados Individuales'!T178&lt;49.5%,"Por Mejorar",IF('Resultados Individuales'!T178&lt;64.5%,"Base",IF('Resultados Individuales'!T178&lt;84.5%,"Satisfactorio","Óptimo"))),"No rendida o no válida")</f>
        <v>No rendida o no válida</v>
      </c>
      <c r="V178" s="108"/>
      <c r="W178" s="108"/>
      <c r="X178" s="108"/>
      <c r="Y178" s="108"/>
      <c r="Z178" s="108"/>
    </row>
    <row r="179" ht="15.75" customHeight="1">
      <c r="A179" s="82">
        <v>2.1775423E7</v>
      </c>
      <c r="B179" s="83">
        <v>2.0</v>
      </c>
      <c r="C179" s="83" t="s">
        <v>794</v>
      </c>
      <c r="D179" s="84" t="s">
        <v>795</v>
      </c>
      <c r="E179" s="84" t="s">
        <v>619</v>
      </c>
      <c r="F179" s="84" t="s">
        <v>796</v>
      </c>
      <c r="G179" s="85" t="s">
        <v>72</v>
      </c>
      <c r="H179" s="82" t="s">
        <v>79</v>
      </c>
      <c r="I179" s="125">
        <v>45758.0</v>
      </c>
      <c r="J179" s="82"/>
      <c r="K179" s="82">
        <v>2.0</v>
      </c>
      <c r="L179" s="82">
        <v>2.0</v>
      </c>
      <c r="M179" s="82">
        <v>3.0</v>
      </c>
      <c r="N179" s="82">
        <v>2.0</v>
      </c>
      <c r="O179" s="82">
        <v>2.0</v>
      </c>
      <c r="P179" s="82">
        <v>2.0</v>
      </c>
      <c r="Q179" s="82">
        <v>1.0</v>
      </c>
      <c r="R179" s="82">
        <v>3.0</v>
      </c>
      <c r="S179" s="89">
        <f t="shared" si="3"/>
        <v>17</v>
      </c>
      <c r="T179" s="90">
        <f t="shared" si="2"/>
        <v>0.425</v>
      </c>
      <c r="U179" s="89" t="str">
        <f>IF(H179="Rendida ",IF('Resultados Individuales'!T179&lt;49.5%,"Por Mejorar",IF('Resultados Individuales'!T179&lt;64.5%,"Base",IF('Resultados Individuales'!T179&lt;84.5%,"Satisfactorio","Óptimo"))),"No rendida o no válida")</f>
        <v>Por Mejorar</v>
      </c>
      <c r="V179" s="94" t="s">
        <v>797</v>
      </c>
    </row>
    <row r="180" ht="15.75" customHeight="1">
      <c r="A180" s="82">
        <v>2.1777494E7</v>
      </c>
      <c r="B180" s="83">
        <v>2.0</v>
      </c>
      <c r="C180" s="83" t="s">
        <v>798</v>
      </c>
      <c r="D180" s="84" t="s">
        <v>799</v>
      </c>
      <c r="E180" s="84" t="s">
        <v>800</v>
      </c>
      <c r="F180" s="84" t="s">
        <v>801</v>
      </c>
      <c r="G180" s="85" t="s">
        <v>72</v>
      </c>
      <c r="H180" s="82" t="s">
        <v>79</v>
      </c>
      <c r="I180" s="125">
        <v>45758.0</v>
      </c>
      <c r="J180" s="82"/>
      <c r="K180" s="82">
        <v>3.0</v>
      </c>
      <c r="L180" s="82">
        <v>2.0</v>
      </c>
      <c r="M180" s="82">
        <v>3.0</v>
      </c>
      <c r="N180" s="82">
        <v>3.0</v>
      </c>
      <c r="O180" s="82">
        <v>3.0</v>
      </c>
      <c r="P180" s="82">
        <v>3.0</v>
      </c>
      <c r="Q180" s="82">
        <v>2.0</v>
      </c>
      <c r="R180" s="82">
        <v>2.0</v>
      </c>
      <c r="S180" s="89">
        <f t="shared" si="3"/>
        <v>21</v>
      </c>
      <c r="T180" s="90">
        <f t="shared" si="2"/>
        <v>0.525</v>
      </c>
      <c r="U180" s="89" t="str">
        <f>IF(H180="Rendida ",IF('Resultados Individuales'!T180&lt;49.5%,"Por Mejorar",IF('Resultados Individuales'!T180&lt;64.5%,"Base",IF('Resultados Individuales'!T180&lt;84.5%,"Satisfactorio","Óptimo"))),"No rendida o no válida")</f>
        <v>Base</v>
      </c>
      <c r="V180" s="94" t="s">
        <v>802</v>
      </c>
    </row>
    <row r="181" ht="15.75" customHeight="1">
      <c r="A181" s="82">
        <v>2.1777654E7</v>
      </c>
      <c r="B181" s="83">
        <v>6.0</v>
      </c>
      <c r="C181" s="83" t="s">
        <v>803</v>
      </c>
      <c r="D181" s="84" t="s">
        <v>804</v>
      </c>
      <c r="E181" s="84" t="s">
        <v>789</v>
      </c>
      <c r="F181" s="84" t="s">
        <v>805</v>
      </c>
      <c r="G181" s="85" t="s">
        <v>72</v>
      </c>
      <c r="H181" s="82" t="s">
        <v>79</v>
      </c>
      <c r="I181" s="125">
        <v>45758.0</v>
      </c>
      <c r="J181" s="82"/>
      <c r="K181" s="82">
        <v>3.0</v>
      </c>
      <c r="L181" s="82">
        <v>4.0</v>
      </c>
      <c r="M181" s="82">
        <v>4.0</v>
      </c>
      <c r="N181" s="82">
        <v>3.0</v>
      </c>
      <c r="O181" s="82">
        <v>3.0</v>
      </c>
      <c r="P181" s="82">
        <v>3.0</v>
      </c>
      <c r="Q181" s="82">
        <v>3.0</v>
      </c>
      <c r="R181" s="82">
        <v>3.0</v>
      </c>
      <c r="S181" s="89">
        <f t="shared" si="3"/>
        <v>26</v>
      </c>
      <c r="T181" s="90">
        <f t="shared" si="2"/>
        <v>0.65</v>
      </c>
      <c r="U181" s="89" t="str">
        <f>IF(H181="Rendida ",IF('Resultados Individuales'!T181&lt;49.5%,"Por Mejorar",IF('Resultados Individuales'!T181&lt;64.5%,"Base",IF('Resultados Individuales'!T181&lt;84.5%,"Satisfactorio","Óptimo"))),"No rendida o no válida")</f>
        <v>Satisfactorio</v>
      </c>
      <c r="V181" s="94" t="s">
        <v>806</v>
      </c>
    </row>
    <row r="182" ht="15.75" customHeight="1">
      <c r="A182" s="82">
        <v>2.1779394E7</v>
      </c>
      <c r="B182" s="83">
        <v>7.0</v>
      </c>
      <c r="C182" s="83" t="s">
        <v>807</v>
      </c>
      <c r="D182" s="84" t="s">
        <v>808</v>
      </c>
      <c r="E182" s="84" t="s">
        <v>809</v>
      </c>
      <c r="F182" s="84" t="s">
        <v>433</v>
      </c>
      <c r="G182" s="85" t="s">
        <v>72</v>
      </c>
      <c r="H182" s="82" t="s">
        <v>79</v>
      </c>
      <c r="I182" s="125">
        <v>45758.0</v>
      </c>
      <c r="J182" s="82"/>
      <c r="K182" s="82">
        <v>4.0</v>
      </c>
      <c r="L182" s="82">
        <v>4.0</v>
      </c>
      <c r="M182" s="82">
        <v>3.0</v>
      </c>
      <c r="N182" s="82">
        <v>4.0</v>
      </c>
      <c r="O182" s="82">
        <v>2.0</v>
      </c>
      <c r="P182" s="82">
        <v>2.0</v>
      </c>
      <c r="Q182" s="82">
        <v>2.0</v>
      </c>
      <c r="R182" s="82">
        <v>3.0</v>
      </c>
      <c r="S182" s="89">
        <f t="shared" si="3"/>
        <v>24</v>
      </c>
      <c r="T182" s="90">
        <f t="shared" si="2"/>
        <v>0.6</v>
      </c>
      <c r="U182" s="89" t="str">
        <f>IF(H182="Rendida ",IF('Resultados Individuales'!T182&lt;49.5%,"Por Mejorar",IF('Resultados Individuales'!T182&lt;64.5%,"Base",IF('Resultados Individuales'!T182&lt;84.5%,"Satisfactorio","Óptimo"))),"No rendida o no válida")</f>
        <v>Base</v>
      </c>
      <c r="V182" s="94" t="s">
        <v>810</v>
      </c>
    </row>
    <row r="183" ht="15.75" customHeight="1">
      <c r="A183" s="82">
        <v>2.1781198E7</v>
      </c>
      <c r="B183" s="83">
        <v>8.0</v>
      </c>
      <c r="C183" s="83" t="s">
        <v>811</v>
      </c>
      <c r="D183" s="84" t="s">
        <v>122</v>
      </c>
      <c r="E183" s="84" t="s">
        <v>484</v>
      </c>
      <c r="F183" s="84" t="s">
        <v>812</v>
      </c>
      <c r="G183" s="85" t="s">
        <v>72</v>
      </c>
      <c r="H183" s="82" t="s">
        <v>79</v>
      </c>
      <c r="I183" s="125">
        <v>45758.0</v>
      </c>
      <c r="J183" s="82"/>
      <c r="K183" s="82">
        <v>2.0</v>
      </c>
      <c r="L183" s="82">
        <v>2.0</v>
      </c>
      <c r="M183" s="82">
        <v>3.0</v>
      </c>
      <c r="N183" s="82">
        <v>2.0</v>
      </c>
      <c r="O183" s="82">
        <v>2.0</v>
      </c>
      <c r="P183" s="82">
        <v>2.0</v>
      </c>
      <c r="Q183" s="82">
        <v>1.0</v>
      </c>
      <c r="R183" s="82">
        <v>3.0</v>
      </c>
      <c r="S183" s="89">
        <f t="shared" si="3"/>
        <v>17</v>
      </c>
      <c r="T183" s="90">
        <f t="shared" si="2"/>
        <v>0.425</v>
      </c>
      <c r="U183" s="89" t="str">
        <f>IF(H183="Rendida ",IF('Resultados Individuales'!T183&lt;49.5%,"Por Mejorar",IF('Resultados Individuales'!T183&lt;64.5%,"Base",IF('Resultados Individuales'!T183&lt;84.5%,"Satisfactorio","Óptimo"))),"No rendida o no válida")</f>
        <v>Por Mejorar</v>
      </c>
      <c r="V183" s="94" t="s">
        <v>813</v>
      </c>
    </row>
    <row r="184" ht="15.75" customHeight="1">
      <c r="A184" s="82">
        <v>2.1782804E7</v>
      </c>
      <c r="B184" s="83" t="s">
        <v>139</v>
      </c>
      <c r="C184" s="83" t="s">
        <v>814</v>
      </c>
      <c r="D184" s="84" t="s">
        <v>373</v>
      </c>
      <c r="E184" s="84" t="s">
        <v>815</v>
      </c>
      <c r="F184" s="84" t="s">
        <v>816</v>
      </c>
      <c r="G184" s="85" t="s">
        <v>72</v>
      </c>
      <c r="H184" s="82" t="s">
        <v>79</v>
      </c>
      <c r="I184" s="125">
        <v>45758.0</v>
      </c>
      <c r="J184" s="82"/>
      <c r="K184" s="82">
        <v>2.0</v>
      </c>
      <c r="L184" s="82">
        <v>4.0</v>
      </c>
      <c r="M184" s="82">
        <v>3.0</v>
      </c>
      <c r="N184" s="82">
        <v>4.0</v>
      </c>
      <c r="O184" s="82">
        <v>2.0</v>
      </c>
      <c r="P184" s="82">
        <v>2.0</v>
      </c>
      <c r="Q184" s="82">
        <v>2.0</v>
      </c>
      <c r="R184" s="82">
        <v>3.0</v>
      </c>
      <c r="S184" s="89">
        <f t="shared" si="3"/>
        <v>22</v>
      </c>
      <c r="T184" s="90">
        <f t="shared" si="2"/>
        <v>0.55</v>
      </c>
      <c r="U184" s="89" t="str">
        <f>IF(H184="Rendida ",IF('Resultados Individuales'!T184&lt;49.5%,"Por Mejorar",IF('Resultados Individuales'!T184&lt;64.5%,"Base",IF('Resultados Individuales'!T184&lt;84.5%,"Satisfactorio","Óptimo"))),"No rendida o no válida")</f>
        <v>Base</v>
      </c>
      <c r="V184" s="94" t="s">
        <v>817</v>
      </c>
    </row>
    <row r="185" ht="15.75" customHeight="1">
      <c r="A185" s="82">
        <v>2.1785843E7</v>
      </c>
      <c r="B185" s="83">
        <v>7.0</v>
      </c>
      <c r="C185" s="83" t="s">
        <v>818</v>
      </c>
      <c r="D185" s="84" t="s">
        <v>107</v>
      </c>
      <c r="E185" s="84" t="s">
        <v>819</v>
      </c>
      <c r="F185" s="84" t="s">
        <v>820</v>
      </c>
      <c r="G185" s="85" t="s">
        <v>72</v>
      </c>
      <c r="H185" s="82" t="s">
        <v>79</v>
      </c>
      <c r="I185" s="125">
        <v>45758.0</v>
      </c>
      <c r="J185" s="82"/>
      <c r="K185" s="82">
        <v>4.0</v>
      </c>
      <c r="L185" s="82">
        <v>3.0</v>
      </c>
      <c r="M185" s="82">
        <v>4.0</v>
      </c>
      <c r="N185" s="82">
        <v>4.0</v>
      </c>
      <c r="O185" s="82">
        <v>2.0</v>
      </c>
      <c r="P185" s="82">
        <v>3.0</v>
      </c>
      <c r="Q185" s="82">
        <v>2.0</v>
      </c>
      <c r="R185" s="82">
        <v>3.0</v>
      </c>
      <c r="S185" s="89">
        <f t="shared" si="3"/>
        <v>25</v>
      </c>
      <c r="T185" s="90">
        <f t="shared" si="2"/>
        <v>0.625</v>
      </c>
      <c r="U185" s="89" t="str">
        <f>IF(H185="Rendida ",IF('Resultados Individuales'!T185&lt;49.5%,"Por Mejorar",IF('Resultados Individuales'!T185&lt;64.5%,"Base",IF('Resultados Individuales'!T185&lt;84.5%,"Satisfactorio","Óptimo"))),"No rendida o no válida")</f>
        <v>Base</v>
      </c>
      <c r="V185" s="94" t="s">
        <v>821</v>
      </c>
    </row>
    <row r="186" ht="15.75" customHeight="1">
      <c r="A186" s="82">
        <v>2.1787328E7</v>
      </c>
      <c r="B186" s="83">
        <v>2.0</v>
      </c>
      <c r="C186" s="83" t="s">
        <v>822</v>
      </c>
      <c r="D186" s="84" t="s">
        <v>823</v>
      </c>
      <c r="E186" s="84" t="s">
        <v>309</v>
      </c>
      <c r="F186" s="84" t="s">
        <v>824</v>
      </c>
      <c r="G186" s="85" t="s">
        <v>72</v>
      </c>
      <c r="H186" s="82" t="s">
        <v>79</v>
      </c>
      <c r="I186" s="125">
        <v>45758.0</v>
      </c>
      <c r="J186" s="82"/>
      <c r="K186" s="82">
        <v>3.0</v>
      </c>
      <c r="L186" s="82">
        <v>3.0</v>
      </c>
      <c r="M186" s="82">
        <v>4.0</v>
      </c>
      <c r="N186" s="82">
        <v>3.0</v>
      </c>
      <c r="O186" s="82">
        <v>2.0</v>
      </c>
      <c r="P186" s="82">
        <v>2.0</v>
      </c>
      <c r="Q186" s="82">
        <v>1.0</v>
      </c>
      <c r="R186" s="82">
        <v>3.0</v>
      </c>
      <c r="S186" s="89">
        <f t="shared" si="3"/>
        <v>21</v>
      </c>
      <c r="T186" s="90">
        <f t="shared" si="2"/>
        <v>0.525</v>
      </c>
      <c r="U186" s="89" t="str">
        <f>IF(H186="Rendida ",IF('Resultados Individuales'!T186&lt;49.5%,"Por Mejorar",IF('Resultados Individuales'!T186&lt;64.5%,"Base",IF('Resultados Individuales'!T186&lt;84.5%,"Satisfactorio","Óptimo"))),"No rendida o no válida")</f>
        <v>Base</v>
      </c>
      <c r="V186" s="94" t="s">
        <v>825</v>
      </c>
    </row>
    <row r="187" ht="15.75" customHeight="1">
      <c r="A187" s="82">
        <v>2.1788283E7</v>
      </c>
      <c r="B187" s="83">
        <v>4.0</v>
      </c>
      <c r="C187" s="83" t="s">
        <v>826</v>
      </c>
      <c r="D187" s="84" t="s">
        <v>171</v>
      </c>
      <c r="E187" s="84" t="s">
        <v>107</v>
      </c>
      <c r="F187" s="84" t="s">
        <v>827</v>
      </c>
      <c r="G187" s="85" t="s">
        <v>72</v>
      </c>
      <c r="H187" s="82" t="s">
        <v>79</v>
      </c>
      <c r="I187" s="82" t="s">
        <v>828</v>
      </c>
      <c r="J187" s="82"/>
      <c r="K187" s="82">
        <v>3.0</v>
      </c>
      <c r="L187" s="82">
        <v>2.0</v>
      </c>
      <c r="M187" s="82">
        <v>2.0</v>
      </c>
      <c r="N187" s="82">
        <v>3.0</v>
      </c>
      <c r="O187" s="82">
        <v>4.0</v>
      </c>
      <c r="P187" s="82">
        <v>2.0</v>
      </c>
      <c r="Q187" s="82">
        <v>2.0</v>
      </c>
      <c r="R187" s="82">
        <v>3.0</v>
      </c>
      <c r="S187" s="89">
        <f t="shared" si="3"/>
        <v>21</v>
      </c>
      <c r="T187" s="90">
        <f t="shared" si="2"/>
        <v>0.525</v>
      </c>
      <c r="U187" s="89" t="str">
        <f>IF(H187="Rendida ",IF('Resultados Individuales'!T187&lt;49.5%,"Por Mejorar",IF('Resultados Individuales'!T187&lt;64.5%,"Base",IF('Resultados Individuales'!T187&lt;84.5%,"Satisfactorio","Óptimo"))),"No rendida o no válida")</f>
        <v>Base</v>
      </c>
      <c r="V187" s="1" t="s">
        <v>829</v>
      </c>
    </row>
    <row r="188" ht="15.75" customHeight="1">
      <c r="A188" s="82">
        <v>2.1792971E7</v>
      </c>
      <c r="B188" s="83">
        <v>7.0</v>
      </c>
      <c r="C188" s="83" t="s">
        <v>830</v>
      </c>
      <c r="D188" s="84" t="s">
        <v>809</v>
      </c>
      <c r="E188" s="84" t="s">
        <v>831</v>
      </c>
      <c r="F188" s="84" t="s">
        <v>832</v>
      </c>
      <c r="G188" s="85" t="s">
        <v>72</v>
      </c>
      <c r="H188" s="82" t="s">
        <v>79</v>
      </c>
      <c r="I188" s="125">
        <v>45758.0</v>
      </c>
      <c r="J188" s="82"/>
      <c r="K188" s="82">
        <v>3.0</v>
      </c>
      <c r="L188" s="82">
        <v>4.0</v>
      </c>
      <c r="M188" s="82">
        <v>4.0</v>
      </c>
      <c r="N188" s="82">
        <v>3.0</v>
      </c>
      <c r="O188" s="82">
        <v>2.0</v>
      </c>
      <c r="P188" s="82">
        <v>3.0</v>
      </c>
      <c r="Q188" s="82">
        <v>2.0</v>
      </c>
      <c r="R188" s="82">
        <v>3.0</v>
      </c>
      <c r="S188" s="89">
        <f t="shared" si="3"/>
        <v>24</v>
      </c>
      <c r="T188" s="90">
        <f t="shared" si="2"/>
        <v>0.6</v>
      </c>
      <c r="U188" s="89" t="str">
        <f>IF(H188="Rendida ",IF('Resultados Individuales'!T188&lt;49.5%,"Por Mejorar",IF('Resultados Individuales'!T188&lt;64.5%,"Base",IF('Resultados Individuales'!T188&lt;84.5%,"Satisfactorio","Óptimo"))),"No rendida o no válida")</f>
        <v>Base</v>
      </c>
      <c r="V188" s="1" t="s">
        <v>833</v>
      </c>
    </row>
    <row r="189" ht="15.75" customHeight="1">
      <c r="A189" s="98">
        <v>2.1795404E7</v>
      </c>
      <c r="B189" s="99">
        <v>5.0</v>
      </c>
      <c r="C189" s="83" t="s">
        <v>834</v>
      </c>
      <c r="D189" s="100" t="s">
        <v>835</v>
      </c>
      <c r="E189" s="100" t="s">
        <v>836</v>
      </c>
      <c r="F189" s="100" t="s">
        <v>837</v>
      </c>
      <c r="G189" s="98"/>
      <c r="H189" s="98"/>
      <c r="I189" s="98"/>
      <c r="J189" s="98"/>
      <c r="K189" s="98"/>
      <c r="L189" s="98"/>
      <c r="M189" s="98"/>
      <c r="N189" s="98"/>
      <c r="O189" s="98"/>
      <c r="P189" s="98"/>
      <c r="Q189" s="98"/>
      <c r="R189" s="98"/>
      <c r="S189" s="106">
        <f t="shared" si="3"/>
        <v>0</v>
      </c>
      <c r="T189" s="107">
        <f t="shared" si="2"/>
        <v>0</v>
      </c>
      <c r="U189" s="106" t="str">
        <f>IF(H189="Rendida ",IF('Resultados Individuales'!T189&lt;49.5%,"Por Mejorar",IF('Resultados Individuales'!T189&lt;64.5%,"Base",IF('Resultados Individuales'!T189&lt;84.5%,"Satisfactorio","Óptimo"))),"No rendida o no válida")</f>
        <v>No rendida o no válida</v>
      </c>
      <c r="V189" s="1" t="s">
        <v>838</v>
      </c>
      <c r="W189" s="108"/>
      <c r="X189" s="108"/>
      <c r="Y189" s="108"/>
      <c r="Z189" s="108"/>
    </row>
    <row r="190" ht="15.75" customHeight="1">
      <c r="A190" s="82">
        <v>2.1798588E7</v>
      </c>
      <c r="B190" s="83">
        <v>9.0</v>
      </c>
      <c r="C190" s="83" t="s">
        <v>839</v>
      </c>
      <c r="D190" s="84" t="s">
        <v>88</v>
      </c>
      <c r="E190" s="84" t="s">
        <v>840</v>
      </c>
      <c r="F190" s="84" t="s">
        <v>841</v>
      </c>
      <c r="G190" s="85" t="s">
        <v>72</v>
      </c>
      <c r="H190" s="82" t="s">
        <v>79</v>
      </c>
      <c r="I190" s="125">
        <v>45758.0</v>
      </c>
      <c r="J190" s="82"/>
      <c r="K190" s="82">
        <v>3.0</v>
      </c>
      <c r="L190" s="82">
        <v>3.0</v>
      </c>
      <c r="M190" s="82">
        <v>3.0</v>
      </c>
      <c r="N190" s="82">
        <v>3.0</v>
      </c>
      <c r="O190" s="82">
        <v>2.0</v>
      </c>
      <c r="P190" s="82">
        <v>2.0</v>
      </c>
      <c r="Q190" s="82">
        <v>1.0</v>
      </c>
      <c r="R190" s="82">
        <v>3.0</v>
      </c>
      <c r="S190" s="89">
        <f t="shared" si="3"/>
        <v>20</v>
      </c>
      <c r="T190" s="90">
        <f t="shared" si="2"/>
        <v>0.5</v>
      </c>
      <c r="U190" s="89" t="str">
        <f>IF(H190="Rendida ",IF('Resultados Individuales'!T190&lt;49.5%,"Por Mejorar",IF('Resultados Individuales'!T190&lt;64.5%,"Base",IF('Resultados Individuales'!T190&lt;84.5%,"Satisfactorio","Óptimo"))),"No rendida o no válida")</f>
        <v>Base</v>
      </c>
      <c r="V190" s="1" t="s">
        <v>842</v>
      </c>
    </row>
    <row r="191" ht="15.75" customHeight="1">
      <c r="A191" s="98">
        <v>2.1799869E7</v>
      </c>
      <c r="B191" s="99">
        <v>7.0</v>
      </c>
      <c r="C191" s="83" t="s">
        <v>843</v>
      </c>
      <c r="D191" s="100" t="s">
        <v>844</v>
      </c>
      <c r="E191" s="100" t="s">
        <v>845</v>
      </c>
      <c r="F191" s="100" t="s">
        <v>846</v>
      </c>
      <c r="G191" s="98"/>
      <c r="H191" s="98"/>
      <c r="I191" s="98"/>
      <c r="J191" s="98"/>
      <c r="K191" s="98"/>
      <c r="L191" s="98"/>
      <c r="M191" s="98"/>
      <c r="N191" s="98"/>
      <c r="O191" s="98"/>
      <c r="P191" s="98"/>
      <c r="Q191" s="98"/>
      <c r="R191" s="98"/>
      <c r="S191" s="106">
        <f t="shared" si="3"/>
        <v>0</v>
      </c>
      <c r="T191" s="107">
        <f t="shared" si="2"/>
        <v>0</v>
      </c>
      <c r="U191" s="106" t="str">
        <f>IF(H191="Rendida ",IF('Resultados Individuales'!T191&lt;49.5%,"Por Mejorar",IF('Resultados Individuales'!T191&lt;64.5%,"Base",IF('Resultados Individuales'!T191&lt;84.5%,"Satisfactorio","Óptimo"))),"No rendida o no válida")</f>
        <v>No rendida o no válida</v>
      </c>
      <c r="V191" s="108"/>
      <c r="W191" s="108"/>
      <c r="X191" s="108"/>
      <c r="Y191" s="108"/>
      <c r="Z191" s="108"/>
    </row>
    <row r="192" ht="15.75" customHeight="1">
      <c r="A192" s="82">
        <v>2.1802794E7</v>
      </c>
      <c r="B192" s="83">
        <v>6.0</v>
      </c>
      <c r="C192" s="83" t="s">
        <v>847</v>
      </c>
      <c r="D192" s="84" t="s">
        <v>88</v>
      </c>
      <c r="E192" s="84" t="s">
        <v>848</v>
      </c>
      <c r="F192" s="84" t="s">
        <v>433</v>
      </c>
      <c r="G192" s="85" t="s">
        <v>72</v>
      </c>
      <c r="H192" s="82" t="s">
        <v>79</v>
      </c>
      <c r="I192" s="125">
        <v>45758.0</v>
      </c>
      <c r="J192" s="82"/>
      <c r="K192" s="82">
        <v>3.0</v>
      </c>
      <c r="L192" s="82">
        <v>2.0</v>
      </c>
      <c r="M192" s="82">
        <v>3.0</v>
      </c>
      <c r="N192" s="82">
        <v>3.0</v>
      </c>
      <c r="O192" s="82">
        <v>2.0</v>
      </c>
      <c r="P192" s="82">
        <v>2.0</v>
      </c>
      <c r="Q192" s="82">
        <v>1.0</v>
      </c>
      <c r="R192" s="82">
        <v>3.0</v>
      </c>
      <c r="S192" s="89">
        <f t="shared" si="3"/>
        <v>19</v>
      </c>
      <c r="T192" s="90">
        <f t="shared" si="2"/>
        <v>0.475</v>
      </c>
      <c r="U192" s="89" t="str">
        <f>IF(H192="Rendida ",IF('Resultados Individuales'!T192&lt;49.5%,"Por Mejorar",IF('Resultados Individuales'!T192&lt;64.5%,"Base",IF('Resultados Individuales'!T192&lt;84.5%,"Satisfactorio","Óptimo"))),"No rendida o no válida")</f>
        <v>Por Mejorar</v>
      </c>
      <c r="V192" s="94" t="s">
        <v>849</v>
      </c>
    </row>
    <row r="193" ht="15.75" customHeight="1">
      <c r="A193" s="82">
        <v>2.1804848E7</v>
      </c>
      <c r="B193" s="83" t="s">
        <v>139</v>
      </c>
      <c r="C193" s="83" t="s">
        <v>850</v>
      </c>
      <c r="D193" s="84" t="s">
        <v>555</v>
      </c>
      <c r="E193" s="84" t="s">
        <v>269</v>
      </c>
      <c r="F193" s="84" t="s">
        <v>851</v>
      </c>
      <c r="G193" s="85" t="s">
        <v>72</v>
      </c>
      <c r="H193" s="82" t="s">
        <v>79</v>
      </c>
      <c r="I193" s="125">
        <v>45758.0</v>
      </c>
      <c r="J193" s="82"/>
      <c r="K193" s="82">
        <v>2.0</v>
      </c>
      <c r="L193" s="82">
        <v>3.0</v>
      </c>
      <c r="M193" s="82">
        <v>3.0</v>
      </c>
      <c r="N193" s="82">
        <v>2.0</v>
      </c>
      <c r="O193" s="82">
        <v>2.0</v>
      </c>
      <c r="P193" s="82">
        <v>3.0</v>
      </c>
      <c r="Q193" s="82">
        <v>2.0</v>
      </c>
      <c r="R193" s="82">
        <v>3.0</v>
      </c>
      <c r="S193" s="89">
        <f t="shared" si="3"/>
        <v>20</v>
      </c>
      <c r="T193" s="90">
        <f t="shared" si="2"/>
        <v>0.5</v>
      </c>
      <c r="U193" s="89" t="str">
        <f>IF(H193="Rendida ",IF('Resultados Individuales'!T193&lt;49.5%,"Por Mejorar",IF('Resultados Individuales'!T193&lt;64.5%,"Base",IF('Resultados Individuales'!T193&lt;84.5%,"Satisfactorio","Óptimo"))),"No rendida o no válida")</f>
        <v>Base</v>
      </c>
      <c r="V193" s="94" t="s">
        <v>852</v>
      </c>
    </row>
    <row r="194" ht="15.75" customHeight="1">
      <c r="A194" s="82">
        <v>2.1810533E7</v>
      </c>
      <c r="B194" s="83">
        <v>5.0</v>
      </c>
      <c r="C194" s="83" t="s">
        <v>853</v>
      </c>
      <c r="D194" s="84" t="s">
        <v>69</v>
      </c>
      <c r="E194" s="84" t="s">
        <v>854</v>
      </c>
      <c r="F194" s="84" t="s">
        <v>855</v>
      </c>
      <c r="G194" s="85" t="s">
        <v>72</v>
      </c>
      <c r="H194" s="82" t="s">
        <v>79</v>
      </c>
      <c r="I194" s="125">
        <v>45758.0</v>
      </c>
      <c r="J194" s="82"/>
      <c r="K194" s="82">
        <v>4.0</v>
      </c>
      <c r="L194" s="82">
        <v>3.0</v>
      </c>
      <c r="M194" s="82">
        <v>1.0</v>
      </c>
      <c r="N194" s="82">
        <v>4.0</v>
      </c>
      <c r="O194" s="82">
        <v>1.0</v>
      </c>
      <c r="P194" s="82">
        <v>1.0</v>
      </c>
      <c r="Q194" s="82">
        <v>1.0</v>
      </c>
      <c r="R194" s="82">
        <v>1.0</v>
      </c>
      <c r="S194" s="89">
        <f t="shared" si="3"/>
        <v>16</v>
      </c>
      <c r="T194" s="90">
        <f t="shared" si="2"/>
        <v>0.4</v>
      </c>
      <c r="U194" s="89" t="str">
        <f>IF(H194="Rendida ",IF('Resultados Individuales'!T194&lt;49.5%,"Por Mejorar",IF('Resultados Individuales'!T194&lt;64.5%,"Base",IF('Resultados Individuales'!T194&lt;84.5%,"Satisfactorio","Óptimo"))),"No rendida o no válida")</f>
        <v>Por Mejorar</v>
      </c>
      <c r="V194" s="94" t="s">
        <v>856</v>
      </c>
    </row>
    <row r="195" ht="15.75" customHeight="1">
      <c r="A195" s="82">
        <v>2.1816617E7</v>
      </c>
      <c r="B195" s="83">
        <v>2.0</v>
      </c>
      <c r="C195" s="83" t="s">
        <v>857</v>
      </c>
      <c r="D195" s="84" t="s">
        <v>858</v>
      </c>
      <c r="E195" s="84" t="s">
        <v>171</v>
      </c>
      <c r="F195" s="84" t="s">
        <v>859</v>
      </c>
      <c r="G195" s="85" t="s">
        <v>72</v>
      </c>
      <c r="H195" s="82" t="s">
        <v>79</v>
      </c>
      <c r="I195" s="125">
        <v>45758.0</v>
      </c>
      <c r="J195" s="82"/>
      <c r="K195" s="82">
        <v>2.0</v>
      </c>
      <c r="L195" s="82">
        <v>2.0</v>
      </c>
      <c r="M195" s="82">
        <v>3.0</v>
      </c>
      <c r="N195" s="82">
        <v>2.0</v>
      </c>
      <c r="O195" s="82">
        <v>1.0</v>
      </c>
      <c r="P195" s="82">
        <v>2.0</v>
      </c>
      <c r="Q195" s="82">
        <v>1.0</v>
      </c>
      <c r="R195" s="82">
        <v>2.0</v>
      </c>
      <c r="S195" s="89">
        <f t="shared" si="3"/>
        <v>15</v>
      </c>
      <c r="T195" s="90">
        <f t="shared" si="2"/>
        <v>0.375</v>
      </c>
      <c r="U195" s="89" t="str">
        <f>IF(H195="Rendida ",IF('Resultados Individuales'!T195&lt;49.5%,"Por Mejorar",IF('Resultados Individuales'!T195&lt;64.5%,"Base",IF('Resultados Individuales'!T195&lt;84.5%,"Satisfactorio","Óptimo"))),"No rendida o no válida")</f>
        <v>Por Mejorar</v>
      </c>
      <c r="V195" s="94" t="s">
        <v>860</v>
      </c>
    </row>
    <row r="196" ht="15.75" customHeight="1">
      <c r="A196" s="82">
        <v>2.1818787E7</v>
      </c>
      <c r="B196" s="83">
        <v>0.0</v>
      </c>
      <c r="C196" s="83" t="s">
        <v>861</v>
      </c>
      <c r="D196" s="84" t="s">
        <v>510</v>
      </c>
      <c r="E196" s="84" t="s">
        <v>142</v>
      </c>
      <c r="F196" s="84" t="s">
        <v>862</v>
      </c>
      <c r="G196" s="85" t="s">
        <v>72</v>
      </c>
      <c r="H196" s="82" t="s">
        <v>79</v>
      </c>
      <c r="I196" s="125">
        <v>45758.0</v>
      </c>
      <c r="J196" s="82"/>
      <c r="K196" s="82">
        <v>2.0</v>
      </c>
      <c r="L196" s="82">
        <v>2.0</v>
      </c>
      <c r="M196" s="82">
        <v>2.0</v>
      </c>
      <c r="N196" s="82">
        <v>2.0</v>
      </c>
      <c r="O196" s="82">
        <v>2.0</v>
      </c>
      <c r="P196" s="82">
        <v>2.0</v>
      </c>
      <c r="Q196" s="82">
        <v>1.0</v>
      </c>
      <c r="R196" s="82">
        <v>2.0</v>
      </c>
      <c r="S196" s="89">
        <f t="shared" si="3"/>
        <v>15</v>
      </c>
      <c r="T196" s="90">
        <f t="shared" si="2"/>
        <v>0.375</v>
      </c>
      <c r="U196" s="89" t="str">
        <f>IF(H196="Rendida ",IF('Resultados Individuales'!T196&lt;49.5%,"Por Mejorar",IF('Resultados Individuales'!T196&lt;64.5%,"Base",IF('Resultados Individuales'!T196&lt;84.5%,"Satisfactorio","Óptimo"))),"No rendida o no válida")</f>
        <v>Por Mejorar</v>
      </c>
      <c r="V196" s="94" t="s">
        <v>863</v>
      </c>
    </row>
    <row r="197" ht="15.75" customHeight="1">
      <c r="A197" s="82">
        <v>2.1828549E7</v>
      </c>
      <c r="B197" s="83" t="s">
        <v>139</v>
      </c>
      <c r="C197" s="83" t="s">
        <v>864</v>
      </c>
      <c r="D197" s="84" t="s">
        <v>142</v>
      </c>
      <c r="E197" s="84" t="s">
        <v>733</v>
      </c>
      <c r="F197" s="84" t="s">
        <v>865</v>
      </c>
      <c r="G197" s="85" t="s">
        <v>72</v>
      </c>
      <c r="H197" s="82" t="s">
        <v>79</v>
      </c>
      <c r="I197" s="125">
        <v>45758.0</v>
      </c>
      <c r="J197" s="82"/>
      <c r="K197" s="82">
        <v>3.0</v>
      </c>
      <c r="L197" s="82">
        <v>3.0</v>
      </c>
      <c r="M197" s="82">
        <v>2.0</v>
      </c>
      <c r="N197" s="82">
        <v>2.0</v>
      </c>
      <c r="O197" s="82">
        <v>2.0</v>
      </c>
      <c r="P197" s="82">
        <v>2.0</v>
      </c>
      <c r="Q197" s="82">
        <v>1.0</v>
      </c>
      <c r="R197" s="82">
        <v>2.0</v>
      </c>
      <c r="S197" s="89">
        <f t="shared" si="3"/>
        <v>17</v>
      </c>
      <c r="T197" s="90">
        <f t="shared" si="2"/>
        <v>0.425</v>
      </c>
      <c r="U197" s="89" t="str">
        <f>IF(H197="Rendida ",IF('Resultados Individuales'!T197&lt;49.5%,"Por Mejorar",IF('Resultados Individuales'!T197&lt;64.5%,"Base",IF('Resultados Individuales'!T197&lt;84.5%,"Satisfactorio","Óptimo"))),"No rendida o no válida")</f>
        <v>Por Mejorar</v>
      </c>
      <c r="V197" s="94" t="s">
        <v>866</v>
      </c>
    </row>
    <row r="198" ht="15.75" customHeight="1">
      <c r="A198" s="82">
        <v>2.1829928E7</v>
      </c>
      <c r="B198" s="83">
        <v>8.0</v>
      </c>
      <c r="C198" s="83" t="s">
        <v>867</v>
      </c>
      <c r="D198" s="84" t="s">
        <v>868</v>
      </c>
      <c r="E198" s="84" t="s">
        <v>869</v>
      </c>
      <c r="F198" s="84" t="s">
        <v>870</v>
      </c>
      <c r="G198" s="85" t="s">
        <v>72</v>
      </c>
      <c r="H198" s="82" t="s">
        <v>79</v>
      </c>
      <c r="I198" s="125">
        <v>45758.0</v>
      </c>
      <c r="J198" s="82"/>
      <c r="K198" s="82">
        <v>3.0</v>
      </c>
      <c r="L198" s="82">
        <v>3.0</v>
      </c>
      <c r="M198" s="82">
        <v>4.0</v>
      </c>
      <c r="N198" s="82">
        <v>3.0</v>
      </c>
      <c r="O198" s="82">
        <v>2.0</v>
      </c>
      <c r="P198" s="82">
        <v>2.0</v>
      </c>
      <c r="Q198" s="82">
        <v>2.0</v>
      </c>
      <c r="R198" s="82">
        <v>3.0</v>
      </c>
      <c r="S198" s="89">
        <f t="shared" si="3"/>
        <v>22</v>
      </c>
      <c r="T198" s="90">
        <f t="shared" si="2"/>
        <v>0.55</v>
      </c>
      <c r="U198" s="89" t="str">
        <f>IF(H198="Rendida ",IF('Resultados Individuales'!T198&lt;49.5%,"Por Mejorar",IF('Resultados Individuales'!T198&lt;64.5%,"Base",IF('Resultados Individuales'!T198&lt;84.5%,"Satisfactorio","Óptimo"))),"No rendida o no válida")</f>
        <v>Base</v>
      </c>
      <c r="V198" s="94" t="s">
        <v>871</v>
      </c>
    </row>
    <row r="199" ht="15.75" customHeight="1">
      <c r="A199" s="82">
        <v>2.1830314E7</v>
      </c>
      <c r="B199" s="83">
        <v>5.0</v>
      </c>
      <c r="C199" s="83" t="s">
        <v>872</v>
      </c>
      <c r="D199" s="84" t="s">
        <v>873</v>
      </c>
      <c r="E199" s="84" t="s">
        <v>874</v>
      </c>
      <c r="F199" s="84" t="s">
        <v>875</v>
      </c>
      <c r="G199" s="85" t="s">
        <v>72</v>
      </c>
      <c r="H199" s="82" t="s">
        <v>79</v>
      </c>
      <c r="I199" s="125">
        <v>45758.0</v>
      </c>
      <c r="J199" s="82"/>
      <c r="K199" s="82">
        <v>4.0</v>
      </c>
      <c r="L199" s="82">
        <v>4.0</v>
      </c>
      <c r="M199" s="82">
        <v>4.0</v>
      </c>
      <c r="N199" s="82">
        <v>4.0</v>
      </c>
      <c r="O199" s="82">
        <v>4.0</v>
      </c>
      <c r="P199" s="82">
        <v>4.0</v>
      </c>
      <c r="Q199" s="82">
        <v>4.0</v>
      </c>
      <c r="R199" s="82">
        <v>4.0</v>
      </c>
      <c r="S199" s="89">
        <f t="shared" si="3"/>
        <v>32</v>
      </c>
      <c r="T199" s="90">
        <f t="shared" si="2"/>
        <v>0.8</v>
      </c>
      <c r="U199" s="89" t="str">
        <f>IF(H199="Rendida ",IF('Resultados Individuales'!T199&lt;49.5%,"Por Mejorar",IF('Resultados Individuales'!T199&lt;64.5%,"Base",IF('Resultados Individuales'!T199&lt;84.5%,"Satisfactorio","Óptimo"))),"No rendida o no válida")</f>
        <v>Satisfactorio</v>
      </c>
      <c r="V199" s="94" t="s">
        <v>876</v>
      </c>
    </row>
    <row r="200" ht="15.75" customHeight="1">
      <c r="A200" s="98">
        <v>2.1830395E7</v>
      </c>
      <c r="B200" s="99">
        <v>1.0</v>
      </c>
      <c r="C200" s="83" t="s">
        <v>877</v>
      </c>
      <c r="D200" s="100" t="s">
        <v>273</v>
      </c>
      <c r="E200" s="100" t="s">
        <v>878</v>
      </c>
      <c r="F200" s="100" t="s">
        <v>879</v>
      </c>
      <c r="G200" s="98"/>
      <c r="H200" s="98"/>
      <c r="I200" s="98"/>
      <c r="J200" s="98"/>
      <c r="K200" s="98"/>
      <c r="L200" s="98"/>
      <c r="M200" s="98"/>
      <c r="N200" s="98"/>
      <c r="O200" s="98"/>
      <c r="P200" s="98"/>
      <c r="Q200" s="98"/>
      <c r="R200" s="98"/>
      <c r="S200" s="106">
        <f t="shared" si="3"/>
        <v>0</v>
      </c>
      <c r="T200" s="107">
        <f t="shared" si="2"/>
        <v>0</v>
      </c>
      <c r="U200" s="106" t="str">
        <f>IF(H200="Rendida ",IF('Resultados Individuales'!T200&lt;49.5%,"Por Mejorar",IF('Resultados Individuales'!T200&lt;64.5%,"Base",IF('Resultados Individuales'!T200&lt;84.5%,"Satisfactorio","Óptimo"))),"No rendida o no válida")</f>
        <v>No rendida o no válida</v>
      </c>
      <c r="V200" s="108"/>
      <c r="W200" s="108"/>
      <c r="X200" s="108"/>
      <c r="Y200" s="108"/>
      <c r="Z200" s="108"/>
    </row>
    <row r="201" ht="15.75" customHeight="1">
      <c r="A201" s="82">
        <v>2.1833156E7</v>
      </c>
      <c r="B201" s="83">
        <v>4.0</v>
      </c>
      <c r="C201" s="83" t="s">
        <v>880</v>
      </c>
      <c r="D201" s="84" t="s">
        <v>881</v>
      </c>
      <c r="E201" s="84" t="s">
        <v>265</v>
      </c>
      <c r="F201" s="84" t="s">
        <v>882</v>
      </c>
      <c r="G201" s="85" t="s">
        <v>72</v>
      </c>
      <c r="H201" s="82" t="s">
        <v>79</v>
      </c>
      <c r="I201" s="125">
        <v>45758.0</v>
      </c>
      <c r="J201" s="82"/>
      <c r="K201" s="82">
        <v>4.0</v>
      </c>
      <c r="L201" s="82">
        <v>4.0</v>
      </c>
      <c r="M201" s="82">
        <v>4.0</v>
      </c>
      <c r="N201" s="82">
        <v>4.0</v>
      </c>
      <c r="O201" s="82">
        <v>4.0</v>
      </c>
      <c r="P201" s="82">
        <v>4.0</v>
      </c>
      <c r="Q201" s="82">
        <v>4.0</v>
      </c>
      <c r="R201" s="82">
        <v>4.0</v>
      </c>
      <c r="S201" s="89">
        <f t="shared" si="3"/>
        <v>32</v>
      </c>
      <c r="T201" s="90">
        <f t="shared" si="2"/>
        <v>0.8</v>
      </c>
      <c r="U201" s="89" t="str">
        <f>IF(H201="Rendida ",IF('Resultados Individuales'!T201&lt;49.5%,"Por Mejorar",IF('Resultados Individuales'!T201&lt;64.5%,"Base",IF('Resultados Individuales'!T201&lt;84.5%,"Satisfactorio","Óptimo"))),"No rendida o no válida")</f>
        <v>Satisfactorio</v>
      </c>
      <c r="V201" s="94" t="s">
        <v>883</v>
      </c>
    </row>
    <row r="202" ht="15.75" customHeight="1">
      <c r="A202" s="82">
        <v>2.1834185E7</v>
      </c>
      <c r="B202" s="83">
        <v>3.0</v>
      </c>
      <c r="C202" s="83" t="s">
        <v>884</v>
      </c>
      <c r="D202" s="84" t="s">
        <v>885</v>
      </c>
      <c r="E202" s="84" t="s">
        <v>101</v>
      </c>
      <c r="F202" s="84" t="s">
        <v>886</v>
      </c>
      <c r="G202" s="85" t="s">
        <v>72</v>
      </c>
      <c r="H202" s="82" t="s">
        <v>79</v>
      </c>
      <c r="I202" s="125">
        <v>45758.0</v>
      </c>
      <c r="J202" s="82"/>
      <c r="K202" s="82">
        <v>3.0</v>
      </c>
      <c r="L202" s="82">
        <v>3.0</v>
      </c>
      <c r="M202" s="82">
        <v>2.0</v>
      </c>
      <c r="N202" s="82">
        <v>2.0</v>
      </c>
      <c r="O202" s="82">
        <v>2.0</v>
      </c>
      <c r="P202" s="82">
        <v>2.0</v>
      </c>
      <c r="Q202" s="82">
        <v>1.0</v>
      </c>
      <c r="R202" s="82">
        <v>3.0</v>
      </c>
      <c r="S202" s="89">
        <f t="shared" si="3"/>
        <v>18</v>
      </c>
      <c r="T202" s="90">
        <f t="shared" si="2"/>
        <v>0.45</v>
      </c>
      <c r="U202" s="89" t="str">
        <f>IF(H202="Rendida ",IF('Resultados Individuales'!T202&lt;49.5%,"Por Mejorar",IF('Resultados Individuales'!T202&lt;64.5%,"Base",IF('Resultados Individuales'!T202&lt;84.5%,"Satisfactorio","Óptimo"))),"No rendida o no válida")</f>
        <v>Por Mejorar</v>
      </c>
      <c r="V202" s="94" t="s">
        <v>887</v>
      </c>
    </row>
    <row r="203" ht="15.75" customHeight="1">
      <c r="A203" s="98">
        <v>2.1834198E7</v>
      </c>
      <c r="B203" s="99">
        <v>5.0</v>
      </c>
      <c r="C203" s="83" t="s">
        <v>888</v>
      </c>
      <c r="D203" s="100" t="s">
        <v>889</v>
      </c>
      <c r="E203" s="100" t="s">
        <v>231</v>
      </c>
      <c r="F203" s="100" t="s">
        <v>890</v>
      </c>
      <c r="G203" s="98"/>
      <c r="H203" s="98"/>
      <c r="I203" s="98"/>
      <c r="J203" s="82"/>
      <c r="K203" s="82"/>
      <c r="L203" s="82"/>
      <c r="M203" s="82"/>
      <c r="N203" s="82"/>
      <c r="O203" s="82"/>
      <c r="P203" s="82"/>
      <c r="Q203" s="82"/>
      <c r="R203" s="82"/>
      <c r="S203" s="89">
        <f t="shared" si="3"/>
        <v>0</v>
      </c>
      <c r="T203" s="90">
        <f t="shared" si="2"/>
        <v>0</v>
      </c>
      <c r="U203" s="89" t="str">
        <f>IF(H203="Rendida ",IF('Resultados Individuales'!T203&lt;49.5%,"Por Mejorar",IF('Resultados Individuales'!T203&lt;64.5%,"Base",IF('Resultados Individuales'!T203&lt;84.5%,"Satisfactorio","Óptimo"))),"No rendida o no válida")</f>
        <v>No rendida o no válida</v>
      </c>
    </row>
    <row r="204" ht="15.75" customHeight="1">
      <c r="A204" s="82">
        <v>2.1842017E7</v>
      </c>
      <c r="B204" s="83">
        <v>6.0</v>
      </c>
      <c r="C204" s="83" t="s">
        <v>891</v>
      </c>
      <c r="D204" s="84" t="s">
        <v>892</v>
      </c>
      <c r="E204" s="84" t="s">
        <v>152</v>
      </c>
      <c r="F204" s="84" t="s">
        <v>893</v>
      </c>
      <c r="G204" s="85" t="s">
        <v>72</v>
      </c>
      <c r="H204" s="82" t="s">
        <v>79</v>
      </c>
      <c r="I204" s="125">
        <v>45758.0</v>
      </c>
      <c r="J204" s="82"/>
      <c r="K204" s="82">
        <v>4.0</v>
      </c>
      <c r="L204" s="82">
        <v>4.0</v>
      </c>
      <c r="M204" s="82">
        <v>4.0</v>
      </c>
      <c r="N204" s="82">
        <v>4.0</v>
      </c>
      <c r="O204" s="82">
        <v>3.0</v>
      </c>
      <c r="P204" s="82">
        <v>3.0</v>
      </c>
      <c r="Q204" s="82">
        <v>2.0</v>
      </c>
      <c r="R204" s="82">
        <v>2.0</v>
      </c>
      <c r="S204" s="89">
        <f t="shared" si="3"/>
        <v>26</v>
      </c>
      <c r="T204" s="90">
        <f t="shared" si="2"/>
        <v>0.65</v>
      </c>
      <c r="U204" s="89" t="str">
        <f>IF(H204="Rendida ",IF('Resultados Individuales'!T204&lt;49.5%,"Por Mejorar",IF('Resultados Individuales'!T204&lt;64.5%,"Base",IF('Resultados Individuales'!T204&lt;84.5%,"Satisfactorio","Óptimo"))),"No rendida o no válida")</f>
        <v>Satisfactorio</v>
      </c>
      <c r="V204" s="94" t="s">
        <v>894</v>
      </c>
    </row>
    <row r="205" ht="15.75" customHeight="1">
      <c r="A205" s="82">
        <v>2.1842795E7</v>
      </c>
      <c r="B205" s="83">
        <v>2.0</v>
      </c>
      <c r="C205" s="83" t="s">
        <v>895</v>
      </c>
      <c r="D205" s="84" t="s">
        <v>896</v>
      </c>
      <c r="E205" s="84" t="s">
        <v>676</v>
      </c>
      <c r="F205" s="84" t="s">
        <v>897</v>
      </c>
      <c r="G205" s="82" t="s">
        <v>72</v>
      </c>
      <c r="H205" s="82" t="s">
        <v>79</v>
      </c>
      <c r="I205" s="125">
        <v>45758.0</v>
      </c>
      <c r="J205" s="82"/>
      <c r="K205" s="82">
        <v>2.0</v>
      </c>
      <c r="L205" s="82">
        <v>3.0</v>
      </c>
      <c r="M205" s="82">
        <v>3.0</v>
      </c>
      <c r="N205" s="82">
        <v>2.0</v>
      </c>
      <c r="O205" s="82">
        <v>3.0</v>
      </c>
      <c r="P205" s="82">
        <v>3.0</v>
      </c>
      <c r="Q205" s="82">
        <v>3.0</v>
      </c>
      <c r="R205" s="82">
        <v>3.0</v>
      </c>
      <c r="S205" s="89">
        <f t="shared" si="3"/>
        <v>22</v>
      </c>
      <c r="T205" s="90">
        <f t="shared" si="2"/>
        <v>0.55</v>
      </c>
      <c r="U205" s="89" t="str">
        <f>IF(H205="Rendida ",IF('Resultados Individuales'!T205&lt;49.5%,"Por Mejorar",IF('Resultados Individuales'!T205&lt;64.5%,"Base",IF('Resultados Individuales'!T205&lt;84.5%,"Satisfactorio","Óptimo"))),"No rendida o no válida")</f>
        <v>Base</v>
      </c>
      <c r="V205" s="94" t="s">
        <v>898</v>
      </c>
    </row>
    <row r="206" ht="15.75" customHeight="1">
      <c r="A206" s="98">
        <v>2.1849584E7</v>
      </c>
      <c r="B206" s="99">
        <v>2.0</v>
      </c>
      <c r="C206" s="83" t="s">
        <v>899</v>
      </c>
      <c r="D206" s="100" t="s">
        <v>900</v>
      </c>
      <c r="E206" s="100" t="s">
        <v>901</v>
      </c>
      <c r="F206" s="100" t="s">
        <v>902</v>
      </c>
      <c r="G206" s="98"/>
      <c r="H206" s="98"/>
      <c r="I206" s="98"/>
      <c r="J206" s="82"/>
      <c r="K206" s="82"/>
      <c r="L206" s="82"/>
      <c r="M206" s="82"/>
      <c r="N206" s="82"/>
      <c r="O206" s="82"/>
      <c r="P206" s="82"/>
      <c r="Q206" s="82"/>
      <c r="R206" s="82"/>
      <c r="S206" s="89">
        <f t="shared" si="3"/>
        <v>0</v>
      </c>
      <c r="T206" s="90">
        <f t="shared" si="2"/>
        <v>0</v>
      </c>
      <c r="U206" s="89" t="str">
        <f>IF(H206="Rendida ",IF('Resultados Individuales'!T206&lt;49.5%,"Por Mejorar",IF('Resultados Individuales'!T206&lt;64.5%,"Base",IF('Resultados Individuales'!T206&lt;84.5%,"Satisfactorio","Óptimo"))),"No rendida o no válida")</f>
        <v>No rendida o no válida</v>
      </c>
    </row>
    <row r="207" ht="15.75" customHeight="1">
      <c r="A207" s="82">
        <v>2.1913172E7</v>
      </c>
      <c r="B207" s="83">
        <v>0.0</v>
      </c>
      <c r="C207" s="83" t="s">
        <v>903</v>
      </c>
      <c r="D207" s="84" t="s">
        <v>171</v>
      </c>
      <c r="E207" s="84" t="s">
        <v>560</v>
      </c>
      <c r="F207" s="84" t="s">
        <v>904</v>
      </c>
      <c r="G207" s="85" t="s">
        <v>72</v>
      </c>
      <c r="H207" s="82" t="s">
        <v>79</v>
      </c>
      <c r="I207" s="125">
        <v>45758.0</v>
      </c>
      <c r="J207" s="82"/>
      <c r="K207" s="82">
        <v>3.0</v>
      </c>
      <c r="L207" s="82">
        <v>1.0</v>
      </c>
      <c r="M207" s="82">
        <v>2.0</v>
      </c>
      <c r="N207" s="82">
        <v>2.0</v>
      </c>
      <c r="O207" s="82">
        <v>1.0</v>
      </c>
      <c r="P207" s="82">
        <v>1.0</v>
      </c>
      <c r="Q207" s="82">
        <v>1.0</v>
      </c>
      <c r="R207" s="82">
        <v>2.0</v>
      </c>
      <c r="S207" s="89">
        <f t="shared" si="3"/>
        <v>13</v>
      </c>
      <c r="T207" s="90">
        <f t="shared" si="2"/>
        <v>0.325</v>
      </c>
      <c r="U207" s="89" t="str">
        <f>IF(H207="Rendida ",IF('Resultados Individuales'!T207&lt;49.5%,"Por Mejorar",IF('Resultados Individuales'!T207&lt;64.5%,"Base",IF('Resultados Individuales'!T207&lt;84.5%,"Satisfactorio","Óptimo"))),"No rendida o no válida")</f>
        <v>Por Mejorar</v>
      </c>
      <c r="V207" s="1" t="s">
        <v>905</v>
      </c>
    </row>
    <row r="208" ht="15.75" customHeight="1">
      <c r="A208" s="82">
        <v>2.2502017E7</v>
      </c>
      <c r="B208" s="83">
        <v>5.0</v>
      </c>
      <c r="C208" s="83" t="s">
        <v>906</v>
      </c>
      <c r="D208" s="84" t="s">
        <v>907</v>
      </c>
      <c r="E208" s="84" t="s">
        <v>69</v>
      </c>
      <c r="F208" s="84" t="s">
        <v>908</v>
      </c>
      <c r="G208" s="85" t="s">
        <v>72</v>
      </c>
      <c r="H208" s="82" t="s">
        <v>79</v>
      </c>
      <c r="I208" s="125">
        <v>45758.0</v>
      </c>
      <c r="J208" s="82"/>
      <c r="K208" s="82">
        <v>4.0</v>
      </c>
      <c r="L208" s="82">
        <v>3.0</v>
      </c>
      <c r="M208" s="82">
        <v>2.0</v>
      </c>
      <c r="N208" s="82">
        <v>3.0</v>
      </c>
      <c r="O208" s="82">
        <v>3.0</v>
      </c>
      <c r="P208" s="82">
        <v>3.0</v>
      </c>
      <c r="Q208" s="82">
        <v>2.0</v>
      </c>
      <c r="R208" s="82">
        <v>2.0</v>
      </c>
      <c r="S208" s="89">
        <f t="shared" si="3"/>
        <v>22</v>
      </c>
      <c r="T208" s="90">
        <f t="shared" si="2"/>
        <v>0.55</v>
      </c>
      <c r="U208" s="89" t="str">
        <f>IF(H208="Rendida ",IF('Resultados Individuales'!T208&lt;49.5%,"Por Mejorar",IF('Resultados Individuales'!T208&lt;64.5%,"Base",IF('Resultados Individuales'!T208&lt;84.5%,"Satisfactorio","Óptimo"))),"No rendida o no válida")</f>
        <v>Base</v>
      </c>
      <c r="V208" s="94" t="s">
        <v>909</v>
      </c>
    </row>
    <row r="209" ht="15.75" customHeight="1">
      <c r="A209" s="98">
        <v>2.358318E7</v>
      </c>
      <c r="B209" s="99">
        <v>5.0</v>
      </c>
      <c r="C209" s="83" t="s">
        <v>910</v>
      </c>
      <c r="D209" s="100" t="s">
        <v>911</v>
      </c>
      <c r="E209" s="100" t="s">
        <v>619</v>
      </c>
      <c r="F209" s="100" t="s">
        <v>912</v>
      </c>
      <c r="G209" s="98"/>
      <c r="H209" s="98"/>
      <c r="I209" s="98"/>
      <c r="J209" s="98"/>
      <c r="K209" s="98"/>
      <c r="L209" s="98"/>
      <c r="M209" s="98"/>
      <c r="N209" s="98"/>
      <c r="O209" s="98"/>
      <c r="P209" s="98"/>
      <c r="Q209" s="98"/>
      <c r="R209" s="98"/>
      <c r="S209" s="106">
        <f t="shared" si="3"/>
        <v>0</v>
      </c>
      <c r="T209" s="107">
        <f t="shared" si="2"/>
        <v>0</v>
      </c>
      <c r="U209" s="106" t="str">
        <f>IF(H209="Rendida ",IF('Resultados Individuales'!T209&lt;49.5%,"Por Mejorar",IF('Resultados Individuales'!T209&lt;64.5%,"Base",IF('Resultados Individuales'!T209&lt;84.5%,"Satisfactorio","Óptimo"))),"No rendida o no válida")</f>
        <v>No rendida o no válida</v>
      </c>
      <c r="V209" s="108"/>
      <c r="W209" s="108"/>
      <c r="X209" s="108"/>
      <c r="Y209" s="108"/>
      <c r="Z209" s="108"/>
    </row>
    <row r="210" ht="15.75" customHeight="1">
      <c r="A210" s="98">
        <v>2.5049749E7</v>
      </c>
      <c r="B210" s="99">
        <v>0.0</v>
      </c>
      <c r="C210" s="83" t="s">
        <v>913</v>
      </c>
      <c r="D210" s="100" t="s">
        <v>914</v>
      </c>
      <c r="E210" s="100" t="s">
        <v>892</v>
      </c>
      <c r="F210" s="100" t="s">
        <v>915</v>
      </c>
      <c r="G210" s="98"/>
      <c r="H210" s="98"/>
      <c r="I210" s="98"/>
      <c r="J210" s="98"/>
      <c r="K210" s="98"/>
      <c r="L210" s="98"/>
      <c r="M210" s="98"/>
      <c r="N210" s="98"/>
      <c r="O210" s="98"/>
      <c r="P210" s="98"/>
      <c r="Q210" s="98"/>
      <c r="R210" s="98"/>
      <c r="S210" s="106">
        <f t="shared" si="3"/>
        <v>0</v>
      </c>
      <c r="T210" s="107">
        <f t="shared" si="2"/>
        <v>0</v>
      </c>
      <c r="U210" s="106" t="str">
        <f>IF(H210="Rendida ",IF('Resultados Individuales'!T210&lt;49.5%,"Por Mejorar",IF('Resultados Individuales'!T210&lt;64.5%,"Base",IF('Resultados Individuales'!T210&lt;84.5%,"Satisfactorio","Óptimo"))),"No rendida o no válida")</f>
        <v>No rendida o no válida</v>
      </c>
      <c r="V210" s="108"/>
      <c r="W210" s="108"/>
      <c r="X210" s="108"/>
      <c r="Y210" s="108"/>
      <c r="Z210" s="108"/>
    </row>
    <row r="211" ht="15.75" customHeight="1">
      <c r="A211" s="82">
        <v>2.5891249E7</v>
      </c>
      <c r="B211" s="83">
        <v>7.0</v>
      </c>
      <c r="C211" s="83" t="s">
        <v>916</v>
      </c>
      <c r="D211" s="84" t="s">
        <v>917</v>
      </c>
      <c r="E211" s="84" t="s">
        <v>918</v>
      </c>
      <c r="F211" s="84" t="s">
        <v>919</v>
      </c>
      <c r="G211" s="85" t="s">
        <v>72</v>
      </c>
      <c r="H211" s="82" t="s">
        <v>79</v>
      </c>
      <c r="I211" s="125">
        <v>45758.0</v>
      </c>
      <c r="J211" s="82"/>
      <c r="K211" s="82">
        <v>2.0</v>
      </c>
      <c r="L211" s="82">
        <v>2.0</v>
      </c>
      <c r="M211" s="82">
        <v>3.0</v>
      </c>
      <c r="N211" s="82">
        <v>2.0</v>
      </c>
      <c r="O211" s="82">
        <v>2.0</v>
      </c>
      <c r="P211" s="82">
        <v>2.0</v>
      </c>
      <c r="Q211" s="82">
        <v>2.0</v>
      </c>
      <c r="R211" s="82">
        <v>3.0</v>
      </c>
      <c r="S211" s="89">
        <f t="shared" si="3"/>
        <v>18</v>
      </c>
      <c r="T211" s="90">
        <f t="shared" si="2"/>
        <v>0.45</v>
      </c>
      <c r="U211" s="89" t="str">
        <f>IF(H211="Rendida ",IF('Resultados Individuales'!T211&lt;49.5%,"Por Mejorar",IF('Resultados Individuales'!T211&lt;64.5%,"Base",IF('Resultados Individuales'!T211&lt;84.5%,"Satisfactorio","Óptimo"))),"No rendida o no válida")</f>
        <v>Por Mejorar</v>
      </c>
      <c r="V211" s="94" t="s">
        <v>920</v>
      </c>
    </row>
    <row r="212" ht="15.75" customHeight="1"/>
    <row r="213" ht="15.75" customHeight="1">
      <c r="A213" s="1" t="s">
        <v>921</v>
      </c>
    </row>
    <row r="214" ht="15.75" customHeight="1">
      <c r="A214" s="139">
        <v>1.0</v>
      </c>
      <c r="B214" s="1" t="s">
        <v>922</v>
      </c>
      <c r="G214" s="140" t="s">
        <v>72</v>
      </c>
      <c r="H214" s="82" t="s">
        <v>79</v>
      </c>
      <c r="I214" s="141">
        <v>45758.0</v>
      </c>
      <c r="K214" s="142" t="s">
        <v>923</v>
      </c>
      <c r="L214" s="142">
        <v>1.0</v>
      </c>
      <c r="M214" s="1">
        <v>1.0</v>
      </c>
      <c r="N214" s="1">
        <v>2.0</v>
      </c>
      <c r="O214" s="1">
        <v>1.0</v>
      </c>
      <c r="P214" s="1">
        <v>2.0</v>
      </c>
      <c r="Q214" s="1">
        <v>2.0</v>
      </c>
      <c r="R214" s="1">
        <v>2.0</v>
      </c>
      <c r="S214" s="1">
        <v>2.0</v>
      </c>
      <c r="U214" s="1" t="s">
        <v>4</v>
      </c>
      <c r="V214" s="94" t="s">
        <v>924</v>
      </c>
    </row>
    <row r="215" ht="15.75" customHeight="1">
      <c r="A215" s="82">
        <v>11.0</v>
      </c>
      <c r="B215" s="1" t="s">
        <v>925</v>
      </c>
      <c r="G215" s="140" t="s">
        <v>72</v>
      </c>
      <c r="H215" s="82" t="s">
        <v>79</v>
      </c>
      <c r="I215" s="141">
        <v>45758.0</v>
      </c>
      <c r="K215" s="142" t="s">
        <v>923</v>
      </c>
      <c r="L215" s="142">
        <v>2.0</v>
      </c>
      <c r="M215" s="1">
        <v>1.0</v>
      </c>
      <c r="N215" s="1">
        <v>2.0</v>
      </c>
      <c r="O215" s="1">
        <v>2.0</v>
      </c>
      <c r="P215" s="1">
        <v>3.0</v>
      </c>
      <c r="Q215" s="1">
        <v>3.0</v>
      </c>
      <c r="R215" s="1">
        <v>2.0</v>
      </c>
      <c r="S215" s="1">
        <v>3.0</v>
      </c>
      <c r="U215" s="1" t="s">
        <v>4</v>
      </c>
      <c r="V215" s="94" t="s">
        <v>926</v>
      </c>
    </row>
    <row r="216" ht="15.75" customHeight="1">
      <c r="A216" s="139">
        <v>9.0</v>
      </c>
      <c r="B216" s="1" t="s">
        <v>927</v>
      </c>
      <c r="G216" s="140" t="s">
        <v>72</v>
      </c>
      <c r="H216" s="82" t="s">
        <v>79</v>
      </c>
      <c r="I216" s="141">
        <v>45842.0</v>
      </c>
      <c r="K216" s="142" t="s">
        <v>923</v>
      </c>
      <c r="L216" s="142">
        <v>3.0</v>
      </c>
      <c r="M216" s="1">
        <v>2.0</v>
      </c>
      <c r="N216" s="1">
        <v>2.0</v>
      </c>
      <c r="O216" s="1">
        <v>1.0</v>
      </c>
      <c r="P216" s="1">
        <v>3.0</v>
      </c>
      <c r="Q216" s="1">
        <v>2.0</v>
      </c>
      <c r="R216" s="1">
        <v>2.0</v>
      </c>
      <c r="S216" s="1">
        <v>3.0</v>
      </c>
      <c r="U216" s="1" t="s">
        <v>4</v>
      </c>
      <c r="V216" s="94" t="s">
        <v>928</v>
      </c>
    </row>
    <row r="217" ht="15.75" customHeight="1">
      <c r="A217" s="139">
        <v>8.0</v>
      </c>
      <c r="B217" s="1" t="s">
        <v>929</v>
      </c>
      <c r="G217" s="140" t="s">
        <v>72</v>
      </c>
      <c r="H217" s="82" t="s">
        <v>79</v>
      </c>
      <c r="I217" s="141">
        <v>45758.0</v>
      </c>
      <c r="K217" s="142" t="s">
        <v>923</v>
      </c>
      <c r="L217" s="142">
        <v>4.0</v>
      </c>
      <c r="M217" s="1">
        <v>4.0</v>
      </c>
      <c r="N217" s="1">
        <v>4.0</v>
      </c>
      <c r="O217" s="1">
        <v>4.0</v>
      </c>
      <c r="P217" s="1">
        <v>1.0</v>
      </c>
      <c r="Q217" s="1">
        <v>2.0</v>
      </c>
      <c r="R217" s="1">
        <v>1.0</v>
      </c>
      <c r="S217" s="1">
        <v>3.0</v>
      </c>
      <c r="U217" s="1" t="s">
        <v>4</v>
      </c>
      <c r="V217" s="94" t="s">
        <v>930</v>
      </c>
    </row>
    <row r="218" ht="15.75" customHeight="1">
      <c r="A218" s="139">
        <v>5.0</v>
      </c>
      <c r="B218" s="1" t="s">
        <v>931</v>
      </c>
      <c r="G218" s="140" t="s">
        <v>72</v>
      </c>
      <c r="H218" s="82" t="s">
        <v>79</v>
      </c>
      <c r="I218" s="141">
        <v>45758.0</v>
      </c>
      <c r="K218" s="142" t="s">
        <v>923</v>
      </c>
      <c r="L218" s="142">
        <v>2.0</v>
      </c>
      <c r="M218" s="1">
        <v>3.0</v>
      </c>
      <c r="N218" s="1">
        <v>3.0</v>
      </c>
      <c r="O218" s="1">
        <v>2.0</v>
      </c>
      <c r="P218" s="1">
        <v>2.0</v>
      </c>
      <c r="Q218" s="1">
        <v>2.0</v>
      </c>
      <c r="R218" s="1">
        <v>1.0</v>
      </c>
      <c r="S218" s="1">
        <v>2.0</v>
      </c>
      <c r="U218" s="1" t="s">
        <v>4</v>
      </c>
      <c r="V218" s="94" t="s">
        <v>932</v>
      </c>
    </row>
    <row r="219" ht="15.75" customHeight="1">
      <c r="A219" s="139">
        <v>7.0</v>
      </c>
      <c r="B219" s="1" t="s">
        <v>933</v>
      </c>
      <c r="G219" s="140" t="s">
        <v>72</v>
      </c>
      <c r="H219" s="82" t="s">
        <v>79</v>
      </c>
      <c r="I219" s="141">
        <v>45758.0</v>
      </c>
      <c r="K219" s="142" t="s">
        <v>923</v>
      </c>
      <c r="L219" s="142">
        <v>2.0</v>
      </c>
      <c r="M219" s="1">
        <v>2.0</v>
      </c>
      <c r="N219" s="1">
        <v>2.0</v>
      </c>
      <c r="O219" s="1">
        <v>2.0</v>
      </c>
      <c r="P219" s="1">
        <v>2.0</v>
      </c>
      <c r="Q219" s="1">
        <v>2.0</v>
      </c>
      <c r="R219" s="1">
        <v>1.0</v>
      </c>
      <c r="S219" s="1">
        <v>3.0</v>
      </c>
      <c r="U219" s="1" t="s">
        <v>4</v>
      </c>
      <c r="V219" s="94" t="s">
        <v>934</v>
      </c>
    </row>
    <row r="220" ht="15.75" customHeight="1">
      <c r="A220" s="82">
        <v>10.0</v>
      </c>
      <c r="B220" s="1" t="s">
        <v>935</v>
      </c>
      <c r="G220" s="140" t="s">
        <v>72</v>
      </c>
      <c r="H220" s="82" t="s">
        <v>79</v>
      </c>
      <c r="I220" s="141">
        <v>45758.0</v>
      </c>
      <c r="K220" s="142" t="s">
        <v>923</v>
      </c>
      <c r="L220" s="142">
        <v>3.0</v>
      </c>
      <c r="M220" s="1">
        <v>2.0</v>
      </c>
      <c r="N220" s="1">
        <v>3.0</v>
      </c>
      <c r="O220" s="1">
        <v>3.0</v>
      </c>
      <c r="P220" s="1">
        <v>2.0</v>
      </c>
      <c r="Q220" s="1">
        <v>3.0</v>
      </c>
      <c r="R220" s="1">
        <v>3.0</v>
      </c>
      <c r="S220" s="1">
        <v>4.0</v>
      </c>
      <c r="U220" s="1" t="s">
        <v>4</v>
      </c>
      <c r="V220" s="1" t="s">
        <v>936</v>
      </c>
    </row>
    <row r="221" ht="15.75" customHeight="1">
      <c r="A221" s="139">
        <v>6.0</v>
      </c>
      <c r="B221" s="1" t="s">
        <v>937</v>
      </c>
      <c r="G221" s="140" t="s">
        <v>72</v>
      </c>
      <c r="H221" s="82" t="s">
        <v>79</v>
      </c>
      <c r="I221" s="141">
        <v>45758.0</v>
      </c>
      <c r="K221" s="142" t="s">
        <v>923</v>
      </c>
      <c r="L221" s="142">
        <v>2.0</v>
      </c>
      <c r="M221" s="1">
        <v>3.0</v>
      </c>
      <c r="N221" s="1">
        <v>3.0</v>
      </c>
      <c r="O221" s="1">
        <v>4.0</v>
      </c>
      <c r="P221" s="1">
        <v>3.0</v>
      </c>
      <c r="Q221" s="1">
        <v>3.0</v>
      </c>
      <c r="R221" s="1">
        <v>2.0</v>
      </c>
      <c r="S221" s="1">
        <v>3.0</v>
      </c>
      <c r="U221" s="1" t="s">
        <v>4</v>
      </c>
      <c r="V221" s="1" t="s">
        <v>938</v>
      </c>
    </row>
    <row r="222" ht="15.75" customHeight="1">
      <c r="A222" s="139">
        <v>2.0</v>
      </c>
      <c r="B222" s="1" t="s">
        <v>939</v>
      </c>
      <c r="G222" s="140" t="s">
        <v>72</v>
      </c>
      <c r="H222" s="82" t="s">
        <v>79</v>
      </c>
      <c r="I222" s="125">
        <v>45758.0</v>
      </c>
      <c r="K222" s="142" t="s">
        <v>923</v>
      </c>
      <c r="L222" s="142">
        <v>2.0</v>
      </c>
      <c r="M222" s="1">
        <v>2.0</v>
      </c>
      <c r="N222" s="1">
        <v>2.0</v>
      </c>
      <c r="O222" s="1">
        <v>2.0</v>
      </c>
      <c r="P222" s="1">
        <v>3.0</v>
      </c>
      <c r="Q222" s="1">
        <v>3.0</v>
      </c>
      <c r="R222" s="1">
        <v>3.0</v>
      </c>
      <c r="S222" s="1">
        <v>2.0</v>
      </c>
      <c r="U222" s="1" t="s">
        <v>4</v>
      </c>
      <c r="V222" s="94" t="s">
        <v>940</v>
      </c>
    </row>
    <row r="223" ht="15.75" customHeight="1">
      <c r="A223" s="139">
        <v>4.0</v>
      </c>
      <c r="B223" s="1" t="s">
        <v>941</v>
      </c>
      <c r="G223" s="140" t="s">
        <v>72</v>
      </c>
      <c r="H223" s="82" t="s">
        <v>79</v>
      </c>
      <c r="I223" s="141">
        <v>45758.0</v>
      </c>
      <c r="K223" s="142" t="s">
        <v>923</v>
      </c>
      <c r="L223" s="142">
        <v>2.0</v>
      </c>
      <c r="M223" s="1">
        <v>2.0</v>
      </c>
      <c r="N223" s="1">
        <v>3.0</v>
      </c>
      <c r="O223" s="1">
        <v>2.0</v>
      </c>
      <c r="P223" s="1">
        <v>3.0</v>
      </c>
      <c r="Q223" s="1">
        <v>3.0</v>
      </c>
      <c r="R223" s="1">
        <v>3.0</v>
      </c>
      <c r="S223" s="1">
        <v>1.0</v>
      </c>
      <c r="U223" s="1" t="s">
        <v>4</v>
      </c>
      <c r="V223" s="94" t="s">
        <v>942</v>
      </c>
    </row>
    <row r="224" ht="15.75" customHeight="1">
      <c r="A224" s="1">
        <v>12.0</v>
      </c>
      <c r="B224" s="143" t="s">
        <v>943</v>
      </c>
      <c r="C224" s="143"/>
      <c r="G224" s="1" t="s">
        <v>944</v>
      </c>
      <c r="H224" s="82" t="s">
        <v>79</v>
      </c>
      <c r="I224" s="141">
        <v>45842.0</v>
      </c>
      <c r="K224" s="141"/>
      <c r="L224" s="1">
        <v>3.0</v>
      </c>
      <c r="M224" s="1">
        <v>2.0</v>
      </c>
      <c r="N224" s="1">
        <v>2.0</v>
      </c>
      <c r="O224" s="1">
        <v>3.0</v>
      </c>
      <c r="P224" s="1">
        <v>4.0</v>
      </c>
      <c r="Q224" s="1">
        <v>4.0</v>
      </c>
      <c r="R224" s="1">
        <v>4.0</v>
      </c>
      <c r="S224" s="1">
        <v>3.0</v>
      </c>
      <c r="U224" s="1" t="s">
        <v>5</v>
      </c>
      <c r="V224" s="94" t="s">
        <v>945</v>
      </c>
    </row>
    <row r="225" ht="15.75" customHeight="1">
      <c r="A225" s="144">
        <v>3.0</v>
      </c>
      <c r="B225" s="1" t="s">
        <v>946</v>
      </c>
      <c r="G225" s="140" t="s">
        <v>72</v>
      </c>
      <c r="H225" s="82" t="s">
        <v>79</v>
      </c>
      <c r="I225" s="125">
        <v>45758.0</v>
      </c>
      <c r="K225" s="145" t="s">
        <v>923</v>
      </c>
      <c r="L225" s="142">
        <v>1.0</v>
      </c>
      <c r="M225" s="1">
        <v>3.0</v>
      </c>
      <c r="N225" s="1">
        <v>3.0</v>
      </c>
      <c r="O225" s="1">
        <v>2.0</v>
      </c>
      <c r="P225" s="1">
        <v>3.0</v>
      </c>
      <c r="Q225" s="1">
        <v>3.0</v>
      </c>
      <c r="R225" s="1">
        <v>2.0</v>
      </c>
      <c r="S225" s="1">
        <v>2.0</v>
      </c>
      <c r="U225" s="1" t="s">
        <v>4</v>
      </c>
      <c r="V225" s="94" t="s">
        <v>947</v>
      </c>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U$211"/>
  <mergeCells count="4">
    <mergeCell ref="A1:J2"/>
    <mergeCell ref="K1:N2"/>
    <mergeCell ref="O1:R2"/>
    <mergeCell ref="S1:U2"/>
  </mergeCells>
  <dataValidations>
    <dataValidation type="list" allowBlank="1" showErrorMessage="1" sqref="G4:G211">
      <formula1>'Validación datos NO BORRAR'!$E$4:$E$9</formula1>
    </dataValidation>
    <dataValidation type="list" allowBlank="1" showErrorMessage="1" sqref="J4:J154">
      <formula1>'Validación datos NO BORRAR'!$G$4:$G$6</formula1>
    </dataValidation>
    <dataValidation type="list" allowBlank="1" showErrorMessage="1" sqref="H4:H211 H214:H225">
      <formula1>'Validación datos NO BORRAR'!$F$4:$F$7</formula1>
    </dataValidation>
    <dataValidation type="list" allowBlank="1" showErrorMessage="1" sqref="K4:R211">
      <formula1>'Validación datos NO BORRAR'!$H$4:$H$7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3" width="28.13"/>
    <col customWidth="1" min="4" max="4" width="20.38"/>
    <col customWidth="1" min="5" max="5" width="20.13"/>
    <col customWidth="1" min="6" max="6" width="20.75"/>
    <col customWidth="1" min="7" max="7" width="14.38"/>
    <col customWidth="1" min="8" max="8" width="18.38"/>
    <col customWidth="1" min="9" max="9" width="22.38"/>
    <col customWidth="1" min="10" max="10" width="22.88"/>
    <col customWidth="1" min="11" max="11" width="24.0"/>
    <col customWidth="1" min="12" max="26" width="11.38"/>
  </cols>
  <sheetData>
    <row r="1" ht="164.25" customHeight="1">
      <c r="D1" s="146" t="s">
        <v>948</v>
      </c>
      <c r="E1" s="147"/>
      <c r="F1" s="147"/>
      <c r="G1" s="148"/>
      <c r="H1" s="149" t="s">
        <v>949</v>
      </c>
      <c r="I1" s="147"/>
      <c r="J1" s="147"/>
      <c r="K1" s="148"/>
    </row>
    <row r="2">
      <c r="A2" s="51" t="s">
        <v>950</v>
      </c>
      <c r="B2" s="150" t="s">
        <v>951</v>
      </c>
      <c r="C2" s="150" t="s">
        <v>952</v>
      </c>
      <c r="D2" s="151" t="s">
        <v>57</v>
      </c>
      <c r="E2" s="152" t="s">
        <v>58</v>
      </c>
      <c r="F2" s="153" t="s">
        <v>59</v>
      </c>
      <c r="G2" s="153" t="s">
        <v>60</v>
      </c>
      <c r="H2" s="154" t="s">
        <v>61</v>
      </c>
      <c r="I2" s="154" t="s">
        <v>62</v>
      </c>
      <c r="J2" s="154" t="s">
        <v>63</v>
      </c>
      <c r="K2" s="154" t="s">
        <v>64</v>
      </c>
    </row>
    <row r="3">
      <c r="A3" s="82"/>
      <c r="B3" s="82"/>
      <c r="C3" s="82"/>
      <c r="D3" s="82"/>
      <c r="E3" s="82"/>
      <c r="F3" s="82"/>
      <c r="G3" s="82"/>
      <c r="H3" s="82"/>
      <c r="I3" s="82"/>
      <c r="J3" s="82"/>
      <c r="K3" s="82"/>
    </row>
    <row r="4">
      <c r="D4" s="1"/>
      <c r="E4" s="1"/>
      <c r="F4" s="1"/>
      <c r="G4" s="1"/>
      <c r="H4" s="1"/>
      <c r="I4" s="1"/>
      <c r="J4" s="1"/>
      <c r="K4" s="1"/>
    </row>
    <row r="5">
      <c r="D5" s="1"/>
      <c r="E5" s="1"/>
      <c r="F5" s="1"/>
      <c r="G5" s="1"/>
      <c r="H5" s="1"/>
      <c r="I5" s="1"/>
      <c r="J5" s="1"/>
      <c r="K5" s="1"/>
    </row>
    <row r="6">
      <c r="D6" s="1"/>
      <c r="E6" s="1"/>
      <c r="F6" s="1"/>
      <c r="G6" s="1"/>
      <c r="H6" s="1"/>
      <c r="I6" s="1"/>
      <c r="J6" s="1"/>
      <c r="K6" s="1"/>
    </row>
    <row r="7">
      <c r="D7" s="1"/>
      <c r="E7" s="1"/>
      <c r="F7" s="1"/>
      <c r="G7" s="1"/>
      <c r="H7" s="1"/>
      <c r="I7" s="1"/>
      <c r="J7" s="1"/>
      <c r="K7" s="1"/>
    </row>
    <row r="8">
      <c r="D8" s="1"/>
      <c r="E8" s="1"/>
      <c r="F8" s="1"/>
      <c r="G8" s="1"/>
      <c r="H8" s="1"/>
      <c r="I8" s="1"/>
      <c r="J8" s="1"/>
      <c r="K8" s="1"/>
    </row>
    <row r="9">
      <c r="D9" s="1"/>
      <c r="E9" s="1"/>
      <c r="F9" s="1"/>
      <c r="G9" s="1"/>
      <c r="H9" s="1"/>
      <c r="I9" s="1"/>
      <c r="J9" s="1"/>
      <c r="K9" s="1"/>
    </row>
    <row r="10">
      <c r="D10" s="1"/>
      <c r="E10" s="1"/>
      <c r="F10" s="1"/>
      <c r="G10" s="1"/>
      <c r="H10" s="1"/>
      <c r="I10" s="1"/>
      <c r="J10" s="1"/>
      <c r="K10" s="1"/>
    </row>
    <row r="11">
      <c r="D11" s="1"/>
      <c r="E11" s="1"/>
      <c r="F11" s="1"/>
      <c r="G11" s="1"/>
      <c r="H11" s="1"/>
      <c r="I11" s="1"/>
      <c r="J11" s="1"/>
      <c r="K11" s="1"/>
    </row>
    <row r="12">
      <c r="D12" s="1"/>
      <c r="E12" s="1"/>
      <c r="F12" s="1"/>
      <c r="G12" s="1"/>
      <c r="H12" s="1"/>
      <c r="I12" s="1"/>
      <c r="J12" s="1"/>
      <c r="K12" s="1"/>
    </row>
    <row r="13">
      <c r="D13" s="1"/>
      <c r="E13" s="1"/>
      <c r="F13" s="1"/>
      <c r="G13" s="1"/>
      <c r="H13" s="1"/>
      <c r="I13" s="1"/>
      <c r="J13" s="1"/>
      <c r="K13" s="1"/>
    </row>
    <row r="14">
      <c r="D14" s="1"/>
      <c r="E14" s="1"/>
      <c r="F14" s="1"/>
      <c r="G14" s="1"/>
      <c r="H14" s="1"/>
      <c r="I14" s="1"/>
      <c r="J14" s="1"/>
      <c r="K14" s="1"/>
    </row>
    <row r="15">
      <c r="D15" s="1"/>
      <c r="E15" s="1"/>
      <c r="F15" s="1"/>
      <c r="G15" s="1"/>
      <c r="H15" s="1"/>
      <c r="I15" s="1"/>
      <c r="J15" s="1"/>
      <c r="K15" s="1"/>
    </row>
    <row r="16">
      <c r="D16" s="1"/>
      <c r="E16" s="1"/>
      <c r="F16" s="1"/>
      <c r="G16" s="1"/>
      <c r="H16" s="1"/>
      <c r="I16" s="1"/>
      <c r="J16" s="1"/>
      <c r="K16" s="1"/>
    </row>
    <row r="17">
      <c r="D17" s="1"/>
      <c r="E17" s="1"/>
      <c r="F17" s="1"/>
      <c r="G17" s="1"/>
      <c r="H17" s="1"/>
      <c r="I17" s="1"/>
      <c r="J17" s="1"/>
      <c r="K17" s="1"/>
    </row>
    <row r="18">
      <c r="D18" s="1"/>
      <c r="E18" s="1"/>
      <c r="F18" s="1"/>
      <c r="G18" s="1"/>
      <c r="H18" s="1"/>
      <c r="I18" s="1"/>
      <c r="J18" s="1"/>
      <c r="K18" s="1"/>
    </row>
    <row r="19">
      <c r="D19" s="1"/>
      <c r="E19" s="1"/>
      <c r="F19" s="1"/>
      <c r="G19" s="1"/>
      <c r="H19" s="1"/>
      <c r="I19" s="1"/>
      <c r="J19" s="1"/>
      <c r="K19" s="1"/>
    </row>
    <row r="20">
      <c r="D20" s="1"/>
      <c r="E20" s="1"/>
      <c r="F20" s="1"/>
      <c r="G20" s="1"/>
      <c r="H20" s="1"/>
      <c r="I20" s="1"/>
      <c r="J20" s="1"/>
      <c r="K20" s="1"/>
    </row>
    <row r="21" ht="15.75" customHeight="1">
      <c r="D21" s="1"/>
      <c r="E21" s="1"/>
      <c r="F21" s="1"/>
      <c r="G21" s="1"/>
      <c r="H21" s="1"/>
      <c r="I21" s="1"/>
      <c r="J21" s="1"/>
      <c r="K21" s="1"/>
    </row>
    <row r="22" ht="15.75" customHeight="1">
      <c r="D22" s="1"/>
      <c r="E22" s="1"/>
      <c r="F22" s="1"/>
      <c r="G22" s="1"/>
      <c r="H22" s="1"/>
      <c r="I22" s="1"/>
      <c r="J22" s="1"/>
      <c r="K22" s="1"/>
    </row>
    <row r="23" ht="15.75" customHeight="1">
      <c r="D23" s="1"/>
      <c r="E23" s="1"/>
      <c r="F23" s="1"/>
      <c r="G23" s="1"/>
      <c r="H23" s="1"/>
      <c r="I23" s="1"/>
      <c r="J23" s="1"/>
      <c r="K23" s="1"/>
    </row>
    <row r="24" ht="15.75" customHeight="1">
      <c r="D24" s="1"/>
      <c r="E24" s="1"/>
      <c r="F24" s="1"/>
      <c r="G24" s="1"/>
      <c r="H24" s="1"/>
      <c r="I24" s="1"/>
      <c r="J24" s="1"/>
      <c r="K24" s="1"/>
    </row>
    <row r="25" ht="15.75" customHeight="1">
      <c r="D25" s="1"/>
      <c r="E25" s="1"/>
      <c r="F25" s="1"/>
      <c r="G25" s="1"/>
      <c r="H25" s="1"/>
      <c r="I25" s="1"/>
      <c r="J25" s="1"/>
      <c r="K25" s="1"/>
    </row>
    <row r="26" ht="15.75" customHeight="1">
      <c r="D26" s="1"/>
      <c r="E26" s="1"/>
      <c r="F26" s="1"/>
      <c r="G26" s="1"/>
      <c r="H26" s="1"/>
      <c r="I26" s="1"/>
      <c r="J26" s="1"/>
      <c r="K26" s="1"/>
    </row>
    <row r="27" ht="15.75" customHeight="1">
      <c r="D27" s="1"/>
      <c r="E27" s="1"/>
      <c r="F27" s="1"/>
      <c r="G27" s="1"/>
      <c r="H27" s="1"/>
      <c r="I27" s="1"/>
      <c r="J27" s="1"/>
      <c r="K27" s="1"/>
    </row>
    <row r="28" ht="15.75" customHeight="1">
      <c r="D28" s="1"/>
      <c r="E28" s="1"/>
      <c r="F28" s="1"/>
      <c r="G28" s="1"/>
      <c r="H28" s="1"/>
      <c r="I28" s="1"/>
      <c r="J28" s="1"/>
      <c r="K28" s="1"/>
    </row>
    <row r="29" ht="15.75" customHeight="1">
      <c r="D29" s="1"/>
      <c r="E29" s="1"/>
      <c r="F29" s="1"/>
      <c r="G29" s="1"/>
      <c r="H29" s="1"/>
      <c r="I29" s="1"/>
      <c r="J29" s="1"/>
      <c r="K29" s="1"/>
    </row>
    <row r="30" ht="15.75" customHeight="1">
      <c r="D30" s="1"/>
      <c r="E30" s="1"/>
      <c r="F30" s="1"/>
      <c r="G30" s="1"/>
      <c r="H30" s="1"/>
      <c r="I30" s="1"/>
      <c r="J30" s="1"/>
      <c r="K30" s="1"/>
    </row>
    <row r="31" ht="15.75" customHeight="1">
      <c r="D31" s="1"/>
      <c r="E31" s="1"/>
      <c r="F31" s="1"/>
      <c r="G31" s="1"/>
      <c r="H31" s="1"/>
      <c r="I31" s="1"/>
      <c r="J31" s="1"/>
      <c r="K31" s="1"/>
    </row>
    <row r="32" ht="15.75" customHeight="1">
      <c r="D32" s="1"/>
      <c r="E32" s="1"/>
      <c r="F32" s="1"/>
      <c r="G32" s="1"/>
      <c r="H32" s="1"/>
      <c r="I32" s="1"/>
      <c r="J32" s="1"/>
      <c r="K32" s="1"/>
    </row>
    <row r="33" ht="15.75" customHeight="1">
      <c r="D33" s="1"/>
      <c r="E33" s="1"/>
      <c r="F33" s="1"/>
      <c r="G33" s="1"/>
      <c r="H33" s="1"/>
      <c r="I33" s="1"/>
      <c r="J33" s="1"/>
      <c r="K33" s="1"/>
    </row>
    <row r="34" ht="15.75" customHeight="1">
      <c r="D34" s="1"/>
      <c r="E34" s="1"/>
      <c r="F34" s="1"/>
      <c r="G34" s="1"/>
      <c r="H34" s="1"/>
      <c r="I34" s="1"/>
      <c r="J34" s="1"/>
      <c r="K34" s="1"/>
    </row>
    <row r="35" ht="15.75" customHeight="1">
      <c r="D35" s="1"/>
      <c r="E35" s="1"/>
      <c r="F35" s="1"/>
      <c r="G35" s="1"/>
      <c r="H35" s="1"/>
      <c r="I35" s="1"/>
      <c r="J35" s="1"/>
      <c r="K35" s="1"/>
    </row>
    <row r="36" ht="15.75" customHeight="1">
      <c r="D36" s="1"/>
      <c r="E36" s="1"/>
      <c r="F36" s="1"/>
      <c r="G36" s="1"/>
      <c r="H36" s="1"/>
      <c r="I36" s="1"/>
      <c r="J36" s="1"/>
      <c r="K36" s="1"/>
    </row>
    <row r="37" ht="15.75" customHeight="1">
      <c r="D37" s="1"/>
      <c r="E37" s="1"/>
      <c r="F37" s="1"/>
      <c r="G37" s="1"/>
      <c r="H37" s="1"/>
      <c r="I37" s="1"/>
      <c r="J37" s="1"/>
      <c r="K37" s="1"/>
    </row>
    <row r="38" ht="15.75" customHeight="1">
      <c r="D38" s="1"/>
      <c r="E38" s="1"/>
      <c r="F38" s="1"/>
      <c r="G38" s="1"/>
      <c r="H38" s="1"/>
      <c r="I38" s="1"/>
      <c r="J38" s="1"/>
      <c r="K38" s="1"/>
    </row>
    <row r="39" ht="15.75" customHeight="1">
      <c r="A39" s="1"/>
      <c r="B39" s="1"/>
      <c r="C39" s="1"/>
      <c r="D39" s="1"/>
      <c r="E39" s="1"/>
      <c r="F39" s="1"/>
      <c r="G39" s="1"/>
      <c r="H39" s="1"/>
      <c r="I39" s="1"/>
      <c r="J39" s="1"/>
      <c r="K39" s="1"/>
    </row>
    <row r="40" ht="15.75" customHeight="1">
      <c r="A40" s="1"/>
      <c r="B40" s="1"/>
      <c r="C40" s="1"/>
      <c r="D40" s="1"/>
      <c r="E40" s="1"/>
      <c r="F40" s="1"/>
      <c r="G40" s="1"/>
      <c r="H40" s="1"/>
      <c r="I40" s="1"/>
      <c r="J40" s="1"/>
      <c r="K40" s="1"/>
    </row>
    <row r="41" ht="15.75" customHeight="1">
      <c r="A41" s="1"/>
      <c r="B41" s="1"/>
      <c r="C41" s="1"/>
      <c r="D41" s="1"/>
      <c r="E41" s="1"/>
      <c r="F41" s="1"/>
      <c r="G41" s="1"/>
      <c r="H41" s="1"/>
      <c r="I41" s="1"/>
      <c r="J41" s="1"/>
      <c r="K41" s="1"/>
    </row>
    <row r="42" ht="15.75" customHeight="1">
      <c r="A42" s="1"/>
      <c r="B42" s="1"/>
      <c r="C42" s="1"/>
      <c r="D42" s="1"/>
      <c r="E42" s="1"/>
      <c r="F42" s="1"/>
      <c r="G42" s="1"/>
      <c r="H42" s="1"/>
      <c r="I42" s="1"/>
      <c r="J42" s="1"/>
      <c r="K42" s="1"/>
    </row>
    <row r="43" ht="15.75" customHeight="1">
      <c r="A43" s="1"/>
      <c r="B43" s="1"/>
      <c r="C43" s="1"/>
      <c r="D43" s="1"/>
      <c r="E43" s="1"/>
      <c r="F43" s="1"/>
      <c r="G43" s="1"/>
      <c r="H43" s="1"/>
      <c r="I43" s="1"/>
      <c r="J43" s="1"/>
      <c r="K43" s="1"/>
    </row>
    <row r="44" ht="15.75" customHeight="1">
      <c r="A44" s="1"/>
      <c r="B44" s="1"/>
      <c r="C44" s="1"/>
      <c r="D44" s="1"/>
      <c r="E44" s="1"/>
      <c r="F44" s="1"/>
      <c r="G44" s="1"/>
      <c r="H44" s="1"/>
      <c r="I44" s="1"/>
      <c r="J44" s="1"/>
      <c r="K44" s="1"/>
    </row>
    <row r="45" ht="15.75" customHeight="1">
      <c r="A45" s="1"/>
      <c r="B45" s="1"/>
      <c r="C45" s="1"/>
      <c r="D45" s="1"/>
      <c r="E45" s="1"/>
      <c r="F45" s="1"/>
      <c r="G45" s="1"/>
      <c r="H45" s="1"/>
      <c r="I45" s="1"/>
      <c r="J45" s="1"/>
      <c r="K45" s="1"/>
    </row>
    <row r="46" ht="15.75" customHeight="1">
      <c r="A46" s="1"/>
      <c r="B46" s="1"/>
      <c r="C46" s="1"/>
      <c r="D46" s="1"/>
      <c r="E46" s="1"/>
      <c r="F46" s="1"/>
      <c r="G46" s="1"/>
      <c r="H46" s="1"/>
      <c r="I46" s="1"/>
      <c r="J46" s="1"/>
      <c r="K46" s="1"/>
    </row>
    <row r="47" ht="15.75" customHeight="1">
      <c r="A47" s="1"/>
      <c r="B47" s="1"/>
      <c r="C47" s="1"/>
      <c r="D47" s="1"/>
      <c r="E47" s="1"/>
      <c r="F47" s="1"/>
      <c r="G47" s="1"/>
      <c r="H47" s="1"/>
      <c r="I47" s="1"/>
      <c r="J47" s="1"/>
      <c r="K47" s="1"/>
    </row>
    <row r="48" ht="15.75" customHeight="1">
      <c r="A48" s="1"/>
      <c r="B48" s="1"/>
      <c r="C48" s="1"/>
      <c r="D48" s="1"/>
      <c r="E48" s="1"/>
      <c r="F48" s="1"/>
      <c r="G48" s="1"/>
      <c r="H48" s="1"/>
      <c r="I48" s="1"/>
      <c r="J48" s="1"/>
      <c r="K48" s="1"/>
    </row>
    <row r="49" ht="15.75" customHeight="1">
      <c r="A49" s="1"/>
      <c r="B49" s="1"/>
      <c r="C49" s="1"/>
      <c r="D49" s="1"/>
      <c r="E49" s="1"/>
      <c r="F49" s="1"/>
      <c r="G49" s="1"/>
      <c r="H49" s="1"/>
      <c r="I49" s="1"/>
      <c r="J49" s="1"/>
      <c r="K49" s="1"/>
    </row>
    <row r="50" ht="15.75" customHeight="1">
      <c r="A50" s="1"/>
      <c r="B50" s="1"/>
      <c r="C50" s="1"/>
      <c r="D50" s="1"/>
      <c r="E50" s="1"/>
      <c r="F50" s="1"/>
      <c r="G50" s="1"/>
      <c r="H50" s="1"/>
      <c r="I50" s="1"/>
      <c r="J50" s="1"/>
      <c r="K50" s="1"/>
    </row>
    <row r="51" ht="15.75" customHeight="1">
      <c r="A51" s="1"/>
      <c r="B51" s="1"/>
      <c r="C51" s="1"/>
      <c r="D51" s="1"/>
      <c r="E51" s="1"/>
      <c r="F51" s="1"/>
      <c r="G51" s="1"/>
      <c r="H51" s="1"/>
      <c r="I51" s="1"/>
      <c r="J51" s="1"/>
      <c r="K51" s="1"/>
    </row>
    <row r="52" ht="15.75" customHeight="1">
      <c r="A52" s="1"/>
      <c r="B52" s="1"/>
      <c r="C52" s="1"/>
      <c r="D52" s="1"/>
      <c r="E52" s="1"/>
      <c r="F52" s="1"/>
      <c r="G52" s="1"/>
      <c r="H52" s="1"/>
      <c r="I52" s="1"/>
      <c r="J52" s="1"/>
      <c r="K52" s="1"/>
    </row>
    <row r="53" ht="15.75" customHeight="1">
      <c r="A53" s="1"/>
      <c r="B53" s="1"/>
      <c r="C53" s="1"/>
      <c r="D53" s="1"/>
      <c r="E53" s="1"/>
      <c r="F53" s="1"/>
      <c r="G53" s="1"/>
      <c r="H53" s="1"/>
      <c r="I53" s="1"/>
      <c r="J53" s="1"/>
      <c r="K53" s="1"/>
    </row>
    <row r="54" ht="15.75" customHeight="1">
      <c r="A54" s="1"/>
      <c r="B54" s="1"/>
      <c r="C54" s="1"/>
      <c r="D54" s="1"/>
      <c r="E54" s="1"/>
      <c r="F54" s="1"/>
      <c r="G54" s="1"/>
      <c r="H54" s="1"/>
      <c r="I54" s="1"/>
      <c r="J54" s="1"/>
      <c r="K54" s="1"/>
    </row>
    <row r="55" ht="15.75" customHeight="1">
      <c r="A55" s="1"/>
      <c r="B55" s="1"/>
      <c r="C55" s="1"/>
      <c r="D55" s="1"/>
      <c r="E55" s="1"/>
      <c r="F55" s="1"/>
      <c r="G55" s="1"/>
      <c r="H55" s="1"/>
      <c r="I55" s="1"/>
      <c r="J55" s="1"/>
      <c r="K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G1"/>
    <mergeCell ref="H1:K1"/>
  </mergeCells>
  <dataValidations>
    <dataValidation type="list" allowBlank="1" showErrorMessage="1" sqref="D3:K38 A39:K203">
      <formula1>'Validación datos NO BORRAR'!$H$4:$H$8</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1.38"/>
    <col customWidth="1" min="5" max="5" width="71.0"/>
    <col customWidth="1" min="6" max="6" width="20.13"/>
    <col customWidth="1" min="7" max="7" width="31.75"/>
    <col customWidth="1" min="8" max="8" width="27.25"/>
    <col customWidth="1" min="9" max="26" width="11.38"/>
  </cols>
  <sheetData>
    <row r="1">
      <c r="H1" s="155"/>
    </row>
    <row r="2" ht="64.5" customHeight="1">
      <c r="H2" s="156"/>
    </row>
    <row r="3">
      <c r="E3" s="157" t="s">
        <v>953</v>
      </c>
      <c r="F3" s="158" t="s">
        <v>54</v>
      </c>
      <c r="G3" s="158" t="s">
        <v>954</v>
      </c>
      <c r="H3" s="159" t="s">
        <v>955</v>
      </c>
    </row>
    <row r="4">
      <c r="E4" s="82" t="s">
        <v>72</v>
      </c>
      <c r="F4" s="95" t="s">
        <v>79</v>
      </c>
      <c r="G4" s="82" t="s">
        <v>253</v>
      </c>
      <c r="H4" s="160">
        <v>1.0</v>
      </c>
    </row>
    <row r="5">
      <c r="E5" s="82" t="s">
        <v>195</v>
      </c>
      <c r="F5" s="95" t="s">
        <v>73</v>
      </c>
      <c r="G5" s="82" t="s">
        <v>956</v>
      </c>
      <c r="H5" s="160">
        <v>2.0</v>
      </c>
    </row>
    <row r="6">
      <c r="E6" s="82" t="s">
        <v>957</v>
      </c>
      <c r="F6" s="95" t="s">
        <v>958</v>
      </c>
      <c r="G6" s="82" t="s">
        <v>109</v>
      </c>
      <c r="H6" s="160">
        <v>3.0</v>
      </c>
    </row>
    <row r="7">
      <c r="E7" s="82" t="s">
        <v>95</v>
      </c>
      <c r="F7" s="82" t="s">
        <v>109</v>
      </c>
      <c r="G7" s="82"/>
      <c r="H7" s="160">
        <v>4.0</v>
      </c>
    </row>
    <row r="8">
      <c r="E8" s="82" t="s">
        <v>959</v>
      </c>
      <c r="F8" s="82"/>
      <c r="G8" s="82"/>
      <c r="H8" s="160"/>
    </row>
    <row r="9">
      <c r="E9" s="82" t="s">
        <v>960</v>
      </c>
      <c r="F9" s="82"/>
      <c r="G9" s="82"/>
      <c r="H9" s="160"/>
    </row>
    <row r="10">
      <c r="E10" s="82"/>
      <c r="F10" s="82"/>
      <c r="G10" s="82"/>
      <c r="H10" s="160"/>
    </row>
    <row r="11">
      <c r="E11" s="82"/>
      <c r="F11" s="82"/>
      <c r="G11" s="82"/>
      <c r="H11" s="160"/>
    </row>
    <row r="12">
      <c r="E12" s="82"/>
      <c r="F12" s="82"/>
      <c r="G12" s="82"/>
      <c r="H12" s="160"/>
    </row>
    <row r="13">
      <c r="E13" s="82"/>
      <c r="F13" s="82"/>
      <c r="G13" s="82"/>
      <c r="H13" s="160"/>
    </row>
    <row r="14">
      <c r="E14" s="82"/>
      <c r="F14" s="82"/>
      <c r="G14" s="82"/>
      <c r="H14" s="160"/>
    </row>
    <row r="15">
      <c r="E15" s="82"/>
      <c r="F15" s="82"/>
      <c r="G15" s="82"/>
      <c r="H15" s="160"/>
    </row>
    <row r="16">
      <c r="E16" s="82"/>
      <c r="F16" s="82"/>
      <c r="G16" s="82"/>
      <c r="H16" s="160"/>
    </row>
    <row r="17">
      <c r="E17" s="82"/>
      <c r="F17" s="82"/>
      <c r="G17" s="82"/>
      <c r="H17" s="1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7.63"/>
    <col customWidth="1" min="3" max="3" width="65.25"/>
    <col customWidth="1" min="4" max="10" width="8.63"/>
    <col customWidth="1" min="11" max="11" width="68.0"/>
    <col customWidth="1" min="12" max="12" width="90.38"/>
    <col customWidth="1" min="13" max="26" width="8.63"/>
  </cols>
  <sheetData>
    <row r="4">
      <c r="A4" s="161"/>
      <c r="B4" s="161"/>
    </row>
    <row r="5">
      <c r="A5" s="161"/>
      <c r="B5" s="162" t="s">
        <v>961</v>
      </c>
    </row>
    <row r="6">
      <c r="A6" s="161"/>
      <c r="B6" s="162" t="s">
        <v>962</v>
      </c>
    </row>
    <row r="7">
      <c r="A7" s="161"/>
      <c r="B7" s="163" t="s">
        <v>963</v>
      </c>
    </row>
    <row r="8">
      <c r="A8" s="161"/>
      <c r="B8" s="161"/>
    </row>
    <row r="9">
      <c r="A9" s="161"/>
      <c r="B9" s="164" t="s">
        <v>964</v>
      </c>
    </row>
    <row r="10">
      <c r="A10" s="161"/>
      <c r="B10" s="165" t="s">
        <v>965</v>
      </c>
      <c r="C10" s="23"/>
      <c r="D10" s="23"/>
      <c r="E10" s="23"/>
      <c r="F10" s="23"/>
      <c r="G10" s="23"/>
      <c r="H10" s="23"/>
      <c r="I10" s="23"/>
      <c r="J10" s="23"/>
      <c r="K10" s="23"/>
      <c r="L10" s="23"/>
    </row>
    <row r="11">
      <c r="A11" s="161"/>
      <c r="B11" s="166" t="s">
        <v>966</v>
      </c>
      <c r="C11" s="45"/>
      <c r="D11" s="45"/>
      <c r="E11" s="45"/>
      <c r="F11" s="45"/>
      <c r="G11" s="45"/>
      <c r="H11" s="45"/>
      <c r="I11" s="45"/>
      <c r="J11" s="45"/>
      <c r="K11" s="45"/>
      <c r="L11" s="44"/>
    </row>
    <row r="12">
      <c r="A12" s="161"/>
      <c r="B12" s="167" t="s">
        <v>967</v>
      </c>
      <c r="C12" s="45"/>
      <c r="D12" s="45"/>
      <c r="E12" s="45"/>
      <c r="F12" s="45"/>
      <c r="G12" s="45"/>
      <c r="H12" s="45"/>
      <c r="I12" s="45"/>
      <c r="J12" s="45"/>
      <c r="K12" s="45"/>
      <c r="L12" s="44"/>
    </row>
    <row r="13">
      <c r="A13" s="161"/>
      <c r="B13" s="168" t="s">
        <v>968</v>
      </c>
      <c r="C13" s="169" t="s">
        <v>969</v>
      </c>
      <c r="D13" s="170" t="s">
        <v>970</v>
      </c>
      <c r="E13" s="45"/>
      <c r="F13" s="45"/>
      <c r="G13" s="45"/>
      <c r="H13" s="45"/>
      <c r="I13" s="45"/>
      <c r="J13" s="45"/>
      <c r="K13" s="44"/>
      <c r="L13" s="169" t="s">
        <v>971</v>
      </c>
    </row>
    <row r="14">
      <c r="A14" s="161"/>
      <c r="B14" s="168" t="s">
        <v>972</v>
      </c>
      <c r="C14" s="169" t="s">
        <v>973</v>
      </c>
      <c r="D14" s="171" t="s">
        <v>974</v>
      </c>
      <c r="E14" s="45"/>
      <c r="F14" s="45"/>
      <c r="G14" s="45"/>
      <c r="H14" s="45"/>
      <c r="I14" s="45"/>
      <c r="J14" s="45"/>
      <c r="K14" s="44"/>
      <c r="L14" s="172" t="s">
        <v>975</v>
      </c>
    </row>
    <row r="15">
      <c r="A15" s="161"/>
      <c r="B15" s="168" t="s">
        <v>976</v>
      </c>
      <c r="C15" s="169" t="s">
        <v>977</v>
      </c>
      <c r="D15" s="171" t="s">
        <v>978</v>
      </c>
      <c r="E15" s="45"/>
      <c r="F15" s="45"/>
      <c r="G15" s="45"/>
      <c r="H15" s="45"/>
      <c r="I15" s="45"/>
      <c r="J15" s="45"/>
      <c r="K15" s="44"/>
      <c r="L15" s="172" t="s">
        <v>979</v>
      </c>
    </row>
    <row r="16">
      <c r="A16" s="161"/>
      <c r="B16" s="168" t="s">
        <v>980</v>
      </c>
      <c r="C16" s="169" t="s">
        <v>981</v>
      </c>
      <c r="D16" s="171" t="s">
        <v>982</v>
      </c>
      <c r="E16" s="45"/>
      <c r="F16" s="45"/>
      <c r="G16" s="45"/>
      <c r="H16" s="45"/>
      <c r="I16" s="45"/>
      <c r="J16" s="45"/>
      <c r="K16" s="44"/>
      <c r="L16" s="172" t="s">
        <v>983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1:L11"/>
    <mergeCell ref="B12:L12"/>
    <mergeCell ref="D13:K13"/>
    <mergeCell ref="D14:K14"/>
    <mergeCell ref="D15:K15"/>
    <mergeCell ref="D16:K16"/>
    <mergeCell ref="B4:L4"/>
    <mergeCell ref="B5:L5"/>
    <mergeCell ref="B6:L6"/>
    <mergeCell ref="B7:L7"/>
    <mergeCell ref="B8:L8"/>
    <mergeCell ref="B9:L9"/>
    <mergeCell ref="B10:L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6" width="11.38"/>
  </cols>
  <sheetData>
    <row r="1">
      <c r="A1" s="173" t="s">
        <v>984</v>
      </c>
      <c r="C1" s="1" t="s">
        <v>985</v>
      </c>
    </row>
    <row r="2">
      <c r="A2" s="173" t="s">
        <v>986</v>
      </c>
      <c r="C2" s="1" t="s">
        <v>987</v>
      </c>
    </row>
    <row r="3">
      <c r="A3" s="173" t="s">
        <v>988</v>
      </c>
    </row>
    <row r="4">
      <c r="A4" s="173" t="s">
        <v>989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2024-06-12T20:22:02Z</dcterms:created>
  <dc:creator>VALENTINA EUGENIA UBAL RODRIGUEZ</dc:creator>
</cp:coreProperties>
</file>