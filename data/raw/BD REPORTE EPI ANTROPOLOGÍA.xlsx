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C:\Users\ravergarab\Desktop\EPIS\FACSO\"/>
    </mc:Choice>
  </mc:AlternateContent>
  <xr:revisionPtr revIDLastSave="357" documentId="8_{982B2D5C-3E72-4E80-9D8A-12175FD52946}" xr6:coauthVersionLast="47" xr6:coauthVersionMax="47" xr10:uidLastSave="{3D049012-51AB-4D55-992E-555486728D7C}"/>
  <bookViews>
    <workbookView xWindow="-120" yWindow="-120" windowWidth="29040" windowHeight="16440" firstSheet="6"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Individuales'!$A$4:$S$4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2" l="1"/>
  <c r="Q4" i="2"/>
  <c r="R4" i="2" s="1"/>
  <c r="Q5" i="2"/>
  <c r="R5" i="2" s="1"/>
  <c r="Q6" i="2"/>
  <c r="R6" i="2" s="1"/>
  <c r="Q7" i="2"/>
  <c r="R7" i="2" s="1"/>
  <c r="S5" i="2"/>
  <c r="S6" i="2"/>
  <c r="S7" i="2"/>
  <c r="S12" i="2"/>
  <c r="S28" i="2"/>
  <c r="S29" i="2"/>
  <c r="S30" i="2"/>
  <c r="S31"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Q8" i="2"/>
  <c r="R8" i="2" s="1"/>
  <c r="S8" i="2" s="1"/>
  <c r="Q9" i="2"/>
  <c r="R9" i="2" s="1"/>
  <c r="S9" i="2" s="1"/>
  <c r="Q10" i="2"/>
  <c r="R10" i="2" s="1"/>
  <c r="S10" i="2" s="1"/>
  <c r="Q11" i="2"/>
  <c r="R11" i="2" s="1"/>
  <c r="S11" i="2" s="1"/>
  <c r="Q12" i="2"/>
  <c r="R12" i="2" s="1"/>
  <c r="Q13" i="2"/>
  <c r="R13" i="2" s="1"/>
  <c r="S13" i="2" s="1"/>
  <c r="Q14" i="2"/>
  <c r="R14" i="2" s="1"/>
  <c r="S14" i="2" s="1"/>
  <c r="Q15" i="2"/>
  <c r="R15" i="2" s="1"/>
  <c r="S15" i="2" s="1"/>
  <c r="Q16" i="2"/>
  <c r="R16" i="2" s="1"/>
  <c r="S16" i="2" s="1"/>
  <c r="Q17" i="2"/>
  <c r="R17" i="2" s="1"/>
  <c r="S17" i="2" s="1"/>
  <c r="Q18" i="2"/>
  <c r="R18" i="2" s="1"/>
  <c r="S18" i="2" s="1"/>
  <c r="Q19" i="2"/>
  <c r="R19" i="2" s="1"/>
  <c r="S19" i="2" s="1"/>
  <c r="Q20" i="2"/>
  <c r="R20" i="2" s="1"/>
  <c r="S20" i="2" s="1"/>
  <c r="Q21" i="2"/>
  <c r="R21" i="2" s="1"/>
  <c r="S21" i="2" s="1"/>
  <c r="Q22" i="2"/>
  <c r="R22" i="2" s="1"/>
  <c r="S22" i="2" s="1"/>
  <c r="Q23" i="2"/>
  <c r="R23" i="2" s="1"/>
  <c r="S23" i="2" s="1"/>
  <c r="Q24" i="2"/>
  <c r="R24" i="2" s="1"/>
  <c r="S24" i="2" s="1"/>
  <c r="Q25" i="2"/>
  <c r="R25" i="2" s="1"/>
  <c r="S25" i="2" s="1"/>
  <c r="Q26" i="2"/>
  <c r="R26" i="2" s="1"/>
  <c r="S26" i="2" s="1"/>
  <c r="Q27" i="2"/>
  <c r="R27" i="2" s="1"/>
  <c r="S27" i="2" s="1"/>
  <c r="Q28" i="2"/>
  <c r="R28" i="2" s="1"/>
  <c r="Q29" i="2"/>
  <c r="R29" i="2" s="1"/>
  <c r="R30" i="2"/>
  <c r="Q31" i="2"/>
  <c r="R31" i="2" s="1"/>
  <c r="Q32" i="2"/>
  <c r="R32" i="2" s="1"/>
  <c r="S32" i="2" s="1"/>
  <c r="Q33" i="2"/>
  <c r="R33" i="2" s="1"/>
  <c r="S33" i="2" s="1"/>
  <c r="Q34" i="2"/>
  <c r="R34" i="2" s="1"/>
  <c r="S34" i="2" s="1"/>
  <c r="Q35" i="2"/>
  <c r="R35" i="2" s="1"/>
  <c r="S35" i="2" s="1"/>
  <c r="Q36" i="2"/>
  <c r="R36" i="2" s="1"/>
  <c r="Q37" i="2"/>
  <c r="R37" i="2" s="1"/>
  <c r="Q38" i="2"/>
  <c r="R38" i="2" s="1"/>
  <c r="Q39" i="2"/>
  <c r="R39" i="2" s="1"/>
  <c r="Q40" i="2"/>
  <c r="R40" i="2" s="1"/>
  <c r="Q41" i="2"/>
  <c r="R41" i="2" s="1"/>
  <c r="Q42" i="2"/>
  <c r="R42" i="2" s="1"/>
  <c r="Q43" i="2"/>
  <c r="R43" i="2" s="1"/>
  <c r="Q44" i="2"/>
  <c r="R44" i="2" s="1"/>
  <c r="Q45" i="2"/>
  <c r="R45" i="2" s="1"/>
  <c r="Q46" i="2"/>
  <c r="R46" i="2" s="1"/>
  <c r="Q47" i="2"/>
  <c r="R47" i="2" s="1"/>
  <c r="Q48" i="2"/>
  <c r="R48" i="2" s="1"/>
  <c r="Q49" i="2"/>
  <c r="R49" i="2" s="1"/>
  <c r="Q50" i="2"/>
  <c r="R50" i="2" s="1"/>
  <c r="Q51" i="2"/>
  <c r="R51" i="2" s="1"/>
  <c r="Q52" i="2"/>
  <c r="R52" i="2" s="1"/>
  <c r="Q53" i="2"/>
  <c r="R53" i="2" s="1"/>
  <c r="Q54" i="2"/>
  <c r="R54" i="2" s="1"/>
  <c r="Q55" i="2"/>
  <c r="R55" i="2" s="1"/>
  <c r="Q56" i="2"/>
  <c r="R56" i="2" s="1"/>
  <c r="Q57" i="2"/>
  <c r="R57" i="2" s="1"/>
  <c r="Q58" i="2"/>
  <c r="R58" i="2" s="1"/>
  <c r="Q59" i="2"/>
  <c r="R59" i="2" s="1"/>
  <c r="Q60" i="2"/>
  <c r="R60" i="2" s="1"/>
  <c r="Q61" i="2"/>
  <c r="R61" i="2" s="1"/>
  <c r="Q62" i="2"/>
  <c r="R62" i="2" s="1"/>
  <c r="Q63" i="2"/>
  <c r="R63" i="2" s="1"/>
  <c r="Q64" i="2"/>
  <c r="R64" i="2" s="1"/>
  <c r="Q65" i="2"/>
  <c r="R65" i="2" s="1"/>
  <c r="Q66" i="2"/>
  <c r="R66" i="2" s="1"/>
  <c r="Q67" i="2"/>
  <c r="R67" i="2" s="1"/>
  <c r="Q68" i="2"/>
  <c r="R68" i="2" s="1"/>
  <c r="Q69" i="2"/>
  <c r="R69" i="2" s="1"/>
  <c r="Q70" i="2"/>
  <c r="R70" i="2" s="1"/>
  <c r="Q71" i="2"/>
  <c r="R71" i="2" s="1"/>
  <c r="Q72" i="2"/>
  <c r="R72" i="2" s="1"/>
  <c r="Q73" i="2"/>
  <c r="R73" i="2" s="1"/>
  <c r="Q74" i="2"/>
  <c r="R74" i="2" s="1"/>
  <c r="Q75" i="2"/>
  <c r="R75" i="2" s="1"/>
  <c r="Q76" i="2"/>
  <c r="R76" i="2" s="1"/>
  <c r="Q77" i="2"/>
  <c r="R77" i="2" s="1"/>
  <c r="Q78" i="2"/>
  <c r="R78" i="2" s="1"/>
  <c r="Q79" i="2"/>
  <c r="R79" i="2" s="1"/>
  <c r="Q80" i="2"/>
  <c r="R80" i="2" s="1"/>
  <c r="Q81" i="2"/>
  <c r="R81" i="2" s="1"/>
  <c r="Q82" i="2"/>
  <c r="R82" i="2" s="1"/>
  <c r="Q83" i="2"/>
  <c r="R83" i="2" s="1"/>
  <c r="Q84" i="2"/>
  <c r="R84" i="2" s="1"/>
  <c r="Q85" i="2"/>
  <c r="R85" i="2" s="1"/>
  <c r="Q86" i="2"/>
  <c r="R86" i="2" s="1"/>
  <c r="Q87" i="2"/>
  <c r="R87" i="2" s="1"/>
  <c r="Q88" i="2"/>
  <c r="R88" i="2" s="1"/>
  <c r="Q89" i="2"/>
  <c r="R89" i="2" s="1"/>
  <c r="Q90" i="2"/>
  <c r="R90" i="2" s="1"/>
  <c r="Q91" i="2"/>
  <c r="R91" i="2" s="1"/>
  <c r="Q92" i="2"/>
  <c r="R92" i="2" s="1"/>
  <c r="Q93" i="2"/>
  <c r="R93" i="2" s="1"/>
  <c r="Q94" i="2"/>
  <c r="R94" i="2" s="1"/>
  <c r="Q95" i="2"/>
  <c r="R95"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1" i="2"/>
  <c r="R111"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5" i="2"/>
  <c r="R125" i="2" s="1"/>
  <c r="Q126" i="2"/>
  <c r="R126" i="2" s="1"/>
  <c r="Q127" i="2"/>
  <c r="R127" i="2" s="1"/>
  <c r="Q128" i="2"/>
  <c r="R128" i="2" s="1"/>
  <c r="Q129" i="2"/>
  <c r="R129" i="2" s="1"/>
  <c r="Q130" i="2"/>
  <c r="R130" i="2" s="1"/>
  <c r="Q131" i="2"/>
  <c r="R131" i="2" s="1"/>
  <c r="Q132" i="2"/>
  <c r="R132"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5" i="2"/>
  <c r="R145"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58" i="2"/>
  <c r="R158" i="2" s="1"/>
  <c r="Q159" i="2"/>
  <c r="R159"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4" i="2"/>
  <c r="R174" i="2" s="1"/>
  <c r="Q175" i="2"/>
  <c r="R175" i="2" s="1"/>
  <c r="Q176" i="2"/>
  <c r="R176" i="2" s="1"/>
  <c r="Q177" i="2"/>
  <c r="R177" i="2" s="1"/>
  <c r="Q178" i="2"/>
  <c r="R178" i="2" s="1"/>
  <c r="Q179" i="2"/>
  <c r="R179" i="2" s="1"/>
  <c r="Q180" i="2"/>
  <c r="R180" i="2" s="1"/>
  <c r="Q181" i="2"/>
  <c r="R181" i="2" s="1"/>
  <c r="Q182" i="2"/>
  <c r="R182" i="2" s="1"/>
  <c r="Q183" i="2"/>
  <c r="R183" i="2" s="1"/>
  <c r="Q184" i="2"/>
  <c r="R184" i="2" s="1"/>
  <c r="Q185" i="2"/>
  <c r="R185" i="2" s="1"/>
  <c r="Q186" i="2"/>
  <c r="R186" i="2" s="1"/>
  <c r="Q187" i="2"/>
  <c r="R187" i="2" s="1"/>
  <c r="Q188" i="2"/>
  <c r="R188" i="2" s="1"/>
  <c r="Q189" i="2"/>
  <c r="R189" i="2" s="1"/>
  <c r="Q190" i="2"/>
  <c r="R190" i="2" s="1"/>
  <c r="Q191" i="2"/>
  <c r="R191" i="2" s="1"/>
  <c r="Q192" i="2"/>
  <c r="R192" i="2" s="1"/>
  <c r="Q193" i="2"/>
  <c r="R193" i="2" s="1"/>
  <c r="Q194" i="2"/>
  <c r="R194" i="2" s="1"/>
  <c r="Q195" i="2"/>
  <c r="R195" i="2" s="1"/>
  <c r="Q196" i="2"/>
  <c r="R196" i="2" s="1"/>
  <c r="Q197" i="2"/>
  <c r="R197" i="2" s="1"/>
  <c r="Q198" i="2"/>
  <c r="R198" i="2" s="1"/>
  <c r="Q199" i="2"/>
  <c r="R199" i="2" s="1"/>
  <c r="Q200" i="2"/>
  <c r="R200" i="2" s="1"/>
  <c r="Q201" i="2"/>
  <c r="R201" i="2" s="1"/>
  <c r="Q202" i="2"/>
  <c r="R202" i="2" s="1"/>
  <c r="Q203" i="2"/>
  <c r="R203" i="2" s="1"/>
  <c r="Q204" i="2"/>
  <c r="R204" i="2" s="1"/>
  <c r="Q205" i="2"/>
  <c r="R205" i="2" s="1"/>
  <c r="Q206" i="2"/>
  <c r="R206" i="2" s="1"/>
  <c r="Q207" i="2"/>
  <c r="R207" i="2" s="1"/>
  <c r="Q208" i="2"/>
  <c r="R208" i="2" s="1"/>
  <c r="Q209" i="2"/>
  <c r="R209" i="2" s="1"/>
  <c r="Q210" i="2"/>
  <c r="R210" i="2" s="1"/>
  <c r="Q211" i="2"/>
  <c r="R211" i="2" s="1"/>
</calcChain>
</file>

<file path=xl/sharedStrings.xml><?xml version="1.0" encoding="utf-8"?>
<sst xmlns="http://schemas.openxmlformats.org/spreadsheetml/2006/main" count="356" uniqueCount="235">
  <si>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</si>
  <si>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</si>
  <si>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</si>
  <si>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</si>
  <si>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</si>
  <si>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</si>
  <si>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</si>
  <si>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</si>
  <si>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</si>
  <si>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</si>
  <si>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</si>
  <si>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</si>
  <si>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</si>
  <si>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</si>
  <si>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</si>
  <si>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</si>
  <si>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</si>
  <si>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</si>
  <si>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</si>
  <si>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</si>
  <si>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</si>
  <si>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</si>
  <si>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</si>
  <si>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</si>
  <si>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</si>
  <si>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</si>
  <si>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</si>
  <si>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</si>
  <si>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</si>
  <si>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</si>
  <si>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</si>
  <si>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</si>
  <si>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</si>
  <si>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</si>
  <si>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</si>
  <si>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</si>
  <si>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</si>
  <si>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</si>
  <si>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</si>
  <si>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</si>
  <si>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</si>
  <si>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</si>
  <si>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</si>
  <si>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u/>
        <sz val="11"/>
        <color rgb="FF000000"/>
        <rFont val="Aptos Narrow"/>
        <scheme val="minor"/>
      </rPr>
      <t xml:space="preserve">
</t>
    </r>
    <r>
      <rPr>
        <b/>
        <u/>
        <sz val="12"/>
        <color rgb="FF000000"/>
        <rFont val="Aptos Narrow"/>
        <scheme val="minor"/>
      </rPr>
      <t xml:space="preserve">
Actividad problema 1
</t>
    </r>
    <r>
      <rPr>
        <sz val="12"/>
        <color rgb="FF000000"/>
        <rFont val="Aptos Narrow"/>
        <scheme val="minor"/>
      </rPr>
      <t xml:space="preserve">
</t>
    </r>
    <r>
      <rPr>
        <i/>
        <sz val="11"/>
        <color rgb="FF000000"/>
        <rFont val="Aptos Narrow"/>
        <scheme val="minor"/>
      </rPr>
      <t xml:space="preserve">No observado: 0 puntos
                       Insatisfactorio: 1 punto                                
Bajo: 2 puntos
Medio  : 3 puntos
Satisfactorio: 4 puntos 
</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</si>
  <si>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</si>
  <si>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</si>
  <si>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</si>
  <si>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</si>
  <si>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</si>
  <si>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</si>
  <si>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</si>
  <si>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</si>
  <si>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</si>
  <si>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</si>
  <si>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</si>
  <si>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Enfoques teórico-conceptuales de la antropología y su relación con una experiencia de trabajo etnográfico específico.</t>
  </si>
  <si>
    <t>Elementos fundamentales de la historia y el pensamiento latinoamericano para comprender un problema de investigación específico.</t>
  </si>
  <si>
    <t>Fundamentos y estrategias de las metodologías cualitativas y la etnografía para formular proyectos de investigación antropológica.</t>
  </si>
  <si>
    <t>Herramientas introductorias del trabajo etnográfico, incorporando el diseño, implementación y reporte escrito (análisis).</t>
  </si>
  <si>
    <t>Especificidades disciplinares de la antropología y su relación con otras disciplinas de las ciencias humanas.</t>
  </si>
  <si>
    <t>Aspectos formales asociados al ensayo</t>
  </si>
  <si>
    <t>PUNTAJE TOTAL ESTUDIANTE</t>
  </si>
  <si>
    <t>PORCENTAJE DE LOGRO</t>
  </si>
  <si>
    <t>CATEGORÍA RESULTADO GLOBAL ESTUDIANTE</t>
  </si>
  <si>
    <t>CATALINA REBECA IBÁÑEZ REYES</t>
  </si>
  <si>
    <t>IBÁÑEZ</t>
  </si>
  <si>
    <t>REYES</t>
  </si>
  <si>
    <t>CATALINA REBECA</t>
  </si>
  <si>
    <t>Interrupción voluntaria (no rinde EPI 2025)</t>
  </si>
  <si>
    <t>No aplica</t>
  </si>
  <si>
    <t>IGNACIO DONOSO CONTRERAS</t>
  </si>
  <si>
    <t>DONOSO</t>
  </si>
  <si>
    <t>CONTRERAS</t>
  </si>
  <si>
    <t>IGNACIO</t>
  </si>
  <si>
    <t>VÍCTOR ALEXANDER ÁVALOS TAMAYO</t>
  </si>
  <si>
    <t>ÁVALOS</t>
  </si>
  <si>
    <t>TAMAYO</t>
  </si>
  <si>
    <t>VÍCTOR ALEXANDER</t>
  </si>
  <si>
    <t>Avance curricular suficiente o adecuado para evaluar ciclo básico</t>
  </si>
  <si>
    <t xml:space="preserve">Rendida </t>
  </si>
  <si>
    <t>JUAN SEBASTIAN KIESSLING KIESSLING</t>
  </si>
  <si>
    <t>KIESSLING</t>
  </si>
  <si>
    <t>JUAN SEBASTIAN</t>
  </si>
  <si>
    <t>JONATHAN GABRIEL MANCILLA MARTÍNEZ</t>
  </si>
  <si>
    <t>MANCILLA</t>
  </si>
  <si>
    <t>MARTÍNEZ</t>
  </si>
  <si>
    <t>JONATHAN GABRIEL</t>
  </si>
  <si>
    <t>LLACOLÉN PENÉLOPE HUINEO CABEZA</t>
  </si>
  <si>
    <t>HUINEO</t>
  </si>
  <si>
    <t>CABEZA</t>
  </si>
  <si>
    <t>LLACOLÉN PENÉLOPE</t>
  </si>
  <si>
    <t>K</t>
  </si>
  <si>
    <t>GONZALO ANDRÉS MUÑOZ OLIVA</t>
  </si>
  <si>
    <t>MUÑOZ</t>
  </si>
  <si>
    <t>OLIVA</t>
  </si>
  <si>
    <t>GONZALO ANDRÉS</t>
  </si>
  <si>
    <t>ANTONIA MARÍA BUSTAMANTE MUÑOZ</t>
  </si>
  <si>
    <t>BUSTAMANTE</t>
  </si>
  <si>
    <t>ANTONIA MARÍA</t>
  </si>
  <si>
    <t>EMIR ANDRÉS LABBÉ BARRIGA</t>
  </si>
  <si>
    <t>LABBÉ</t>
  </si>
  <si>
    <t>BARRIGA</t>
  </si>
  <si>
    <t>EMIR ANDRÉS</t>
  </si>
  <si>
    <t>JAVIERA MARCELA DURÁN ESCUTI</t>
  </si>
  <si>
    <t>DURÁN</t>
  </si>
  <si>
    <t>ESCUTI</t>
  </si>
  <si>
    <t>JAVIERA MARCELA</t>
  </si>
  <si>
    <t>ANTONIA SOFÍA LEIVA VALDERRAMA</t>
  </si>
  <si>
    <t>LEIVA</t>
  </si>
  <si>
    <t>VALDERRAMA</t>
  </si>
  <si>
    <t>ANTONIA SOFÍA</t>
  </si>
  <si>
    <t>AMILCAR MARTÍN CANALA-ECHEVARRIA BELTRÁN</t>
  </si>
  <si>
    <t>CANALA-ECHEVARRIA</t>
  </si>
  <si>
    <t>BELTRÁN</t>
  </si>
  <si>
    <t>AMILCAR MARTÍN</t>
  </si>
  <si>
    <t>FRANCISCA ANTONIA PALMA ACEVEDO</t>
  </si>
  <si>
    <t>PALMA</t>
  </si>
  <si>
    <t>ACEVEDO</t>
  </si>
  <si>
    <t>FRANCISCA ANTONIA</t>
  </si>
  <si>
    <t>RICARDO IGNACIO SALAZAR BRAVO</t>
  </si>
  <si>
    <t>SALAZAR</t>
  </si>
  <si>
    <t>BRAVO</t>
  </si>
  <si>
    <t>RICARDO IGNACIO</t>
  </si>
  <si>
    <t>LUZ IGNACIA CATEJO GONZÁLEZ</t>
  </si>
  <si>
    <t>CATEJO</t>
  </si>
  <si>
    <t>GONZÁLEZ</t>
  </si>
  <si>
    <t>LUZ IGNACIA</t>
  </si>
  <si>
    <t>RAPHAEL IGNACIO CAMPOS MAYANÉS</t>
  </si>
  <si>
    <t>CAMPOS</t>
  </si>
  <si>
    <t>MAYANÉS</t>
  </si>
  <si>
    <t>RAPHAEL IGNACIO</t>
  </si>
  <si>
    <t>CATALINA CONSTANZA CASTRO MUÑOZ</t>
  </si>
  <si>
    <t>CASTRO</t>
  </si>
  <si>
    <t>CATALINA CONSTANZA</t>
  </si>
  <si>
    <t>VALERIA ALEJANDRA VERDUGO MONARDES</t>
  </si>
  <si>
    <t>VERDUGO</t>
  </si>
  <si>
    <t>MONARDES</t>
  </si>
  <si>
    <t>VALERIA ALEJANDRA</t>
  </si>
  <si>
    <t>BENJAMÍN ANTONIO VALLE CASTILLO</t>
  </si>
  <si>
    <t>VALLE</t>
  </si>
  <si>
    <t>CASTILLO</t>
  </si>
  <si>
    <t>BENJAMÍN ANTONIO</t>
  </si>
  <si>
    <t>CAMILA CONSTANZA NAVARRO NÚÑEZ</t>
  </si>
  <si>
    <t>NAVARRO</t>
  </si>
  <si>
    <t>NÚÑEZ</t>
  </si>
  <si>
    <t>CAMILA CONSTANZA</t>
  </si>
  <si>
    <t>CARLA JAVIERA GONZÁLEZ VALENZUELA</t>
  </si>
  <si>
    <t>VALENZUELA</t>
  </si>
  <si>
    <t>CARLA JAVIERA</t>
  </si>
  <si>
    <t>DANIELA MABEL FARÍAS NAVARRO</t>
  </si>
  <si>
    <t>FARÍAS</t>
  </si>
  <si>
    <t>DANIELA MABEL</t>
  </si>
  <si>
    <t>JOSEFINA IGNACIA NUÑEZ VARELA</t>
  </si>
  <si>
    <t>NUÑEZ</t>
  </si>
  <si>
    <t>VARELA</t>
  </si>
  <si>
    <t>JOSEFINA IGNACIA</t>
  </si>
  <si>
    <t>FRANCISCA JESÚS ARAYA RIVERA</t>
  </si>
  <si>
    <t>ARAYA</t>
  </si>
  <si>
    <t>RIVERA</t>
  </si>
  <si>
    <t>FRANCISCA JESÚS</t>
  </si>
  <si>
    <t>CRISTINA ESPERANZA SARRO POLONI</t>
  </si>
  <si>
    <t>SARRO</t>
  </si>
  <si>
    <t>POLONI</t>
  </si>
  <si>
    <t>CRISTINA ESPERANZA</t>
  </si>
  <si>
    <t>ANDRÉS FELIPE EDUARDO MARCHANT GORICHÓN</t>
  </si>
  <si>
    <t>MARCHANT</t>
  </si>
  <si>
    <t>GORICHÓN</t>
  </si>
  <si>
    <t>ANDRÉS FELIPE EDUARDO</t>
  </si>
  <si>
    <t>Avance curricular insuficiente para evaluar ciclo básico (no rinde EPI 2025)</t>
  </si>
  <si>
    <t>EMILIA FRANCISCA MANRÍQUEZ URREA</t>
  </si>
  <si>
    <t>MANRÍQUEZ</t>
  </si>
  <si>
    <t>URREA</t>
  </si>
  <si>
    <t>EMILIA FRANCISCA</t>
  </si>
  <si>
    <t>DIEGO ALONSO GALAZ SOLAR</t>
  </si>
  <si>
    <t>GALAZ</t>
  </si>
  <si>
    <t>SOLAR</t>
  </si>
  <si>
    <t>DIEGO ALONSO</t>
  </si>
  <si>
    <t>MARTINA IGNACIA MUÑOZ MARCHANT</t>
  </si>
  <si>
    <t>MARTINA IGNACIA</t>
  </si>
  <si>
    <t>CONSTANZA MONSERRATT GAMBOA GAJARDO</t>
  </si>
  <si>
    <t>GAMBOA</t>
  </si>
  <si>
    <t>GAJARDO</t>
  </si>
  <si>
    <t>CONSTANZA MONSERRATT</t>
  </si>
  <si>
    <t>ISIDORA ANTONIA LA RIVERA VARAS</t>
  </si>
  <si>
    <t>LA RIVERA</t>
  </si>
  <si>
    <t>VARAS</t>
  </si>
  <si>
    <t>ISIDORA ANTONIA</t>
  </si>
  <si>
    <t>ANTONIA SOFÍA SOBARZO TRONCOSO</t>
  </si>
  <si>
    <t>SOBARZO</t>
  </si>
  <si>
    <t>TRONCOSO</t>
  </si>
  <si>
    <r>
      <rPr>
        <b/>
        <u/>
        <sz val="11"/>
        <color theme="1"/>
        <rFont val="Aptos Narrow"/>
        <family val="2"/>
        <scheme val="minor"/>
      </rPr>
      <t xml:space="preserve">
</t>
    </r>
    <r>
      <rPr>
        <b/>
        <u/>
        <sz val="12"/>
        <color theme="1"/>
        <rFont val="Aptos Narrow"/>
        <family val="2"/>
        <scheme val="minor"/>
      </rPr>
      <t xml:space="preserve">
Actividad problema 1</t>
    </r>
    <r>
      <rPr>
        <sz val="11"/>
        <color theme="1"/>
        <rFont val="Aptos Narrow"/>
        <family val="2"/>
        <scheme val="minor"/>
      </rPr>
      <t xml:space="preserve">
</t>
    </r>
    <r>
      <rPr>
        <i/>
        <sz val="11"/>
        <color theme="1"/>
        <rFont val="Aptos Narrow"/>
        <family val="2"/>
        <scheme val="minor"/>
      </rPr>
      <t xml:space="preserve">
</t>
    </r>
  </si>
  <si>
    <t>Resultados Generales Cohorte</t>
  </si>
  <si>
    <t xml:space="preserve"> N Estudiantes habilitados para rendir</t>
  </si>
  <si>
    <t xml:space="preserve"> N Estudiantes que rindieron</t>
  </si>
  <si>
    <t xml:space="preserve">Porcentaje de cobertura EPI </t>
  </si>
  <si>
    <t>PORCENTAJE DE LOGRO EPI 2025</t>
  </si>
  <si>
    <t>Estado de Habilitación para rendir</t>
  </si>
  <si>
    <t>JUSTIFICATIVO DE NO RENDICIÓN</t>
  </si>
  <si>
    <t xml:space="preserve">  Puntaje según categoría</t>
  </si>
  <si>
    <t>Justifica</t>
  </si>
  <si>
    <t>No rendida</t>
  </si>
  <si>
    <t>No justifica</t>
  </si>
  <si>
    <t>EPI pendiente periodo anterior</t>
  </si>
  <si>
    <t>Rendida no válida</t>
  </si>
  <si>
    <t>Expulsión</t>
  </si>
  <si>
    <t>Retracto</t>
  </si>
  <si>
    <t>POR MEJORAR</t>
  </si>
  <si>
    <t>RINDE</t>
  </si>
  <si>
    <t>SUFICIENTE</t>
  </si>
  <si>
    <t>NO RINDE</t>
  </si>
  <si>
    <t>SATISFACTORIO</t>
  </si>
  <si>
    <t>ÓPTIMO</t>
  </si>
  <si>
    <t>Facultad de Ciencias Sociales</t>
  </si>
  <si>
    <t>Antropología</t>
  </si>
  <si>
    <t>PLAN DE ESTUDIO 2011 (actualización 2015)</t>
  </si>
  <si>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</si>
  <si>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</si>
  <si>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</si>
  <si>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</si>
  <si>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</si>
  <si>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</si>
  <si>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</si>
  <si>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</si>
  <si>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</si>
  <si>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</si>
  <si>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
-Integrar en programaciones de actividades curriculares de 3er año, ajustes que favorezcan el desarrollo de las compentencias que evidenciaron un menor logro en EPI.
</t>
  </si>
  <si>
    <t>Programaciones ajustadas</t>
  </si>
  <si>
    <t xml:space="preserve">II. </t>
  </si>
  <si>
    <t>MEDIANO PLAZO</t>
  </si>
  <si>
    <t>- Analizar comparativamente las calificaciones obtenidas en el ciclo básico con los resultados de EPI, para evaluar nudos críticos en la implementación del plan de estudio que puedan ser abordados con anticipación.L12</t>
  </si>
  <si>
    <t>Acta de reuniones en que se analice comparativamente EPI (2026)</t>
  </si>
  <si>
    <t xml:space="preserve">III. </t>
  </si>
  <si>
    <t>LARGO PLAZO</t>
  </si>
  <si>
    <t xml:space="preserve">
- Elaborar una actividad curricular de formación complementaria (OFC) orientada a fortalecer competencias más descendidas
</t>
  </si>
  <si>
    <t xml:space="preserve">
- propuesta de programa OFC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</si>
</sst>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b/>
      <u/>
      <sz val="12"/>
      <color theme="1"/>
      <name val="Aptos Narrow"/>
      <family val="2"/>
      <scheme val="minor"/>
    </font>
    <font>
      <sz val="10"/>
      <color theme="1"/>
      <name val="Calibri"/>
      <family val="2"/>
    </font>
    <font>
      <sz val="11"/>
      <color theme="1"/>
      <name val="Aptos Narrow"/>
      <family val="2"/>
      <scheme val="minor"/>
    </font>
    <font>
      <sz val="8"/>
      <name val="Aptos Narrow"/>
      <family val="2"/>
      <scheme val="minor"/>
    </font>
    <font>
      <b/>
      <u/>
      <sz val="11"/>
      <color rgb="FF000000"/>
      <name val="Aptos Narrow"/>
      <scheme val="minor"/>
    </font>
    <font>
      <b/>
      <u/>
      <sz val="12"/>
      <color rgb="FF000000"/>
      <name val="Aptos Narrow"/>
      <scheme val="minor"/>
    </font>
    <font>
      <sz val="12"/>
      <color rgb="FF000000"/>
      <name val="Aptos Narrow"/>
      <scheme val="minor"/>
    </font>
    <font>
      <i/>
      <sz val="11"/>
      <color rgb="FF000000"/>
      <name val="Aptos Narrow"/>
      <scheme val="minor"/>
    </font>
    <font>
      <sz val="11"/>
      <color rgb="FF000000"/>
      <name val="Aptos Narrow"/>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sz val="11"/>
      <color theme="1"/>
      <name val="Aptos Display"/>
      <scheme val="major"/>
    </font>
  </fonts>
  <fills count="8">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9D9D9"/>
        <bgColor rgb="FF000000"/>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indexed="64"/>
      </left>
      <right style="thin">
        <color rgb="FF000000"/>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9" fontId="12" fillId="0" borderId="0" applyFont="0" applyFill="0" applyBorder="0" applyAlignment="0" applyProtection="0"/>
  </cellStyleXfs>
  <cellXfs count="152">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2" xfId="0" applyFont="1" applyBorder="1" applyAlignment="1">
      <alignment horizontal="center" vertical="center" wrapText="1"/>
    </xf>
    <xf numFmtId="0" fontId="0" fillId="0" borderId="1" xfId="0" applyBorder="1" applyAlignment="1">
      <alignment wrapText="1"/>
    </xf>
    <xf numFmtId="0" fontId="1" fillId="0" borderId="33" xfId="0" applyFont="1" applyBorder="1" applyAlignment="1">
      <alignment wrapText="1"/>
    </xf>
    <xf numFmtId="0" fontId="1" fillId="0" borderId="34" xfId="0" applyFont="1" applyBorder="1" applyAlignment="1">
      <alignment wrapText="1"/>
    </xf>
    <xf numFmtId="1" fontId="0" fillId="0" borderId="16" xfId="0" applyNumberFormat="1" applyBorder="1"/>
    <xf numFmtId="0" fontId="2" fillId="0" borderId="2" xfId="0" applyFont="1" applyBorder="1" applyAlignment="1">
      <alignment horizontal="center" vertical="center" wrapText="1"/>
    </xf>
    <xf numFmtId="0" fontId="1" fillId="0" borderId="1" xfId="0" applyFont="1" applyBorder="1"/>
    <xf numFmtId="0" fontId="1" fillId="0" borderId="16" xfId="0" applyFont="1" applyBorder="1" applyAlignment="1">
      <alignment wrapText="1"/>
    </xf>
    <xf numFmtId="0" fontId="1" fillId="0" borderId="36" xfId="0" applyFont="1" applyBorder="1" applyAlignment="1">
      <alignment wrapText="1"/>
    </xf>
    <xf numFmtId="0" fontId="1" fillId="0" borderId="37" xfId="0" applyFont="1" applyBorder="1" applyAlignment="1">
      <alignment wrapText="1"/>
    </xf>
    <xf numFmtId="0" fontId="0" fillId="0" borderId="33" xfId="0" applyBorder="1"/>
    <xf numFmtId="0" fontId="0" fillId="0" borderId="37" xfId="0" applyBorder="1"/>
    <xf numFmtId="0" fontId="0" fillId="0" borderId="34" xfId="0" applyBorder="1"/>
    <xf numFmtId="0" fontId="0" fillId="0" borderId="33" xfId="0" applyBorder="1" applyAlignment="1">
      <alignment wrapText="1"/>
    </xf>
    <xf numFmtId="0" fontId="0" fillId="0" borderId="16" xfId="0" applyBorder="1" applyAlignment="1">
      <alignment wrapText="1"/>
    </xf>
    <xf numFmtId="0" fontId="0" fillId="0" borderId="34" xfId="0" applyBorder="1" applyAlignment="1">
      <alignment wrapText="1"/>
    </xf>
    <xf numFmtId="0" fontId="0" fillId="0" borderId="37" xfId="0" applyBorder="1" applyAlignment="1">
      <alignment wrapText="1"/>
    </xf>
    <xf numFmtId="0" fontId="0" fillId="0" borderId="16" xfId="0" applyBorder="1" applyAlignment="1">
      <alignment horizontal="center"/>
    </xf>
    <xf numFmtId="0" fontId="0" fillId="0" borderId="27" xfId="0" applyBorder="1" applyAlignment="1">
      <alignment horizontal="center" vertical="center" wrapText="1"/>
    </xf>
    <xf numFmtId="0" fontId="1" fillId="0" borderId="2" xfId="0" applyFont="1" applyBorder="1"/>
    <xf numFmtId="0" fontId="2" fillId="0" borderId="39" xfId="0" applyFont="1" applyBorder="1" applyAlignment="1">
      <alignment horizontal="center" vertical="center" wrapText="1"/>
    </xf>
    <xf numFmtId="0" fontId="1" fillId="0" borderId="39" xfId="0" applyFont="1" applyBorder="1"/>
    <xf numFmtId="0" fontId="1" fillId="0" borderId="38" xfId="0" applyFont="1" applyBorder="1"/>
    <xf numFmtId="0" fontId="1" fillId="0" borderId="21" xfId="0" applyFont="1" applyBorder="1"/>
    <xf numFmtId="0" fontId="0" fillId="0" borderId="40" xfId="0" applyBorder="1"/>
    <xf numFmtId="0" fontId="2" fillId="6" borderId="42" xfId="0" applyFont="1" applyFill="1" applyBorder="1" applyAlignment="1">
      <alignment horizontal="center" vertical="center" wrapText="1"/>
    </xf>
    <xf numFmtId="0" fontId="2" fillId="6" borderId="43" xfId="0" applyFont="1" applyFill="1" applyBorder="1" applyAlignment="1">
      <alignment horizontal="center" vertical="center" wrapText="1"/>
    </xf>
    <xf numFmtId="0" fontId="0" fillId="0" borderId="30" xfId="0" applyBorder="1" applyAlignment="1">
      <alignment horizontal="center" vertical="center" wrapText="1"/>
    </xf>
    <xf numFmtId="0" fontId="4" fillId="2" borderId="35" xfId="0" applyFont="1" applyFill="1" applyBorder="1" applyAlignment="1">
      <alignment horizontal="center" vertical="center" wrapText="1"/>
    </xf>
    <xf numFmtId="0" fontId="0" fillId="2" borderId="41" xfId="0" applyFill="1" applyBorder="1" applyAlignment="1">
      <alignment horizontal="center" vertical="center" wrapText="1"/>
    </xf>
    <xf numFmtId="0" fontId="0" fillId="0" borderId="44" xfId="0" applyBorder="1"/>
    <xf numFmtId="0" fontId="0" fillId="0" borderId="27" xfId="0" applyBorder="1"/>
    <xf numFmtId="0" fontId="0" fillId="0" borderId="45" xfId="0" applyBorder="1"/>
    <xf numFmtId="0" fontId="0" fillId="0" borderId="46" xfId="0" applyBorder="1"/>
    <xf numFmtId="0" fontId="0" fillId="0" borderId="32" xfId="0" applyBorder="1"/>
    <xf numFmtId="1" fontId="11" fillId="0" borderId="1" xfId="0" applyNumberFormat="1" applyFont="1" applyBorder="1" applyAlignment="1">
      <alignment horizontal="center" vertical="top" wrapText="1"/>
    </xf>
    <xf numFmtId="0" fontId="6" fillId="0" borderId="39" xfId="0" applyFont="1" applyBorder="1" applyAlignment="1">
      <alignment horizontal="center"/>
    </xf>
    <xf numFmtId="0" fontId="2" fillId="6" borderId="47" xfId="0" applyFont="1" applyFill="1" applyBorder="1" applyAlignment="1">
      <alignment horizontal="center" vertical="center" wrapText="1"/>
    </xf>
    <xf numFmtId="0" fontId="0" fillId="0" borderId="27" xfId="0" applyBorder="1" applyAlignment="1">
      <alignment horizontal="center" vertical="center"/>
    </xf>
    <xf numFmtId="9" fontId="1" fillId="0" borderId="1" xfId="1" applyFont="1" applyBorder="1"/>
    <xf numFmtId="0" fontId="0" fillId="2" borderId="3" xfId="0" applyFill="1" applyBorder="1" applyAlignment="1">
      <alignment horizontal="center" vertical="center" wrapText="1"/>
    </xf>
    <xf numFmtId="0" fontId="2" fillId="0" borderId="16" xfId="0" applyFont="1" applyBorder="1" applyAlignment="1">
      <alignment horizontal="center" vertical="center" wrapText="1"/>
    </xf>
    <xf numFmtId="0" fontId="0" fillId="0" borderId="48" xfId="0" applyBorder="1"/>
    <xf numFmtId="0" fontId="0" fillId="0" borderId="49" xfId="0" applyBorder="1"/>
    <xf numFmtId="0" fontId="19" fillId="0" borderId="0" xfId="0" applyFont="1"/>
    <xf numFmtId="0" fontId="23" fillId="7" borderId="21" xfId="0" applyFont="1" applyFill="1" applyBorder="1"/>
    <xf numFmtId="0" fontId="19" fillId="0" borderId="0" xfId="0" applyFont="1" applyAlignment="1">
      <alignment horizontal="center"/>
    </xf>
    <xf numFmtId="0" fontId="0" fillId="0" borderId="0" xfId="0" applyAlignment="1">
      <alignment horizontal="center"/>
    </xf>
    <xf numFmtId="9" fontId="0" fillId="0" borderId="16" xfId="0" applyNumberFormat="1" applyBorder="1"/>
    <xf numFmtId="16" fontId="0" fillId="0" borderId="37" xfId="0" applyNumberFormat="1" applyBorder="1" applyAlignment="1">
      <alignment wrapText="1"/>
    </xf>
    <xf numFmtId="16" fontId="1" fillId="0" borderId="36" xfId="0" applyNumberFormat="1" applyFont="1" applyBorder="1" applyAlignment="1">
      <alignment wrapText="1"/>
    </xf>
    <xf numFmtId="16" fontId="0" fillId="0" borderId="36" xfId="0" applyNumberFormat="1" applyBorder="1" applyAlignment="1">
      <alignment wrapText="1"/>
    </xf>
    <xf numFmtId="9" fontId="0" fillId="0" borderId="36" xfId="0" applyNumberFormat="1" applyBorder="1"/>
    <xf numFmtId="0" fontId="23" fillId="7" borderId="20" xfId="0" applyFont="1" applyFill="1" applyBorder="1" applyAlignment="1">
      <alignment vertical="top"/>
    </xf>
    <xf numFmtId="0" fontId="24" fillId="0" borderId="20" xfId="0" applyFont="1" applyBorder="1" applyAlignment="1">
      <alignment vertical="top" wrapText="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31" xfId="0" applyBorder="1" applyAlignment="1">
      <alignment horizontal="center" vertical="center"/>
    </xf>
    <xf numFmtId="0" fontId="0" fillId="0" borderId="12"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18" fillId="5" borderId="8" xfId="0" applyFont="1" applyFill="1" applyBorder="1" applyAlignment="1">
      <alignment horizontal="center" vertical="top" wrapText="1"/>
    </xf>
    <xf numFmtId="0" fontId="0" fillId="5" borderId="30" xfId="0" applyFill="1" applyBorder="1" applyAlignment="1">
      <alignment horizontal="center" vertical="top" wrapText="1"/>
    </xf>
    <xf numFmtId="0" fontId="0" fillId="5" borderId="9" xfId="0" applyFill="1" applyBorder="1" applyAlignment="1">
      <alignment horizontal="center" vertical="top" wrapText="1"/>
    </xf>
    <xf numFmtId="0" fontId="0" fillId="5" borderId="11" xfId="0" applyFill="1" applyBorder="1" applyAlignment="1">
      <alignment horizontal="center" vertical="top" wrapText="1"/>
    </xf>
    <xf numFmtId="0" fontId="0" fillId="5" borderId="31" xfId="0" applyFill="1" applyBorder="1" applyAlignment="1">
      <alignment horizontal="center" vertical="top" wrapText="1"/>
    </xf>
    <xf numFmtId="0" fontId="0" fillId="5" borderId="12" xfId="0" applyFill="1" applyBorder="1" applyAlignment="1">
      <alignment horizontal="center" vertical="top" wrapText="1"/>
    </xf>
    <xf numFmtId="0" fontId="4" fillId="0" borderId="50" xfId="0" applyFont="1" applyBorder="1" applyAlignment="1">
      <alignment horizontal="center" vertic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0" fillId="5" borderId="3" xfId="0" applyFill="1" applyBorder="1" applyAlignment="1">
      <alignment horizontal="center" vertical="top" wrapText="1"/>
    </xf>
    <xf numFmtId="0" fontId="0" fillId="5" borderId="4" xfId="0" applyFill="1" applyBorder="1" applyAlignment="1">
      <alignment horizontal="center" vertical="top" wrapText="1"/>
    </xf>
    <xf numFmtId="0" fontId="20" fillId="0" borderId="0" xfId="0" applyFont="1" applyAlignment="1">
      <alignment horizontal="center"/>
    </xf>
    <xf numFmtId="0" fontId="21" fillId="0" borderId="0" xfId="0" applyFont="1" applyAlignment="1">
      <alignment horizontal="center"/>
    </xf>
    <xf numFmtId="0" fontId="24" fillId="0" borderId="36" xfId="0" applyFont="1" applyBorder="1" applyAlignment="1">
      <alignment vertical="top" wrapText="1"/>
    </xf>
    <xf numFmtId="0" fontId="24" fillId="0" borderId="49" xfId="0" applyFont="1" applyBorder="1" applyAlignment="1">
      <alignment vertical="top" wrapText="1"/>
    </xf>
    <xf numFmtId="0" fontId="19" fillId="0" borderId="48" xfId="0" applyFont="1" applyBorder="1" applyAlignment="1">
      <alignment wrapText="1"/>
    </xf>
    <xf numFmtId="0" fontId="19" fillId="0" borderId="36" xfId="0" applyFont="1" applyBorder="1" applyAlignment="1">
      <alignment wrapText="1"/>
    </xf>
    <xf numFmtId="0" fontId="19" fillId="0" borderId="49" xfId="0" applyFont="1" applyBorder="1" applyAlignment="1">
      <alignment wrapText="1"/>
    </xf>
    <xf numFmtId="0" fontId="23" fillId="7" borderId="36" xfId="0" applyFont="1" applyFill="1" applyBorder="1" applyAlignment="1">
      <alignment vertical="top"/>
    </xf>
    <xf numFmtId="0" fontId="23" fillId="7" borderId="49" xfId="0" applyFont="1" applyFill="1" applyBorder="1" applyAlignment="1">
      <alignment vertical="top"/>
    </xf>
    <xf numFmtId="0" fontId="19" fillId="0" borderId="0" xfId="0" applyFont="1" applyAlignment="1"/>
    <xf numFmtId="0" fontId="22" fillId="0" borderId="0" xfId="0" applyFont="1" applyAlignment="1"/>
    <xf numFmtId="0" fontId="19" fillId="0" borderId="40" xfId="0" applyFont="1" applyBorder="1" applyAlignment="1"/>
    <xf numFmtId="0" fontId="23" fillId="7" borderId="48" xfId="0" applyFont="1" applyFill="1" applyBorder="1" applyAlignment="1"/>
    <xf numFmtId="0" fontId="23" fillId="7" borderId="36" xfId="0" applyFont="1" applyFill="1" applyBorder="1" applyAlignment="1"/>
    <xf numFmtId="0" fontId="23" fillId="7" borderId="49" xfId="0" applyFont="1" applyFill="1" applyBorder="1" applyAlignment="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752475</xdr:colOff>
      <xdr:row>1</xdr:row>
      <xdr:rowOff>66675</xdr:rowOff>
    </xdr:from>
    <xdr:to>
      <xdr:col>11</xdr:col>
      <xdr:colOff>448802</xdr:colOff>
      <xdr:row>26</xdr:row>
      <xdr:rowOff>162603</xdr:rowOff>
    </xdr:to>
    <xdr:pic>
      <xdr:nvPicPr>
        <xdr:cNvPr id="2" name="Imagen 1">
          <a:extLst>
            <a:ext uri="{FF2B5EF4-FFF2-40B4-BE49-F238E27FC236}">
              <a16:creationId xmlns:a16="http://schemas.microsoft.com/office/drawing/2014/main" id="{587BE6A0-4DF7-A2FE-3974-4C26A42FE677}"/>
            </a:ext>
          </a:extLst>
        </xdr:cNvPr>
        <xdr:cNvPicPr>
          <a:picLocks noChangeAspect="1"/>
        </xdr:cNvPicPr>
      </xdr:nvPicPr>
      <xdr:blipFill>
        <a:blip xmlns:r="http://schemas.openxmlformats.org/officeDocument/2006/relationships" r:embed="rId1"/>
        <a:stretch>
          <a:fillRect/>
        </a:stretch>
      </xdr:blipFill>
      <xdr:spPr>
        <a:xfrm>
          <a:off x="752475" y="257175"/>
          <a:ext cx="8078327" cy="4858428"/>
        </a:xfrm>
        <a:prstGeom prst="rect">
          <a:avLst/>
        </a:prstGeom>
      </xdr:spPr>
    </xdr:pic>
    <xdr:clientData/>
  </xdr:twoCellAnchor>
  <xdr:twoCellAnchor editAs="oneCell">
    <xdr:from>
      <xdr:col>0</xdr:col>
      <xdr:colOff>760319</xdr:colOff>
      <xdr:row>26</xdr:row>
      <xdr:rowOff>127187</xdr:rowOff>
    </xdr:from>
    <xdr:to>
      <xdr:col>11</xdr:col>
      <xdr:colOff>466173</xdr:colOff>
      <xdr:row>55</xdr:row>
      <xdr:rowOff>156537</xdr:rowOff>
    </xdr:to>
    <xdr:pic>
      <xdr:nvPicPr>
        <xdr:cNvPr id="3" name="Imagen 2">
          <a:extLst>
            <a:ext uri="{FF2B5EF4-FFF2-40B4-BE49-F238E27FC236}">
              <a16:creationId xmlns:a16="http://schemas.microsoft.com/office/drawing/2014/main" id="{BA3DE9DF-8494-6E3B-6A84-D23313093052}"/>
            </a:ext>
            <a:ext uri="{147F2762-F138-4A5C-976F-8EAC2B608ADB}">
              <a16:predDERef xmlns:a16="http://schemas.microsoft.com/office/drawing/2014/main" pred="{587BE6A0-4DF7-A2FE-3974-4C26A42FE677}"/>
            </a:ext>
          </a:extLst>
        </xdr:cNvPr>
        <xdr:cNvPicPr>
          <a:picLocks noChangeAspect="1"/>
        </xdr:cNvPicPr>
      </xdr:nvPicPr>
      <xdr:blipFill>
        <a:blip xmlns:r="http://schemas.openxmlformats.org/officeDocument/2006/relationships" r:embed="rId2"/>
        <a:stretch>
          <a:fillRect/>
        </a:stretch>
      </xdr:blipFill>
      <xdr:spPr>
        <a:xfrm>
          <a:off x="760319" y="5080187"/>
          <a:ext cx="8087854" cy="5553850"/>
        </a:xfrm>
        <a:prstGeom prst="rect">
          <a:avLst/>
        </a:prstGeom>
      </xdr:spPr>
    </xdr:pic>
    <xdr:clientData/>
  </xdr:twoCellAnchor>
  <xdr:twoCellAnchor editAs="oneCell">
    <xdr:from>
      <xdr:col>1</xdr:col>
      <xdr:colOff>11206</xdr:colOff>
      <xdr:row>55</xdr:row>
      <xdr:rowOff>0</xdr:rowOff>
    </xdr:from>
    <xdr:to>
      <xdr:col>11</xdr:col>
      <xdr:colOff>460007</xdr:colOff>
      <xdr:row>58</xdr:row>
      <xdr:rowOff>9606</xdr:rowOff>
    </xdr:to>
    <xdr:pic>
      <xdr:nvPicPr>
        <xdr:cNvPr id="4" name="Imagen 3">
          <a:extLst>
            <a:ext uri="{FF2B5EF4-FFF2-40B4-BE49-F238E27FC236}">
              <a16:creationId xmlns:a16="http://schemas.microsoft.com/office/drawing/2014/main" id="{378C2230-CACF-FAE6-E2C9-65A150E21BCC}"/>
            </a:ext>
          </a:extLst>
        </xdr:cNvPr>
        <xdr:cNvPicPr>
          <a:picLocks noChangeAspect="1"/>
        </xdr:cNvPicPr>
      </xdr:nvPicPr>
      <xdr:blipFill>
        <a:blip xmlns:r="http://schemas.openxmlformats.org/officeDocument/2006/relationships" r:embed="rId3"/>
        <a:stretch>
          <a:fillRect/>
        </a:stretch>
      </xdr:blipFill>
      <xdr:spPr>
        <a:xfrm>
          <a:off x="773206" y="10477500"/>
          <a:ext cx="8068801" cy="5811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1019175</xdr:colOff>
      <xdr:row>0</xdr:row>
      <xdr:rowOff>180975</xdr:rowOff>
    </xdr:from>
    <xdr:to>
      <xdr:col>10</xdr:col>
      <xdr:colOff>3619500</xdr:colOff>
      <xdr:row>0</xdr:row>
      <xdr:rowOff>876300</xdr:rowOff>
    </xdr:to>
    <xdr:pic>
      <xdr:nvPicPr>
        <xdr:cNvPr id="2" name="Imagen 1">
          <a:extLst>
            <a:ext uri="{FF2B5EF4-FFF2-40B4-BE49-F238E27FC236}">
              <a16:creationId xmlns:a16="http://schemas.microsoft.com/office/drawing/2014/main" id="{F76114FE-8F85-8CF7-5358-A45318614695}"/>
            </a:ext>
          </a:extLst>
        </xdr:cNvPr>
        <xdr:cNvPicPr>
          <a:picLocks noChangeAspect="1"/>
        </xdr:cNvPicPr>
      </xdr:nvPicPr>
      <xdr:blipFill>
        <a:blip xmlns:r="http://schemas.openxmlformats.org/officeDocument/2006/relationships" r:embed="rId1"/>
        <a:stretch>
          <a:fillRect/>
        </a:stretch>
      </xdr:blipFill>
      <xdr:spPr>
        <a:xfrm>
          <a:off x="7543800" y="180975"/>
          <a:ext cx="2600325" cy="695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A13" workbookViewId="0">
      <selection activeCell="C21" sqref="C21:C34"/>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87" t="s">
        <v>2</v>
      </c>
      <c r="D4" s="88"/>
      <c r="E4" s="88"/>
      <c r="F4" s="88"/>
      <c r="G4" s="89"/>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90" t="s">
        <v>20</v>
      </c>
      <c r="C10" s="91"/>
      <c r="D10" s="91"/>
      <c r="E10" s="91"/>
      <c r="F10" s="91"/>
      <c r="G10" s="91"/>
    </row>
    <row r="11" spans="1:8">
      <c r="B11" s="91"/>
      <c r="C11" s="91"/>
      <c r="D11" s="91"/>
      <c r="E11" s="91"/>
      <c r="F11" s="91"/>
      <c r="G11" s="91"/>
    </row>
    <row r="12" spans="1:8">
      <c r="B12" s="91"/>
      <c r="C12" s="91"/>
      <c r="D12" s="91"/>
      <c r="E12" s="91"/>
      <c r="F12" s="91"/>
      <c r="G12" s="91"/>
    </row>
    <row r="14" spans="1:8" ht="15.75" thickBot="1"/>
    <row r="15" spans="1:8" ht="15.75" thickBot="1">
      <c r="C15" s="87" t="s">
        <v>21</v>
      </c>
      <c r="D15" s="88"/>
      <c r="E15" s="88"/>
      <c r="F15" s="88"/>
      <c r="G15" s="89"/>
    </row>
    <row r="16" spans="1:8" ht="15.75" thickBot="1">
      <c r="B16" s="18"/>
      <c r="C16" s="19" t="s">
        <v>3</v>
      </c>
      <c r="D16" s="20" t="s">
        <v>4</v>
      </c>
      <c r="E16" s="21" t="s">
        <v>5</v>
      </c>
      <c r="F16" s="92" t="s">
        <v>22</v>
      </c>
      <c r="G16" s="93"/>
      <c r="H16" s="22"/>
    </row>
    <row r="17" spans="2:8" ht="15.75" thickBot="1">
      <c r="B17" s="23" t="s">
        <v>23</v>
      </c>
      <c r="C17" s="24" t="s">
        <v>24</v>
      </c>
      <c r="D17" s="25" t="s">
        <v>25</v>
      </c>
      <c r="E17" s="26" t="s">
        <v>26</v>
      </c>
      <c r="F17" s="94" t="s">
        <v>27</v>
      </c>
      <c r="G17" s="95"/>
      <c r="H17" s="22"/>
    </row>
    <row r="18" spans="2:8" ht="165.75" thickBot="1">
      <c r="B18" s="96" t="s">
        <v>28</v>
      </c>
      <c r="C18" s="27" t="s">
        <v>29</v>
      </c>
      <c r="D18" s="27" t="s">
        <v>30</v>
      </c>
      <c r="E18" s="27" t="s">
        <v>31</v>
      </c>
      <c r="F18" s="99" t="s">
        <v>32</v>
      </c>
      <c r="G18" s="100"/>
      <c r="H18" s="28" t="s">
        <v>33</v>
      </c>
    </row>
    <row r="19" spans="2:8">
      <c r="B19" s="97"/>
      <c r="C19" s="101" t="s">
        <v>34</v>
      </c>
      <c r="D19" s="101"/>
      <c r="E19" s="101" t="s">
        <v>35</v>
      </c>
      <c r="F19" s="101"/>
      <c r="G19" s="102"/>
      <c r="H19" s="22"/>
    </row>
    <row r="20" spans="2:8">
      <c r="B20" s="98"/>
      <c r="C20" s="103" t="s">
        <v>36</v>
      </c>
      <c r="D20" s="103"/>
      <c r="E20" s="103"/>
      <c r="F20" s="103"/>
      <c r="G20" s="104"/>
      <c r="H20" s="22"/>
    </row>
    <row r="21" spans="2:8" ht="15" customHeight="1">
      <c r="B21" s="105" t="s">
        <v>37</v>
      </c>
      <c r="C21" s="108" t="s">
        <v>38</v>
      </c>
      <c r="D21" s="109" t="s">
        <v>39</v>
      </c>
      <c r="E21" s="109" t="s">
        <v>40</v>
      </c>
      <c r="F21" s="112" t="s">
        <v>41</v>
      </c>
      <c r="G21" s="86"/>
    </row>
    <row r="22" spans="2:8">
      <c r="B22" s="106"/>
      <c r="C22" s="106"/>
      <c r="D22" s="106"/>
      <c r="E22" s="110"/>
      <c r="F22" s="113"/>
      <c r="G22" s="86"/>
    </row>
    <row r="23" spans="2:8">
      <c r="B23" s="106"/>
      <c r="C23" s="106"/>
      <c r="D23" s="106"/>
      <c r="E23" s="110"/>
      <c r="F23" s="113"/>
      <c r="G23" s="86"/>
    </row>
    <row r="24" spans="2:8">
      <c r="B24" s="106"/>
      <c r="C24" s="106"/>
      <c r="D24" s="106"/>
      <c r="E24" s="110"/>
      <c r="F24" s="113"/>
      <c r="G24" s="86"/>
    </row>
    <row r="25" spans="2:8">
      <c r="B25" s="106"/>
      <c r="C25" s="106"/>
      <c r="D25" s="106"/>
      <c r="E25" s="110"/>
      <c r="F25" s="113"/>
      <c r="G25" s="86"/>
    </row>
    <row r="26" spans="2:8">
      <c r="B26" s="106"/>
      <c r="C26" s="106"/>
      <c r="D26" s="106"/>
      <c r="E26" s="110"/>
      <c r="F26" s="113"/>
      <c r="G26" s="86"/>
    </row>
    <row r="27" spans="2:8">
      <c r="B27" s="106"/>
      <c r="C27" s="106"/>
      <c r="D27" s="106"/>
      <c r="E27" s="110"/>
      <c r="F27" s="113"/>
      <c r="G27" s="86"/>
    </row>
    <row r="28" spans="2:8">
      <c r="B28" s="106"/>
      <c r="C28" s="106"/>
      <c r="D28" s="106"/>
      <c r="E28" s="110"/>
      <c r="F28" s="113"/>
      <c r="G28" s="86"/>
    </row>
    <row r="29" spans="2:8">
      <c r="B29" s="106"/>
      <c r="C29" s="106"/>
      <c r="D29" s="106"/>
      <c r="E29" s="110"/>
      <c r="F29" s="113"/>
      <c r="G29" s="86"/>
    </row>
    <row r="30" spans="2:8">
      <c r="B30" s="106"/>
      <c r="C30" s="106"/>
      <c r="D30" s="106"/>
      <c r="E30" s="110"/>
      <c r="F30" s="113"/>
      <c r="G30" s="86"/>
    </row>
    <row r="31" spans="2:8">
      <c r="B31" s="106"/>
      <c r="C31" s="106"/>
      <c r="D31" s="106"/>
      <c r="E31" s="110"/>
      <c r="F31" s="113"/>
      <c r="G31" s="86"/>
    </row>
    <row r="32" spans="2:8">
      <c r="B32" s="106"/>
      <c r="C32" s="106"/>
      <c r="D32" s="106"/>
      <c r="E32" s="110"/>
      <c r="F32" s="113"/>
      <c r="G32" s="86"/>
    </row>
    <row r="33" spans="2:7">
      <c r="B33" s="106"/>
      <c r="C33" s="106"/>
      <c r="D33" s="106"/>
      <c r="E33" s="110"/>
      <c r="F33" s="113"/>
      <c r="G33" s="86"/>
    </row>
    <row r="34" spans="2:7">
      <c r="B34" s="107"/>
      <c r="C34" s="107"/>
      <c r="D34" s="107"/>
      <c r="E34" s="111"/>
      <c r="F34" s="113"/>
      <c r="G34" s="86"/>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9:A79"/>
  <sheetViews>
    <sheetView zoomScale="85" zoomScaleNormal="85" workbookViewId="0">
      <selection activeCell="N29" sqref="N29"/>
    </sheetView>
  </sheetViews>
  <sheetFormatPr defaultColWidth="11.42578125" defaultRowHeight="15"/>
  <sheetData>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S211"/>
  <sheetViews>
    <sheetView tabSelected="1" topLeftCell="A3" workbookViewId="0">
      <pane ySplit="1" topLeftCell="A4" activePane="bottomLeft" state="frozen"/>
      <selection pane="bottomLeft" activeCell="F39" sqref="F39"/>
    </sheetView>
  </sheetViews>
  <sheetFormatPr defaultColWidth="9.140625" defaultRowHeight="15"/>
  <cols>
    <col min="1" max="1" width="20" customWidth="1"/>
    <col min="2" max="2" width="11.42578125" customWidth="1"/>
    <col min="3" max="3" width="37.42578125" customWidth="1"/>
    <col min="4" max="4" width="20.85546875" customWidth="1"/>
    <col min="5" max="5" width="23" customWidth="1"/>
    <col min="6" max="6" width="31.85546875" customWidth="1"/>
    <col min="7" max="7" width="52.28515625" customWidth="1"/>
    <col min="8" max="10" width="14.28515625" customWidth="1"/>
    <col min="11" max="11" width="24.85546875" customWidth="1"/>
    <col min="12" max="12" width="25.7109375" customWidth="1"/>
    <col min="13" max="13" width="32.7109375" customWidth="1"/>
    <col min="14" max="16" width="32.42578125" customWidth="1"/>
    <col min="17" max="18" width="14.28515625" customWidth="1"/>
    <col min="19" max="19" width="22.7109375" customWidth="1"/>
  </cols>
  <sheetData>
    <row r="1" spans="1:19" s="5" customFormat="1" ht="93" customHeight="1">
      <c r="A1" s="120" t="s">
        <v>42</v>
      </c>
      <c r="B1" s="121"/>
      <c r="C1" s="121"/>
      <c r="D1" s="121"/>
      <c r="E1" s="121"/>
      <c r="F1" s="121"/>
      <c r="G1" s="121"/>
      <c r="H1" s="121"/>
      <c r="I1" s="121"/>
      <c r="J1" s="122"/>
      <c r="K1" s="126" t="s">
        <v>43</v>
      </c>
      <c r="L1" s="127"/>
      <c r="M1" s="127"/>
      <c r="N1" s="127"/>
      <c r="O1" s="127"/>
      <c r="P1" s="128"/>
      <c r="Q1" s="114" t="s">
        <v>44</v>
      </c>
      <c r="R1" s="115"/>
      <c r="S1" s="116"/>
    </row>
    <row r="2" spans="1:19" s="5" customFormat="1" ht="171" customHeight="1" thickBot="1">
      <c r="A2" s="123"/>
      <c r="B2" s="124"/>
      <c r="C2" s="124"/>
      <c r="D2" s="124"/>
      <c r="E2" s="124"/>
      <c r="F2" s="124"/>
      <c r="G2" s="124"/>
      <c r="H2" s="124"/>
      <c r="I2" s="124"/>
      <c r="J2" s="125"/>
      <c r="K2" s="129"/>
      <c r="L2" s="130"/>
      <c r="M2" s="130"/>
      <c r="N2" s="130"/>
      <c r="O2" s="130"/>
      <c r="P2" s="131"/>
      <c r="Q2" s="117"/>
      <c r="R2" s="118"/>
      <c r="S2" s="119"/>
    </row>
    <row r="3" spans="1:19" s="3" customFormat="1" ht="96" customHeight="1" thickBot="1">
      <c r="A3" s="68" t="s">
        <v>45</v>
      </c>
      <c r="B3" s="56" t="s">
        <v>46</v>
      </c>
      <c r="C3" s="56" t="s">
        <v>47</v>
      </c>
      <c r="D3" s="56" t="s">
        <v>48</v>
      </c>
      <c r="E3" s="56" t="s">
        <v>49</v>
      </c>
      <c r="F3" s="56" t="s">
        <v>50</v>
      </c>
      <c r="G3" s="56" t="s">
        <v>51</v>
      </c>
      <c r="H3" s="56" t="s">
        <v>52</v>
      </c>
      <c r="I3" s="56" t="s">
        <v>53</v>
      </c>
      <c r="J3" s="57" t="s">
        <v>54</v>
      </c>
      <c r="K3" s="60" t="s">
        <v>55</v>
      </c>
      <c r="L3" s="60" t="s">
        <v>56</v>
      </c>
      <c r="M3" s="60" t="s">
        <v>57</v>
      </c>
      <c r="N3" s="60" t="s">
        <v>58</v>
      </c>
      <c r="O3" s="71" t="s">
        <v>59</v>
      </c>
      <c r="P3" s="71" t="s">
        <v>60</v>
      </c>
      <c r="Q3" s="51" t="s">
        <v>61</v>
      </c>
      <c r="R3" s="36" t="s">
        <v>62</v>
      </c>
      <c r="S3" s="36" t="s">
        <v>63</v>
      </c>
    </row>
    <row r="4" spans="1:19">
      <c r="A4" s="29">
        <v>18829107</v>
      </c>
      <c r="B4" s="67">
        <v>4</v>
      </c>
      <c r="C4" s="67" t="s">
        <v>64</v>
      </c>
      <c r="D4" s="66" t="s">
        <v>65</v>
      </c>
      <c r="E4" s="66" t="s">
        <v>66</v>
      </c>
      <c r="F4" s="66" t="s">
        <v>67</v>
      </c>
      <c r="G4" s="53" t="s">
        <v>68</v>
      </c>
      <c r="H4" s="54" t="s">
        <v>69</v>
      </c>
      <c r="I4" s="55"/>
      <c r="J4" s="54" t="s">
        <v>69</v>
      </c>
      <c r="K4" s="52"/>
      <c r="L4" s="50"/>
      <c r="M4" s="50"/>
      <c r="N4" s="50"/>
      <c r="O4" s="50"/>
      <c r="P4" s="50"/>
      <c r="Q4" s="37">
        <f>SUM(K4:P4)</f>
        <v>0</v>
      </c>
      <c r="R4" s="70">
        <f>Q4/24</f>
        <v>0</v>
      </c>
      <c r="S4" s="37" t="str">
        <f>IF(H4="Rendida ",IF('Resultados Individuales'!R4&lt;49.5%,"Por Mejorar",IF('Resultados Individuales'!R4&lt;64.5%,"Base",IF('Resultados Individuales'!R4&lt;84.5%,"Satisfactorio","Óptimo"))),"No rendida o no válida")</f>
        <v>No rendida o no válida</v>
      </c>
    </row>
    <row r="5" spans="1:19">
      <c r="A5" s="29">
        <v>19959162</v>
      </c>
      <c r="B5" s="67">
        <v>2</v>
      </c>
      <c r="C5" s="67" t="s">
        <v>70</v>
      </c>
      <c r="D5" s="66" t="s">
        <v>71</v>
      </c>
      <c r="E5" s="66" t="s">
        <v>72</v>
      </c>
      <c r="F5" s="66" t="s">
        <v>73</v>
      </c>
      <c r="G5" s="33" t="s">
        <v>68</v>
      </c>
      <c r="H5" s="38" t="s">
        <v>69</v>
      </c>
      <c r="I5" s="39"/>
      <c r="J5" s="38" t="s">
        <v>69</v>
      </c>
      <c r="K5" s="34"/>
      <c r="L5" s="2"/>
      <c r="M5" s="2"/>
      <c r="N5" s="2"/>
      <c r="O5" s="2"/>
      <c r="P5" s="2"/>
      <c r="Q5" s="37">
        <f>SUM(K5:P5)</f>
        <v>0</v>
      </c>
      <c r="R5" s="70">
        <f t="shared" ref="R5:R68" si="0">Q5/24</f>
        <v>0</v>
      </c>
      <c r="S5" s="37" t="str">
        <f>IF(H5="Rendida ",IF('Resultados Individuales'!R5&lt;49.5%,"Por Mejorar",IF('Resultados Individuales'!R5&lt;64.5%,"Base",IF('Resultados Individuales'!R5&lt;84.5%,"Satisfactorio","Óptimo"))),"No rendida o no válida")</f>
        <v>No rendida o no válida</v>
      </c>
    </row>
    <row r="6" spans="1:19" ht="29.25">
      <c r="A6" s="29">
        <v>20290224</v>
      </c>
      <c r="B6" s="67">
        <v>3</v>
      </c>
      <c r="C6" s="67" t="s">
        <v>74</v>
      </c>
      <c r="D6" s="66" t="s">
        <v>75</v>
      </c>
      <c r="E6" s="66" t="s">
        <v>76</v>
      </c>
      <c r="F6" s="66" t="s">
        <v>77</v>
      </c>
      <c r="G6" s="33" t="s">
        <v>78</v>
      </c>
      <c r="H6" s="38" t="s">
        <v>79</v>
      </c>
      <c r="I6" s="81">
        <v>45749</v>
      </c>
      <c r="J6" s="38" t="s">
        <v>69</v>
      </c>
      <c r="K6" s="34">
        <v>3</v>
      </c>
      <c r="L6" s="2">
        <v>3</v>
      </c>
      <c r="M6" s="2">
        <v>2</v>
      </c>
      <c r="N6" s="2">
        <v>3</v>
      </c>
      <c r="O6" s="2">
        <v>3</v>
      </c>
      <c r="P6" s="2">
        <v>2</v>
      </c>
      <c r="Q6" s="37">
        <f>SUM(K6:P6)</f>
        <v>16</v>
      </c>
      <c r="R6" s="70">
        <f t="shared" si="0"/>
        <v>0.66666666666666663</v>
      </c>
      <c r="S6" s="37" t="str">
        <f>IF(H6="Rendida ",IF('Resultados Individuales'!R6&lt;49.5%,"Por Mejorar",IF('Resultados Individuales'!R6&lt;64.5%,"Base",IF('Resultados Individuales'!R6&lt;84.5%,"Satisfactorio","Óptimo"))),"No rendida o no válida")</f>
        <v>Satisfactorio</v>
      </c>
    </row>
    <row r="7" spans="1:19" ht="29.25">
      <c r="A7" s="29">
        <v>20317927</v>
      </c>
      <c r="B7" s="67">
        <v>8</v>
      </c>
      <c r="C7" s="67" t="s">
        <v>80</v>
      </c>
      <c r="D7" s="66" t="s">
        <v>81</v>
      </c>
      <c r="E7" s="66" t="s">
        <v>81</v>
      </c>
      <c r="F7" s="66" t="s">
        <v>82</v>
      </c>
      <c r="G7" s="33" t="s">
        <v>78</v>
      </c>
      <c r="H7" s="38" t="s">
        <v>79</v>
      </c>
      <c r="I7" s="82">
        <v>45749</v>
      </c>
      <c r="J7" s="38" t="s">
        <v>69</v>
      </c>
      <c r="K7" s="46">
        <v>3</v>
      </c>
      <c r="L7" s="2">
        <v>3</v>
      </c>
      <c r="M7" s="2">
        <v>4</v>
      </c>
      <c r="N7" s="2">
        <v>4</v>
      </c>
      <c r="O7" s="2">
        <v>3</v>
      </c>
      <c r="P7" s="2">
        <v>3</v>
      </c>
      <c r="Q7" s="37">
        <f>SUM(K7:P7)</f>
        <v>20</v>
      </c>
      <c r="R7" s="70">
        <f t="shared" si="0"/>
        <v>0.83333333333333337</v>
      </c>
      <c r="S7" s="37" t="str">
        <f>IF(H7="Rendida ",IF('Resultados Individuales'!R7&lt;49.5%,"Por Mejorar",IF('Resultados Individuales'!R7&lt;64.5%,"Base",IF('Resultados Individuales'!R7&lt;84.5%,"Satisfactorio","Óptimo"))),"No rendida o no válida")</f>
        <v>Satisfactorio</v>
      </c>
    </row>
    <row r="8" spans="1:19" ht="29.25">
      <c r="A8" s="29">
        <v>20347661</v>
      </c>
      <c r="B8" s="67">
        <v>2</v>
      </c>
      <c r="C8" s="67" t="s">
        <v>83</v>
      </c>
      <c r="D8" s="66" t="s">
        <v>84</v>
      </c>
      <c r="E8" s="66" t="s">
        <v>85</v>
      </c>
      <c r="F8" s="66" t="s">
        <v>86</v>
      </c>
      <c r="G8" s="33" t="s">
        <v>78</v>
      </c>
      <c r="H8" s="38" t="s">
        <v>79</v>
      </c>
      <c r="I8" s="81">
        <v>45749</v>
      </c>
      <c r="J8" s="38" t="s">
        <v>69</v>
      </c>
      <c r="K8" s="46">
        <v>4</v>
      </c>
      <c r="L8" s="2">
        <v>4</v>
      </c>
      <c r="M8" s="2">
        <v>4</v>
      </c>
      <c r="N8" s="2">
        <v>4</v>
      </c>
      <c r="O8" s="2">
        <v>3</v>
      </c>
      <c r="P8" s="2">
        <v>4</v>
      </c>
      <c r="Q8" s="37">
        <f>SUM(K8:P8)</f>
        <v>23</v>
      </c>
      <c r="R8" s="70">
        <f t="shared" si="0"/>
        <v>0.95833333333333337</v>
      </c>
      <c r="S8" s="37" t="str">
        <f>IF(H8="Rendida ",IF('Resultados Individuales'!R8&lt;49.5%,"Por Mejorar",IF('Resultados Individuales'!R8&lt;64.5%,"Base",IF('Resultados Individuales'!R8&lt;84.5%,"Satisfactorio","Óptimo"))),"No rendida o no válida")</f>
        <v>Óptimo</v>
      </c>
    </row>
    <row r="9" spans="1:19" ht="29.25">
      <c r="A9" s="29">
        <v>20455300</v>
      </c>
      <c r="B9" s="67">
        <v>9</v>
      </c>
      <c r="C9" s="67" t="s">
        <v>87</v>
      </c>
      <c r="D9" s="66" t="s">
        <v>88</v>
      </c>
      <c r="E9" s="66" t="s">
        <v>89</v>
      </c>
      <c r="F9" s="66" t="s">
        <v>90</v>
      </c>
      <c r="G9" s="33" t="s">
        <v>78</v>
      </c>
      <c r="H9" s="38" t="s">
        <v>79</v>
      </c>
      <c r="I9" s="82"/>
      <c r="J9" s="38" t="s">
        <v>69</v>
      </c>
      <c r="K9" s="46">
        <v>3</v>
      </c>
      <c r="L9" s="2">
        <v>3</v>
      </c>
      <c r="M9" s="2">
        <v>4</v>
      </c>
      <c r="N9" s="2">
        <v>4</v>
      </c>
      <c r="O9" s="2">
        <v>3</v>
      </c>
      <c r="P9" s="2">
        <v>2</v>
      </c>
      <c r="Q9" s="37">
        <f>SUM(K9:P9)</f>
        <v>19</v>
      </c>
      <c r="R9" s="70">
        <f t="shared" si="0"/>
        <v>0.79166666666666663</v>
      </c>
      <c r="S9" s="37" t="str">
        <f>IF(H9="Rendida ",IF('Resultados Individuales'!R9&lt;49.5%,"Por Mejorar",IF('Resultados Individuales'!R9&lt;64.5%,"Base",IF('Resultados Individuales'!R9&lt;84.5%,"Satisfactorio","Óptimo"))),"No rendida o no válida")</f>
        <v>Satisfactorio</v>
      </c>
    </row>
    <row r="10" spans="1:19" ht="29.25">
      <c r="A10" s="29">
        <v>20848480</v>
      </c>
      <c r="B10" s="67" t="s">
        <v>91</v>
      </c>
      <c r="C10" s="67" t="s">
        <v>92</v>
      </c>
      <c r="D10" s="66" t="s">
        <v>93</v>
      </c>
      <c r="E10" s="66" t="s">
        <v>94</v>
      </c>
      <c r="F10" s="66" t="s">
        <v>95</v>
      </c>
      <c r="G10" s="33" t="s">
        <v>78</v>
      </c>
      <c r="H10" s="38" t="s">
        <v>79</v>
      </c>
      <c r="I10" s="80">
        <v>45761</v>
      </c>
      <c r="J10" s="38" t="s">
        <v>69</v>
      </c>
      <c r="K10" s="46">
        <v>4</v>
      </c>
      <c r="L10" s="2">
        <v>3</v>
      </c>
      <c r="M10" s="2">
        <v>4</v>
      </c>
      <c r="N10" s="2">
        <v>4</v>
      </c>
      <c r="O10" s="2">
        <v>3</v>
      </c>
      <c r="P10" s="2">
        <v>4</v>
      </c>
      <c r="Q10" s="37">
        <f>SUM(K10:P10)</f>
        <v>22</v>
      </c>
      <c r="R10" s="70">
        <f t="shared" si="0"/>
        <v>0.91666666666666663</v>
      </c>
      <c r="S10" s="37" t="str">
        <f>IF(H10="Rendida ",IF('Resultados Individuales'!R10&lt;49.5%,"Por Mejorar",IF('Resultados Individuales'!R10&lt;64.5%,"Base",IF('Resultados Individuales'!R10&lt;84.5%,"Satisfactorio","Óptimo"))),"No rendida o no válida")</f>
        <v>Óptimo</v>
      </c>
    </row>
    <row r="11" spans="1:19" ht="29.25">
      <c r="A11" s="29">
        <v>21007897</v>
      </c>
      <c r="B11" s="67">
        <v>5</v>
      </c>
      <c r="C11" s="67" t="s">
        <v>96</v>
      </c>
      <c r="D11" s="66" t="s">
        <v>97</v>
      </c>
      <c r="E11" s="66" t="s">
        <v>93</v>
      </c>
      <c r="F11" s="66" t="s">
        <v>98</v>
      </c>
      <c r="G11" s="33" t="s">
        <v>78</v>
      </c>
      <c r="H11" s="38" t="s">
        <v>79</v>
      </c>
      <c r="I11" s="80">
        <v>45749</v>
      </c>
      <c r="J11" s="38" t="s">
        <v>69</v>
      </c>
      <c r="K11" s="46">
        <v>3</v>
      </c>
      <c r="L11" s="2">
        <v>1</v>
      </c>
      <c r="M11" s="2">
        <v>1</v>
      </c>
      <c r="N11" s="2">
        <v>1</v>
      </c>
      <c r="O11" s="2">
        <v>1</v>
      </c>
      <c r="P11" s="2">
        <v>3</v>
      </c>
      <c r="Q11" s="37">
        <f>SUM(K11:P11)</f>
        <v>10</v>
      </c>
      <c r="R11" s="70">
        <f t="shared" si="0"/>
        <v>0.41666666666666669</v>
      </c>
      <c r="S11" s="37" t="str">
        <f>IF(H11="Rendida ",IF('Resultados Individuales'!R11&lt;49.5%,"Por Mejorar",IF('Resultados Individuales'!R11&lt;64.5%,"Base",IF('Resultados Individuales'!R11&lt;84.5%,"Satisfactorio","Óptimo"))),"No rendida o no válida")</f>
        <v>Por Mejorar</v>
      </c>
    </row>
    <row r="12" spans="1:19">
      <c r="A12" s="29">
        <v>21027080</v>
      </c>
      <c r="B12" s="67">
        <v>9</v>
      </c>
      <c r="C12" s="67" t="s">
        <v>99</v>
      </c>
      <c r="D12" s="66" t="s">
        <v>100</v>
      </c>
      <c r="E12" s="66" t="s">
        <v>101</v>
      </c>
      <c r="F12" s="66" t="s">
        <v>102</v>
      </c>
      <c r="G12" s="44" t="s">
        <v>68</v>
      </c>
      <c r="H12" s="45" t="s">
        <v>69</v>
      </c>
      <c r="I12" s="47"/>
      <c r="J12" s="38" t="s">
        <v>69</v>
      </c>
      <c r="K12" s="46"/>
      <c r="L12" s="2"/>
      <c r="M12" s="2"/>
      <c r="N12" s="2"/>
      <c r="O12" s="2"/>
      <c r="P12" s="2"/>
      <c r="Q12" s="37">
        <f>SUM(K12:P12)</f>
        <v>0</v>
      </c>
      <c r="R12" s="70">
        <f t="shared" si="0"/>
        <v>0</v>
      </c>
      <c r="S12" s="37" t="str">
        <f>IF(H12="Rendida ",IF('Resultados Individuales'!R12&lt;49.5%,"Por Mejorar",IF('Resultados Individuales'!R12&lt;64.5%,"Base",IF('Resultados Individuales'!R12&lt;84.5%,"Satisfactorio","Óptimo"))),"No rendida o no válida")</f>
        <v>No rendida o no válida</v>
      </c>
    </row>
    <row r="13" spans="1:19" ht="29.25">
      <c r="A13" s="29">
        <v>21035501</v>
      </c>
      <c r="B13" s="67">
        <v>4</v>
      </c>
      <c r="C13" s="67" t="s">
        <v>103</v>
      </c>
      <c r="D13" s="66" t="s">
        <v>104</v>
      </c>
      <c r="E13" s="66" t="s">
        <v>105</v>
      </c>
      <c r="F13" s="66" t="s">
        <v>106</v>
      </c>
      <c r="G13" s="44" t="s">
        <v>78</v>
      </c>
      <c r="H13" s="45" t="s">
        <v>79</v>
      </c>
      <c r="I13" s="80">
        <v>45749</v>
      </c>
      <c r="J13" s="38" t="s">
        <v>69</v>
      </c>
      <c r="K13" s="46">
        <v>3</v>
      </c>
      <c r="L13" s="2">
        <v>3</v>
      </c>
      <c r="M13" s="2">
        <v>4</v>
      </c>
      <c r="N13" s="2">
        <v>3</v>
      </c>
      <c r="O13" s="2">
        <v>4</v>
      </c>
      <c r="P13" s="2">
        <v>3</v>
      </c>
      <c r="Q13" s="37">
        <f>SUM(K13:P13)</f>
        <v>20</v>
      </c>
      <c r="R13" s="70">
        <f t="shared" si="0"/>
        <v>0.83333333333333337</v>
      </c>
      <c r="S13" s="37" t="str">
        <f>IF(H13="Rendida ",IF('Resultados Individuales'!R13&lt;49.5%,"Por Mejorar",IF('Resultados Individuales'!R13&lt;64.5%,"Base",IF('Resultados Individuales'!R13&lt;84.5%,"Satisfactorio","Óptimo"))),"No rendida o no válida")</f>
        <v>Satisfactorio</v>
      </c>
    </row>
    <row r="14" spans="1:19" ht="29.25">
      <c r="A14" s="29">
        <v>21082092</v>
      </c>
      <c r="B14" s="67">
        <v>2</v>
      </c>
      <c r="C14" s="67" t="s">
        <v>107</v>
      </c>
      <c r="D14" s="66" t="s">
        <v>108</v>
      </c>
      <c r="E14" s="66" t="s">
        <v>109</v>
      </c>
      <c r="F14" s="66" t="s">
        <v>110</v>
      </c>
      <c r="G14" s="44" t="s">
        <v>78</v>
      </c>
      <c r="H14" s="45" t="s">
        <v>79</v>
      </c>
      <c r="I14" s="80">
        <v>45749</v>
      </c>
      <c r="J14" s="38" t="s">
        <v>69</v>
      </c>
      <c r="K14" s="46">
        <v>4</v>
      </c>
      <c r="L14" s="2">
        <v>4</v>
      </c>
      <c r="M14" s="2">
        <v>4</v>
      </c>
      <c r="N14" s="2">
        <v>4</v>
      </c>
      <c r="O14" s="2">
        <v>3</v>
      </c>
      <c r="P14" s="2">
        <v>4</v>
      </c>
      <c r="Q14" s="37">
        <f>SUM(K14:P14)</f>
        <v>23</v>
      </c>
      <c r="R14" s="70">
        <f t="shared" si="0"/>
        <v>0.95833333333333337</v>
      </c>
      <c r="S14" s="37" t="str">
        <f>IF(H14="Rendida ",IF('Resultados Individuales'!R14&lt;49.5%,"Por Mejorar",IF('Resultados Individuales'!R14&lt;64.5%,"Base",IF('Resultados Individuales'!R14&lt;84.5%,"Satisfactorio","Óptimo"))),"No rendida o no válida")</f>
        <v>Óptimo</v>
      </c>
    </row>
    <row r="15" spans="1:19" ht="29.25">
      <c r="A15" s="29">
        <v>21155880</v>
      </c>
      <c r="B15" s="67">
        <v>6</v>
      </c>
      <c r="C15" s="67" t="s">
        <v>111</v>
      </c>
      <c r="D15" s="66" t="s">
        <v>112</v>
      </c>
      <c r="E15" s="66" t="s">
        <v>113</v>
      </c>
      <c r="F15" s="66" t="s">
        <v>114</v>
      </c>
      <c r="G15" s="44" t="s">
        <v>78</v>
      </c>
      <c r="H15" s="45" t="s">
        <v>79</v>
      </c>
      <c r="I15" s="80">
        <v>45749</v>
      </c>
      <c r="J15" s="38" t="s">
        <v>69</v>
      </c>
      <c r="K15" s="46">
        <v>4</v>
      </c>
      <c r="L15" s="2">
        <v>4</v>
      </c>
      <c r="M15" s="2">
        <v>4</v>
      </c>
      <c r="N15" s="2">
        <v>3</v>
      </c>
      <c r="O15" s="2">
        <v>3</v>
      </c>
      <c r="P15" s="2">
        <v>4</v>
      </c>
      <c r="Q15" s="37">
        <f>SUM(K15:P15)</f>
        <v>22</v>
      </c>
      <c r="R15" s="70">
        <f t="shared" si="0"/>
        <v>0.91666666666666663</v>
      </c>
      <c r="S15" s="37" t="str">
        <f>IF(H15="Rendida ",IF('Resultados Individuales'!R15&lt;49.5%,"Por Mejorar",IF('Resultados Individuales'!R15&lt;64.5%,"Base",IF('Resultados Individuales'!R15&lt;84.5%,"Satisfactorio","Óptimo"))),"No rendida o no válida")</f>
        <v>Óptimo</v>
      </c>
    </row>
    <row r="16" spans="1:19" ht="29.25">
      <c r="A16" s="29">
        <v>21157655</v>
      </c>
      <c r="B16" s="67">
        <v>3</v>
      </c>
      <c r="C16" s="67" t="s">
        <v>115</v>
      </c>
      <c r="D16" s="66" t="s">
        <v>116</v>
      </c>
      <c r="E16" s="66" t="s">
        <v>117</v>
      </c>
      <c r="F16" s="66" t="s">
        <v>118</v>
      </c>
      <c r="G16" s="44" t="s">
        <v>78</v>
      </c>
      <c r="H16" s="45" t="s">
        <v>79</v>
      </c>
      <c r="I16" s="80">
        <v>45749</v>
      </c>
      <c r="J16" s="38" t="s">
        <v>69</v>
      </c>
      <c r="K16" s="46">
        <v>2</v>
      </c>
      <c r="L16" s="2">
        <v>2</v>
      </c>
      <c r="M16" s="2">
        <v>4</v>
      </c>
      <c r="N16" s="2">
        <v>3</v>
      </c>
      <c r="O16" s="2">
        <v>4</v>
      </c>
      <c r="P16" s="2">
        <v>2</v>
      </c>
      <c r="Q16" s="37">
        <f>SUM(K16:P16)</f>
        <v>17</v>
      </c>
      <c r="R16" s="70">
        <f t="shared" si="0"/>
        <v>0.70833333333333337</v>
      </c>
      <c r="S16" s="37" t="str">
        <f>IF(H16="Rendida ",IF('Resultados Individuales'!R16&lt;49.5%,"Por Mejorar",IF('Resultados Individuales'!R16&lt;64.5%,"Base",IF('Resultados Individuales'!R16&lt;84.5%,"Satisfactorio","Óptimo"))),"No rendida o no válida")</f>
        <v>Satisfactorio</v>
      </c>
    </row>
    <row r="17" spans="1:19" ht="29.25">
      <c r="A17" s="29">
        <v>21174863</v>
      </c>
      <c r="B17" s="67" t="s">
        <v>91</v>
      </c>
      <c r="C17" s="67" t="s">
        <v>119</v>
      </c>
      <c r="D17" s="66" t="s">
        <v>120</v>
      </c>
      <c r="E17" s="66" t="s">
        <v>121</v>
      </c>
      <c r="F17" s="66" t="s">
        <v>122</v>
      </c>
      <c r="G17" s="44" t="s">
        <v>78</v>
      </c>
      <c r="H17" s="45" t="s">
        <v>79</v>
      </c>
      <c r="I17" s="80">
        <v>45749</v>
      </c>
      <c r="J17" s="38" t="s">
        <v>69</v>
      </c>
      <c r="K17" s="43">
        <v>4</v>
      </c>
      <c r="L17" s="1">
        <v>4</v>
      </c>
      <c r="M17" s="1">
        <v>4</v>
      </c>
      <c r="N17" s="1">
        <v>4</v>
      </c>
      <c r="O17" s="1">
        <v>3</v>
      </c>
      <c r="P17" s="1">
        <v>4</v>
      </c>
      <c r="Q17" s="37">
        <f>SUM(K17:P17)</f>
        <v>23</v>
      </c>
      <c r="R17" s="70">
        <f t="shared" si="0"/>
        <v>0.95833333333333337</v>
      </c>
      <c r="S17" s="37" t="str">
        <f>IF(H17="Rendida ",IF('Resultados Individuales'!R17&lt;49.5%,"Por Mejorar",IF('Resultados Individuales'!R17&lt;64.5%,"Base",IF('Resultados Individuales'!R17&lt;84.5%,"Satisfactorio","Óptimo"))),"No rendida o no válida")</f>
        <v>Óptimo</v>
      </c>
    </row>
    <row r="18" spans="1:19" ht="29.25">
      <c r="A18" s="29">
        <v>21328171</v>
      </c>
      <c r="B18" s="67">
        <v>2</v>
      </c>
      <c r="C18" s="67" t="s">
        <v>123</v>
      </c>
      <c r="D18" s="66" t="s">
        <v>124</v>
      </c>
      <c r="E18" s="66" t="s">
        <v>125</v>
      </c>
      <c r="F18" s="66" t="s">
        <v>126</v>
      </c>
      <c r="G18" s="44" t="s">
        <v>78</v>
      </c>
      <c r="H18" s="45" t="s">
        <v>79</v>
      </c>
      <c r="I18" s="80">
        <v>45749</v>
      </c>
      <c r="J18" s="38" t="s">
        <v>69</v>
      </c>
      <c r="K18" s="46">
        <v>2</v>
      </c>
      <c r="L18" s="2">
        <v>2</v>
      </c>
      <c r="M18" s="2">
        <v>1</v>
      </c>
      <c r="N18" s="2">
        <v>2</v>
      </c>
      <c r="O18" s="2">
        <v>1</v>
      </c>
      <c r="P18" s="2">
        <v>2</v>
      </c>
      <c r="Q18" s="37">
        <f>SUM(K18:P18)</f>
        <v>10</v>
      </c>
      <c r="R18" s="70">
        <f t="shared" si="0"/>
        <v>0.41666666666666669</v>
      </c>
      <c r="S18" s="37" t="str">
        <f>IF(H18="Rendida ",IF('Resultados Individuales'!R18&lt;49.5%,"Por Mejorar",IF('Resultados Individuales'!R18&lt;64.5%,"Base",IF('Resultados Individuales'!R18&lt;84.5%,"Satisfactorio","Óptimo"))),"No rendida o no válida")</f>
        <v>Por Mejorar</v>
      </c>
    </row>
    <row r="19" spans="1:19" ht="29.25">
      <c r="A19" s="29">
        <v>21333607</v>
      </c>
      <c r="B19" s="67" t="s">
        <v>91</v>
      </c>
      <c r="C19" s="67" t="s">
        <v>127</v>
      </c>
      <c r="D19" s="66" t="s">
        <v>128</v>
      </c>
      <c r="E19" s="66" t="s">
        <v>129</v>
      </c>
      <c r="F19" s="66" t="s">
        <v>130</v>
      </c>
      <c r="G19" s="44" t="s">
        <v>78</v>
      </c>
      <c r="H19" s="45" t="s">
        <v>79</v>
      </c>
      <c r="I19" s="80">
        <v>45749</v>
      </c>
      <c r="J19" s="38" t="s">
        <v>69</v>
      </c>
      <c r="K19" s="46">
        <v>4</v>
      </c>
      <c r="L19" s="2">
        <v>1</v>
      </c>
      <c r="M19" s="2">
        <v>2</v>
      </c>
      <c r="N19" s="2">
        <v>1</v>
      </c>
      <c r="O19" s="2">
        <v>2</v>
      </c>
      <c r="P19" s="2">
        <v>3</v>
      </c>
      <c r="Q19" s="37">
        <f>SUM(K19:P19)</f>
        <v>13</v>
      </c>
      <c r="R19" s="70">
        <f t="shared" si="0"/>
        <v>0.54166666666666663</v>
      </c>
      <c r="S19" s="37" t="str">
        <f>IF(H19="Rendida ",IF('Resultados Individuales'!R19&lt;49.5%,"Por Mejorar",IF('Resultados Individuales'!R19&lt;64.5%,"Base",IF('Resultados Individuales'!R19&lt;84.5%,"Satisfactorio","Óptimo"))),"No rendida o no válida")</f>
        <v>Base</v>
      </c>
    </row>
    <row r="20" spans="1:19" ht="29.25">
      <c r="A20" s="29">
        <v>21342424</v>
      </c>
      <c r="B20" s="67">
        <v>6</v>
      </c>
      <c r="C20" s="67" t="s">
        <v>131</v>
      </c>
      <c r="D20" s="66" t="s">
        <v>132</v>
      </c>
      <c r="E20" s="66" t="s">
        <v>93</v>
      </c>
      <c r="F20" s="66" t="s">
        <v>133</v>
      </c>
      <c r="G20" s="44" t="s">
        <v>78</v>
      </c>
      <c r="H20" s="45" t="s">
        <v>79</v>
      </c>
      <c r="I20" s="80">
        <v>45749</v>
      </c>
      <c r="J20" s="38" t="s">
        <v>69</v>
      </c>
      <c r="K20" s="46">
        <v>2</v>
      </c>
      <c r="L20" s="2">
        <v>2</v>
      </c>
      <c r="M20" s="2">
        <v>3</v>
      </c>
      <c r="N20" s="2">
        <v>3</v>
      </c>
      <c r="O20" s="2">
        <v>3</v>
      </c>
      <c r="P20" s="2">
        <v>3</v>
      </c>
      <c r="Q20" s="37">
        <f>SUM(K20:P20)</f>
        <v>16</v>
      </c>
      <c r="R20" s="70">
        <f t="shared" si="0"/>
        <v>0.66666666666666663</v>
      </c>
      <c r="S20" s="37" t="str">
        <f>IF(H20="Rendida ",IF('Resultados Individuales'!R20&lt;49.5%,"Por Mejorar",IF('Resultados Individuales'!R20&lt;64.5%,"Base",IF('Resultados Individuales'!R20&lt;84.5%,"Satisfactorio","Óptimo"))),"No rendida o no válida")</f>
        <v>Satisfactorio</v>
      </c>
    </row>
    <row r="21" spans="1:19" ht="29.25">
      <c r="A21" s="29">
        <v>21394208</v>
      </c>
      <c r="B21" s="67">
        <v>5</v>
      </c>
      <c r="C21" s="67" t="s">
        <v>134</v>
      </c>
      <c r="D21" s="66" t="s">
        <v>135</v>
      </c>
      <c r="E21" s="66" t="s">
        <v>136</v>
      </c>
      <c r="F21" s="66" t="s">
        <v>137</v>
      </c>
      <c r="G21" s="44" t="s">
        <v>78</v>
      </c>
      <c r="H21" s="45" t="s">
        <v>79</v>
      </c>
      <c r="I21" s="80">
        <v>45749</v>
      </c>
      <c r="J21" s="38" t="s">
        <v>69</v>
      </c>
      <c r="K21" s="46">
        <v>1</v>
      </c>
      <c r="L21" s="2">
        <v>1</v>
      </c>
      <c r="M21" s="2">
        <v>3</v>
      </c>
      <c r="N21" s="2">
        <v>2</v>
      </c>
      <c r="O21" s="2">
        <v>3</v>
      </c>
      <c r="P21" s="2">
        <v>2</v>
      </c>
      <c r="Q21" s="37">
        <f>SUM(K21:P21)</f>
        <v>12</v>
      </c>
      <c r="R21" s="70">
        <f t="shared" si="0"/>
        <v>0.5</v>
      </c>
      <c r="S21" s="37" t="str">
        <f>IF(H21="Rendida ",IF('Resultados Individuales'!R21&lt;49.5%,"Por Mejorar",IF('Resultados Individuales'!R21&lt;64.5%,"Base",IF('Resultados Individuales'!R21&lt;84.5%,"Satisfactorio","Óptimo"))),"No rendida o no válida")</f>
        <v>Base</v>
      </c>
    </row>
    <row r="22" spans="1:19" ht="29.25">
      <c r="A22" s="29">
        <v>21459816</v>
      </c>
      <c r="B22" s="67">
        <v>7</v>
      </c>
      <c r="C22" s="67" t="s">
        <v>138</v>
      </c>
      <c r="D22" s="66" t="s">
        <v>139</v>
      </c>
      <c r="E22" s="66" t="s">
        <v>140</v>
      </c>
      <c r="F22" s="66" t="s">
        <v>141</v>
      </c>
      <c r="G22" s="44" t="s">
        <v>78</v>
      </c>
      <c r="H22" s="45" t="s">
        <v>79</v>
      </c>
      <c r="I22" s="80">
        <v>45749</v>
      </c>
      <c r="J22" s="38" t="s">
        <v>69</v>
      </c>
      <c r="K22" s="46">
        <v>3</v>
      </c>
      <c r="L22" s="2">
        <v>2</v>
      </c>
      <c r="M22" s="2">
        <v>4</v>
      </c>
      <c r="N22" s="2">
        <v>3</v>
      </c>
      <c r="O22" s="2">
        <v>3</v>
      </c>
      <c r="P22" s="2">
        <v>2</v>
      </c>
      <c r="Q22" s="37">
        <f>SUM(K22:P22)</f>
        <v>17</v>
      </c>
      <c r="R22" s="70">
        <f t="shared" si="0"/>
        <v>0.70833333333333337</v>
      </c>
      <c r="S22" s="37" t="str">
        <f>IF(H22="Rendida ",IF('Resultados Individuales'!R22&lt;49.5%,"Por Mejorar",IF('Resultados Individuales'!R22&lt;64.5%,"Base",IF('Resultados Individuales'!R22&lt;84.5%,"Satisfactorio","Óptimo"))),"No rendida o no válida")</f>
        <v>Satisfactorio</v>
      </c>
    </row>
    <row r="23" spans="1:19" ht="29.25">
      <c r="A23" s="29">
        <v>21460161</v>
      </c>
      <c r="B23" s="67">
        <v>3</v>
      </c>
      <c r="C23" s="67" t="s">
        <v>142</v>
      </c>
      <c r="D23" s="66" t="s">
        <v>143</v>
      </c>
      <c r="E23" s="66" t="s">
        <v>144</v>
      </c>
      <c r="F23" s="66" t="s">
        <v>145</v>
      </c>
      <c r="G23" s="44" t="s">
        <v>78</v>
      </c>
      <c r="H23" s="45" t="s">
        <v>79</v>
      </c>
      <c r="I23" s="80">
        <v>45749</v>
      </c>
      <c r="J23" s="38" t="s">
        <v>69</v>
      </c>
      <c r="K23" s="46">
        <v>3</v>
      </c>
      <c r="L23" s="2">
        <v>3</v>
      </c>
      <c r="M23" s="2">
        <v>4</v>
      </c>
      <c r="N23" s="2">
        <v>4</v>
      </c>
      <c r="O23" s="2">
        <v>3</v>
      </c>
      <c r="P23" s="2">
        <v>2</v>
      </c>
      <c r="Q23" s="37">
        <f>SUM(K23:P23)</f>
        <v>19</v>
      </c>
      <c r="R23" s="70">
        <f t="shared" si="0"/>
        <v>0.79166666666666663</v>
      </c>
      <c r="S23" s="37" t="str">
        <f>IF(H23="Rendida ",IF('Resultados Individuales'!R23&lt;49.5%,"Por Mejorar",IF('Resultados Individuales'!R23&lt;64.5%,"Base",IF('Resultados Individuales'!R23&lt;84.5%,"Satisfactorio","Óptimo"))),"No rendida o no válida")</f>
        <v>Satisfactorio</v>
      </c>
    </row>
    <row r="24" spans="1:19" ht="29.25">
      <c r="A24" s="29">
        <v>21464640</v>
      </c>
      <c r="B24" s="67">
        <v>4</v>
      </c>
      <c r="C24" s="67" t="s">
        <v>146</v>
      </c>
      <c r="D24" s="66" t="s">
        <v>125</v>
      </c>
      <c r="E24" s="66" t="s">
        <v>147</v>
      </c>
      <c r="F24" s="66" t="s">
        <v>148</v>
      </c>
      <c r="G24" s="44" t="s">
        <v>78</v>
      </c>
      <c r="H24" s="45" t="s">
        <v>79</v>
      </c>
      <c r="I24" s="80">
        <v>45749</v>
      </c>
      <c r="J24" s="38" t="s">
        <v>69</v>
      </c>
      <c r="K24" s="46">
        <v>4</v>
      </c>
      <c r="L24" s="2">
        <v>4</v>
      </c>
      <c r="M24" s="2">
        <v>4</v>
      </c>
      <c r="N24" s="2">
        <v>4</v>
      </c>
      <c r="O24" s="2">
        <v>2</v>
      </c>
      <c r="P24" s="2">
        <v>2</v>
      </c>
      <c r="Q24" s="37">
        <f>SUM(K24:P24)</f>
        <v>20</v>
      </c>
      <c r="R24" s="70">
        <f t="shared" si="0"/>
        <v>0.83333333333333337</v>
      </c>
      <c r="S24" s="37" t="str">
        <f>IF(H24="Rendida ",IF('Resultados Individuales'!R24&lt;49.5%,"Por Mejorar",IF('Resultados Individuales'!R24&lt;64.5%,"Base",IF('Resultados Individuales'!R24&lt;84.5%,"Satisfactorio","Óptimo"))),"No rendida o no válida")</f>
        <v>Satisfactorio</v>
      </c>
    </row>
    <row r="25" spans="1:19" ht="29.25">
      <c r="A25" s="29">
        <v>21467583</v>
      </c>
      <c r="B25" s="67">
        <v>8</v>
      </c>
      <c r="C25" s="67" t="s">
        <v>149</v>
      </c>
      <c r="D25" s="66" t="s">
        <v>150</v>
      </c>
      <c r="E25" s="66" t="s">
        <v>143</v>
      </c>
      <c r="F25" s="66" t="s">
        <v>151</v>
      </c>
      <c r="G25" s="44" t="s">
        <v>78</v>
      </c>
      <c r="H25" s="45" t="s">
        <v>79</v>
      </c>
      <c r="I25" s="80">
        <v>45749</v>
      </c>
      <c r="J25" s="38" t="s">
        <v>69</v>
      </c>
      <c r="K25" s="43">
        <v>2</v>
      </c>
      <c r="L25" s="1">
        <v>2</v>
      </c>
      <c r="M25" s="1">
        <v>2</v>
      </c>
      <c r="N25" s="1">
        <v>2</v>
      </c>
      <c r="O25" s="1">
        <v>3</v>
      </c>
      <c r="P25" s="1">
        <v>2</v>
      </c>
      <c r="Q25" s="37">
        <f>SUM(K25:P25)</f>
        <v>13</v>
      </c>
      <c r="R25" s="70">
        <f t="shared" si="0"/>
        <v>0.54166666666666663</v>
      </c>
      <c r="S25" s="37" t="str">
        <f>IF(H25="Rendida ",IF('Resultados Individuales'!R25&lt;49.5%,"Por Mejorar",IF('Resultados Individuales'!R25&lt;64.5%,"Base",IF('Resultados Individuales'!R25&lt;84.5%,"Satisfactorio","Óptimo"))),"No rendida o no válida")</f>
        <v>Base</v>
      </c>
    </row>
    <row r="26" spans="1:19" ht="29.25">
      <c r="A26" s="29">
        <v>21473280</v>
      </c>
      <c r="B26" s="67">
        <v>7</v>
      </c>
      <c r="C26" s="67" t="s">
        <v>152</v>
      </c>
      <c r="D26" s="66" t="s">
        <v>153</v>
      </c>
      <c r="E26" s="66" t="s">
        <v>154</v>
      </c>
      <c r="F26" s="66" t="s">
        <v>155</v>
      </c>
      <c r="G26" s="44" t="s">
        <v>78</v>
      </c>
      <c r="H26" s="45" t="s">
        <v>79</v>
      </c>
      <c r="I26" s="80">
        <v>45749</v>
      </c>
      <c r="J26" s="38" t="s">
        <v>69</v>
      </c>
      <c r="K26" s="43">
        <v>2</v>
      </c>
      <c r="L26" s="1">
        <v>4</v>
      </c>
      <c r="M26" s="1">
        <v>4</v>
      </c>
      <c r="N26" s="1">
        <v>3</v>
      </c>
      <c r="O26" s="1">
        <v>4</v>
      </c>
      <c r="P26" s="1">
        <v>3</v>
      </c>
      <c r="Q26" s="37">
        <f>SUM(K26:P26)</f>
        <v>20</v>
      </c>
      <c r="R26" s="70">
        <f t="shared" si="0"/>
        <v>0.83333333333333337</v>
      </c>
      <c r="S26" s="37" t="str">
        <f>IF(H26="Rendida ",IF('Resultados Individuales'!R26&lt;49.5%,"Por Mejorar",IF('Resultados Individuales'!R26&lt;64.5%,"Base",IF('Resultados Individuales'!R26&lt;84.5%,"Satisfactorio","Óptimo"))),"No rendida o no válida")</f>
        <v>Satisfactorio</v>
      </c>
    </row>
    <row r="27" spans="1:19" ht="29.25">
      <c r="A27" s="29">
        <v>21510123</v>
      </c>
      <c r="B27" s="67">
        <v>1</v>
      </c>
      <c r="C27" s="67" t="s">
        <v>156</v>
      </c>
      <c r="D27" s="66" t="s">
        <v>157</v>
      </c>
      <c r="E27" s="66" t="s">
        <v>158</v>
      </c>
      <c r="F27" s="66" t="s">
        <v>159</v>
      </c>
      <c r="G27" s="44" t="s">
        <v>78</v>
      </c>
      <c r="H27" s="45" t="s">
        <v>79</v>
      </c>
      <c r="I27" s="80">
        <v>45761</v>
      </c>
      <c r="J27" s="38" t="s">
        <v>69</v>
      </c>
      <c r="K27" s="46">
        <v>4</v>
      </c>
      <c r="L27" s="2">
        <v>3</v>
      </c>
      <c r="M27" s="2">
        <v>4</v>
      </c>
      <c r="N27" s="2">
        <v>3</v>
      </c>
      <c r="O27" s="2">
        <v>3</v>
      </c>
      <c r="P27" s="2">
        <v>4</v>
      </c>
      <c r="Q27" s="37">
        <f>SUM(K27:P27)</f>
        <v>21</v>
      </c>
      <c r="R27" s="70">
        <f t="shared" si="0"/>
        <v>0.875</v>
      </c>
      <c r="S27" s="37" t="str">
        <f>IF(H27="Rendida ",IF('Resultados Individuales'!R27&lt;49.5%,"Por Mejorar",IF('Resultados Individuales'!R27&lt;64.5%,"Base",IF('Resultados Individuales'!R27&lt;84.5%,"Satisfactorio","Óptimo"))),"No rendida o no válida")</f>
        <v>Óptimo</v>
      </c>
    </row>
    <row r="28" spans="1:19">
      <c r="A28" s="29">
        <v>21513572</v>
      </c>
      <c r="B28" s="67">
        <v>1</v>
      </c>
      <c r="C28" s="67" t="s">
        <v>160</v>
      </c>
      <c r="D28" s="66" t="s">
        <v>161</v>
      </c>
      <c r="E28" s="66" t="s">
        <v>162</v>
      </c>
      <c r="F28" s="66" t="s">
        <v>163</v>
      </c>
      <c r="G28" s="44" t="s">
        <v>68</v>
      </c>
      <c r="H28" s="45" t="s">
        <v>69</v>
      </c>
      <c r="I28" s="47"/>
      <c r="J28" s="38" t="s">
        <v>69</v>
      </c>
      <c r="K28" s="46"/>
      <c r="L28" s="2"/>
      <c r="M28" s="2"/>
      <c r="N28" s="2"/>
      <c r="O28" s="2"/>
      <c r="P28" s="2"/>
      <c r="Q28" s="37">
        <f>SUM(K28:P28)</f>
        <v>0</v>
      </c>
      <c r="R28" s="70">
        <f t="shared" si="0"/>
        <v>0</v>
      </c>
      <c r="S28" s="37" t="str">
        <f>IF(H28="Rendida ",IF('Resultados Individuales'!R28&lt;49.5%,"Por Mejorar",IF('Resultados Individuales'!R28&lt;64.5%,"Base",IF('Resultados Individuales'!R28&lt;84.5%,"Satisfactorio","Óptimo"))),"No rendida o no válida")</f>
        <v>No rendida o no válida</v>
      </c>
    </row>
    <row r="29" spans="1:19" ht="29.25">
      <c r="A29" s="29">
        <v>21624240</v>
      </c>
      <c r="B29" s="67">
        <v>8</v>
      </c>
      <c r="C29" s="67" t="s">
        <v>164</v>
      </c>
      <c r="D29" s="66" t="s">
        <v>165</v>
      </c>
      <c r="E29" s="66" t="s">
        <v>166</v>
      </c>
      <c r="F29" s="66" t="s">
        <v>167</v>
      </c>
      <c r="G29" s="44" t="s">
        <v>168</v>
      </c>
      <c r="H29" s="45" t="s">
        <v>69</v>
      </c>
      <c r="I29" s="47"/>
      <c r="J29" s="38" t="s">
        <v>69</v>
      </c>
      <c r="K29" s="46"/>
      <c r="L29" s="2"/>
      <c r="M29" s="2"/>
      <c r="N29" s="2"/>
      <c r="O29" s="2"/>
      <c r="P29" s="2"/>
      <c r="Q29" s="37">
        <f>SUM(K29:P29)</f>
        <v>0</v>
      </c>
      <c r="R29" s="70">
        <f t="shared" si="0"/>
        <v>0</v>
      </c>
      <c r="S29" s="37" t="str">
        <f>IF(H29="Rendida ",IF('Resultados Individuales'!R29&lt;49.5%,"Por Mejorar",IF('Resultados Individuales'!R29&lt;64.5%,"Base",IF('Resultados Individuales'!R29&lt;84.5%,"Satisfactorio","Óptimo"))),"No rendida o no válida")</f>
        <v>No rendida o no válida</v>
      </c>
    </row>
    <row r="30" spans="1:19" ht="29.25">
      <c r="A30" s="29">
        <v>21636389</v>
      </c>
      <c r="B30" s="67">
        <v>2</v>
      </c>
      <c r="C30" s="67" t="s">
        <v>169</v>
      </c>
      <c r="D30" s="66" t="s">
        <v>170</v>
      </c>
      <c r="E30" s="66" t="s">
        <v>171</v>
      </c>
      <c r="F30" s="66" t="s">
        <v>172</v>
      </c>
      <c r="G30" s="44" t="s">
        <v>168</v>
      </c>
      <c r="H30" s="45" t="s">
        <v>69</v>
      </c>
      <c r="I30" s="47"/>
      <c r="J30" s="38" t="s">
        <v>69</v>
      </c>
      <c r="K30" s="46"/>
      <c r="L30" s="2"/>
      <c r="M30" s="2"/>
      <c r="N30" s="2"/>
      <c r="O30" s="2"/>
      <c r="P30" s="2"/>
      <c r="Q30" s="37"/>
      <c r="R30" s="70">
        <f t="shared" si="0"/>
        <v>0</v>
      </c>
      <c r="S30" s="37" t="str">
        <f>IF(H30="Rendida ",IF('Resultados Individuales'!R30&lt;49.5%,"Por Mejorar",IF('Resultados Individuales'!R30&lt;64.5%,"Base",IF('Resultados Individuales'!R30&lt;84.5%,"Satisfactorio","Óptimo"))),"No rendida o no válida")</f>
        <v>No rendida o no válida</v>
      </c>
    </row>
    <row r="31" spans="1:19" ht="29.25">
      <c r="A31" s="29">
        <v>21636468</v>
      </c>
      <c r="B31" s="67">
        <v>6</v>
      </c>
      <c r="C31" s="67" t="s">
        <v>173</v>
      </c>
      <c r="D31" s="66" t="s">
        <v>174</v>
      </c>
      <c r="E31" s="66" t="s">
        <v>175</v>
      </c>
      <c r="F31" s="66" t="s">
        <v>176</v>
      </c>
      <c r="G31" s="44" t="s">
        <v>168</v>
      </c>
      <c r="H31" s="45" t="s">
        <v>69</v>
      </c>
      <c r="I31" s="47"/>
      <c r="J31" s="38" t="s">
        <v>69</v>
      </c>
      <c r="K31" s="46"/>
      <c r="L31" s="2"/>
      <c r="M31" s="2"/>
      <c r="N31" s="2"/>
      <c r="O31" s="2"/>
      <c r="P31" s="2"/>
      <c r="Q31" s="37">
        <f>SUM(K31:P31)</f>
        <v>0</v>
      </c>
      <c r="R31" s="70">
        <f t="shared" si="0"/>
        <v>0</v>
      </c>
      <c r="S31" s="37" t="str">
        <f>IF(H31="Rendida ",IF('Resultados Individuales'!R31&lt;49.5%,"Por Mejorar",IF('Resultados Individuales'!R31&lt;64.5%,"Base",IF('Resultados Individuales'!R31&lt;84.5%,"Satisfactorio","Óptimo"))),"No rendida o no válida")</f>
        <v>No rendida o no válida</v>
      </c>
    </row>
    <row r="32" spans="1:19" ht="29.25">
      <c r="A32" s="29">
        <v>21710759</v>
      </c>
      <c r="B32" s="67">
        <v>8</v>
      </c>
      <c r="C32" s="67" t="s">
        <v>177</v>
      </c>
      <c r="D32" s="66" t="s">
        <v>93</v>
      </c>
      <c r="E32" s="66" t="s">
        <v>165</v>
      </c>
      <c r="F32" s="66" t="s">
        <v>178</v>
      </c>
      <c r="G32" s="44" t="s">
        <v>78</v>
      </c>
      <c r="H32" s="45" t="s">
        <v>79</v>
      </c>
      <c r="I32" s="80">
        <v>45749</v>
      </c>
      <c r="J32" s="38" t="s">
        <v>69</v>
      </c>
      <c r="K32" s="46">
        <v>4</v>
      </c>
      <c r="L32" s="2">
        <v>4</v>
      </c>
      <c r="M32" s="2">
        <v>4</v>
      </c>
      <c r="N32" s="2">
        <v>4</v>
      </c>
      <c r="O32" s="2">
        <v>3</v>
      </c>
      <c r="P32" s="2">
        <v>4</v>
      </c>
      <c r="Q32" s="37">
        <f>SUM(K32:P32)</f>
        <v>23</v>
      </c>
      <c r="R32" s="70">
        <f t="shared" si="0"/>
        <v>0.95833333333333337</v>
      </c>
      <c r="S32" s="37" t="str">
        <f>IF(H32="Rendida ",IF('Resultados Individuales'!R32&lt;49.5%,"Por Mejorar",IF('Resultados Individuales'!R32&lt;64.5%,"Base",IF('Resultados Individuales'!R32&lt;84.5%,"Satisfactorio","Óptimo"))),"No rendida o no válida")</f>
        <v>Óptimo</v>
      </c>
    </row>
    <row r="33" spans="1:19" ht="29.25">
      <c r="A33" s="29">
        <v>21730722</v>
      </c>
      <c r="B33" s="67">
        <v>8</v>
      </c>
      <c r="C33" s="67" t="s">
        <v>179</v>
      </c>
      <c r="D33" s="66" t="s">
        <v>180</v>
      </c>
      <c r="E33" s="66" t="s">
        <v>181</v>
      </c>
      <c r="F33" s="66" t="s">
        <v>182</v>
      </c>
      <c r="G33" s="44" t="s">
        <v>78</v>
      </c>
      <c r="H33" s="45" t="s">
        <v>79</v>
      </c>
      <c r="I33" s="80">
        <v>45749</v>
      </c>
      <c r="J33" s="38" t="s">
        <v>69</v>
      </c>
      <c r="K33" s="46">
        <v>2</v>
      </c>
      <c r="L33" s="2">
        <v>2</v>
      </c>
      <c r="M33" s="2">
        <v>3</v>
      </c>
      <c r="N33" s="2">
        <v>2</v>
      </c>
      <c r="O33" s="2">
        <v>2</v>
      </c>
      <c r="P33" s="2">
        <v>3</v>
      </c>
      <c r="Q33" s="37">
        <f>SUM(K33:P33)</f>
        <v>14</v>
      </c>
      <c r="R33" s="70">
        <f t="shared" si="0"/>
        <v>0.58333333333333337</v>
      </c>
      <c r="S33" s="37" t="str">
        <f>IF(H33="Rendida ",IF('Resultados Individuales'!R33&lt;49.5%,"Por Mejorar",IF('Resultados Individuales'!R33&lt;64.5%,"Base",IF('Resultados Individuales'!R33&lt;84.5%,"Satisfactorio","Óptimo"))),"No rendida o no válida")</f>
        <v>Base</v>
      </c>
    </row>
    <row r="34" spans="1:19" ht="29.25">
      <c r="A34" s="29">
        <v>21797965</v>
      </c>
      <c r="B34" s="67" t="s">
        <v>91</v>
      </c>
      <c r="C34" s="67" t="s">
        <v>183</v>
      </c>
      <c r="D34" s="66" t="s">
        <v>184</v>
      </c>
      <c r="E34" s="66" t="s">
        <v>185</v>
      </c>
      <c r="F34" s="66" t="s">
        <v>186</v>
      </c>
      <c r="G34" s="44" t="s">
        <v>78</v>
      </c>
      <c r="H34" s="45" t="s">
        <v>79</v>
      </c>
      <c r="I34" s="80">
        <v>45749</v>
      </c>
      <c r="J34" s="38" t="s">
        <v>69</v>
      </c>
      <c r="K34" s="46">
        <v>4</v>
      </c>
      <c r="L34" s="2">
        <v>3</v>
      </c>
      <c r="M34" s="2">
        <v>4</v>
      </c>
      <c r="N34" s="2">
        <v>4</v>
      </c>
      <c r="O34" s="2">
        <v>4</v>
      </c>
      <c r="P34" s="2">
        <v>3</v>
      </c>
      <c r="Q34" s="37">
        <f>SUM(K34:P34)</f>
        <v>22</v>
      </c>
      <c r="R34" s="70">
        <f t="shared" si="0"/>
        <v>0.91666666666666663</v>
      </c>
      <c r="S34" s="37" t="str">
        <f>IF(H34="Rendida ",IF('Resultados Individuales'!R34&lt;49.5%,"Por Mejorar",IF('Resultados Individuales'!R34&lt;64.5%,"Base",IF('Resultados Individuales'!R34&lt;84.5%,"Satisfactorio","Óptimo"))),"No rendida o no válida")</f>
        <v>Óptimo</v>
      </c>
    </row>
    <row r="35" spans="1:19" ht="29.25">
      <c r="A35" s="29">
        <v>20818740</v>
      </c>
      <c r="B35" s="67">
        <v>6</v>
      </c>
      <c r="C35" s="67" t="s">
        <v>187</v>
      </c>
      <c r="D35" s="66" t="s">
        <v>188</v>
      </c>
      <c r="E35" s="66" t="s">
        <v>189</v>
      </c>
      <c r="F35" s="66" t="s">
        <v>110</v>
      </c>
      <c r="G35" s="44" t="s">
        <v>78</v>
      </c>
      <c r="H35" s="45" t="s">
        <v>79</v>
      </c>
      <c r="I35" s="80">
        <v>45749</v>
      </c>
      <c r="J35" s="45" t="s">
        <v>69</v>
      </c>
      <c r="K35" s="46">
        <v>2</v>
      </c>
      <c r="L35" s="2">
        <v>2</v>
      </c>
      <c r="M35" s="2">
        <v>2</v>
      </c>
      <c r="N35" s="2">
        <v>3</v>
      </c>
      <c r="O35" s="2">
        <v>2</v>
      </c>
      <c r="P35" s="2">
        <v>2</v>
      </c>
      <c r="Q35" s="37">
        <f>SUM(K35:P35)</f>
        <v>13</v>
      </c>
      <c r="R35" s="70">
        <f t="shared" si="0"/>
        <v>0.54166666666666663</v>
      </c>
      <c r="S35" s="37" t="str">
        <f>IF(H35="Rendida ",IF('Resultados Individuales'!R35&lt;49.5%,"Por Mejorar",IF('Resultados Individuales'!R35&lt;64.5%,"Base",IF('Resultados Individuales'!R35&lt;84.5%,"Satisfactorio","Óptimo"))),"No rendida o no válida")</f>
        <v>Base</v>
      </c>
    </row>
    <row r="36" spans="1:19">
      <c r="A36" s="29"/>
      <c r="B36" s="67"/>
      <c r="C36" s="67"/>
      <c r="D36" s="66"/>
      <c r="E36" s="66"/>
      <c r="F36" s="66"/>
      <c r="G36" s="44"/>
      <c r="H36" s="45"/>
      <c r="I36" s="47"/>
      <c r="J36" s="45"/>
      <c r="K36" s="52"/>
      <c r="L36" s="50"/>
      <c r="M36" s="50"/>
      <c r="N36" s="50"/>
      <c r="O36" s="50"/>
      <c r="P36" s="50"/>
      <c r="Q36" s="37">
        <f>SUM(K36:P36)</f>
        <v>0</v>
      </c>
      <c r="R36" s="70">
        <f t="shared" si="0"/>
        <v>0</v>
      </c>
      <c r="S36" s="37" t="str">
        <f>IF(H36="Rendida ",IF('Resultados Individuales'!R36&lt;49.5%,"Por Mejorar",IF('Resultados Individuales'!R36&lt;64.5%,"Base",IF('Resultados Individuales'!R36&lt;84.5%,"Satisfactorio","Óptimo"))),"No rendida o no válida")</f>
        <v>No rendida o no válida</v>
      </c>
    </row>
    <row r="37" spans="1:19">
      <c r="A37" s="29"/>
      <c r="B37" s="67"/>
      <c r="C37" s="67"/>
      <c r="D37" s="66"/>
      <c r="E37" s="66"/>
      <c r="F37" s="66"/>
      <c r="G37" s="44"/>
      <c r="H37" s="45"/>
      <c r="I37" s="47"/>
      <c r="J37" s="45"/>
      <c r="K37" s="34"/>
      <c r="L37" s="2"/>
      <c r="M37" s="2"/>
      <c r="N37" s="2"/>
      <c r="O37" s="2"/>
      <c r="P37" s="2"/>
      <c r="Q37" s="37">
        <f>SUM(K37:P37)</f>
        <v>0</v>
      </c>
      <c r="R37" s="70">
        <f t="shared" si="0"/>
        <v>0</v>
      </c>
      <c r="S37" s="37" t="str">
        <f>IF(H37="Rendida ",IF('Resultados Individuales'!R37&lt;49.5%,"Por Mejorar",IF('Resultados Individuales'!R37&lt;64.5%,"Base",IF('Resultados Individuales'!R37&lt;84.5%,"Satisfactorio","Óptimo"))),"No rendida o no válida")</f>
        <v>No rendida o no válida</v>
      </c>
    </row>
    <row r="38" spans="1:19">
      <c r="A38" s="29"/>
      <c r="B38" s="67"/>
      <c r="C38" s="67"/>
      <c r="D38" s="66"/>
      <c r="E38" s="66"/>
      <c r="F38" s="66"/>
      <c r="G38" s="44"/>
      <c r="H38" s="45"/>
      <c r="I38" s="47"/>
      <c r="J38" s="45"/>
      <c r="K38" s="34"/>
      <c r="L38" s="2"/>
      <c r="M38" s="2"/>
      <c r="N38" s="2"/>
      <c r="O38" s="2"/>
      <c r="P38" s="2"/>
      <c r="Q38" s="37">
        <f>SUM(K38:P38)</f>
        <v>0</v>
      </c>
      <c r="R38" s="70">
        <f t="shared" si="0"/>
        <v>0</v>
      </c>
      <c r="S38" s="37" t="str">
        <f>IF(H38="Rendida ",IF('Resultados Individuales'!R38&lt;49.5%,"Por Mejorar",IF('Resultados Individuales'!R38&lt;64.5%,"Base",IF('Resultados Individuales'!R38&lt;84.5%,"Satisfactorio","Óptimo"))),"No rendida o no válida")</f>
        <v>No rendida o no válida</v>
      </c>
    </row>
    <row r="39" spans="1:19">
      <c r="A39" s="29"/>
      <c r="B39" s="67"/>
      <c r="C39" s="67"/>
      <c r="D39" s="66"/>
      <c r="E39" s="66"/>
      <c r="F39" s="66"/>
      <c r="G39" s="44"/>
      <c r="H39" s="45"/>
      <c r="I39" s="47"/>
      <c r="J39" s="45"/>
      <c r="K39" s="46"/>
      <c r="L39" s="2"/>
      <c r="M39" s="2"/>
      <c r="N39" s="2"/>
      <c r="O39" s="2"/>
      <c r="P39" s="2"/>
      <c r="Q39" s="37">
        <f>SUM(K39:P39)</f>
        <v>0</v>
      </c>
      <c r="R39" s="70">
        <f t="shared" si="0"/>
        <v>0</v>
      </c>
      <c r="S39" s="37" t="str">
        <f>IF(H39="Rendida ",IF('Resultados Individuales'!R39&lt;49.5%,"Por Mejorar",IF('Resultados Individuales'!R39&lt;64.5%,"Base",IF('Resultados Individuales'!R39&lt;84.5%,"Satisfactorio","Óptimo"))),"No rendida o no válida")</f>
        <v>No rendida o no válida</v>
      </c>
    </row>
    <row r="40" spans="1:19">
      <c r="A40" s="29"/>
      <c r="B40" s="67"/>
      <c r="C40" s="67"/>
      <c r="D40" s="66"/>
      <c r="E40" s="66"/>
      <c r="F40" s="66"/>
      <c r="G40" s="41"/>
      <c r="H40" s="29"/>
      <c r="I40" s="42"/>
      <c r="J40" s="29"/>
      <c r="K40" s="46"/>
      <c r="L40" s="2"/>
      <c r="M40" s="2"/>
      <c r="N40" s="2"/>
      <c r="O40" s="2"/>
      <c r="P40" s="2"/>
      <c r="Q40" s="37">
        <f>SUM(K40:P40)</f>
        <v>0</v>
      </c>
      <c r="R40" s="70">
        <f t="shared" si="0"/>
        <v>0</v>
      </c>
      <c r="S40" s="37" t="str">
        <f>IF(H40="Rendida ",IF('Resultados Individuales'!R40&lt;49.5%,"Por Mejorar",IF('Resultados Individuales'!R40&lt;64.5%,"Base",IF('Resultados Individuales'!R40&lt;84.5%,"Satisfactorio","Óptimo"))),"No rendida o no válida")</f>
        <v>No rendida o no válida</v>
      </c>
    </row>
    <row r="41" spans="1:19">
      <c r="A41" s="29"/>
      <c r="B41" s="67"/>
      <c r="C41" s="67"/>
      <c r="D41" s="66"/>
      <c r="E41" s="66"/>
      <c r="F41" s="66"/>
      <c r="G41" s="44"/>
      <c r="H41" s="45"/>
      <c r="I41" s="47"/>
      <c r="J41" s="45"/>
      <c r="K41" s="46"/>
      <c r="L41" s="2"/>
      <c r="M41" s="2"/>
      <c r="N41" s="2"/>
      <c r="O41" s="2"/>
      <c r="P41" s="2"/>
      <c r="Q41" s="37">
        <f>SUM(K41:P41)</f>
        <v>0</v>
      </c>
      <c r="R41" s="70">
        <f t="shared" si="0"/>
        <v>0</v>
      </c>
      <c r="S41" s="37" t="str">
        <f>IF(H41="Rendida ",IF('Resultados Individuales'!R41&lt;49.5%,"Por Mejorar",IF('Resultados Individuales'!R41&lt;64.5%,"Base",IF('Resultados Individuales'!R41&lt;84.5%,"Satisfactorio","Óptimo"))),"No rendida o no válida")</f>
        <v>No rendida o no válida</v>
      </c>
    </row>
    <row r="42" spans="1:19">
      <c r="A42" s="29"/>
      <c r="B42" s="67"/>
      <c r="C42" s="67"/>
      <c r="D42" s="66"/>
      <c r="E42" s="66"/>
      <c r="F42" s="66"/>
      <c r="G42" s="44"/>
      <c r="H42" s="45"/>
      <c r="I42" s="47"/>
      <c r="J42" s="45"/>
      <c r="K42" s="46"/>
      <c r="L42" s="2"/>
      <c r="M42" s="2"/>
      <c r="N42" s="2"/>
      <c r="O42" s="2"/>
      <c r="P42" s="2"/>
      <c r="Q42" s="37">
        <f>SUM(K42:P42)</f>
        <v>0</v>
      </c>
      <c r="R42" s="70">
        <f t="shared" si="0"/>
        <v>0</v>
      </c>
      <c r="S42" s="37" t="str">
        <f>IF(H42="Rendida ",IF('Resultados Individuales'!R42&lt;49.5%,"Por Mejorar",IF('Resultados Individuales'!R42&lt;64.5%,"Base",IF('Resultados Individuales'!R42&lt;84.5%,"Satisfactorio","Óptimo"))),"No rendida o no válida")</f>
        <v>No rendida o no válida</v>
      </c>
    </row>
    <row r="43" spans="1:19">
      <c r="A43" s="29"/>
      <c r="B43" s="67"/>
      <c r="C43" s="67"/>
      <c r="D43" s="66"/>
      <c r="E43" s="66"/>
      <c r="F43" s="66"/>
      <c r="G43" s="44"/>
      <c r="H43" s="45"/>
      <c r="I43" s="47"/>
      <c r="J43" s="45"/>
      <c r="K43" s="46"/>
      <c r="L43" s="2"/>
      <c r="M43" s="2"/>
      <c r="N43" s="2"/>
      <c r="O43" s="2"/>
      <c r="P43" s="2"/>
      <c r="Q43" s="37">
        <f>SUM(K43:P43)</f>
        <v>0</v>
      </c>
      <c r="R43" s="70">
        <f t="shared" si="0"/>
        <v>0</v>
      </c>
      <c r="S43" s="37" t="str">
        <f>IF(H43="Rendida ",IF('Resultados Individuales'!R43&lt;49.5%,"Por Mejorar",IF('Resultados Individuales'!R43&lt;64.5%,"Base",IF('Resultados Individuales'!R43&lt;84.5%,"Satisfactorio","Óptimo"))),"No rendida o no válida")</f>
        <v>No rendida o no válida</v>
      </c>
    </row>
    <row r="44" spans="1:19">
      <c r="A44" s="29"/>
      <c r="B44" s="67"/>
      <c r="C44" s="67"/>
      <c r="D44" s="66"/>
      <c r="E44" s="66"/>
      <c r="F44" s="66"/>
      <c r="G44" s="44"/>
      <c r="H44" s="45"/>
      <c r="I44" s="47"/>
      <c r="J44" s="45"/>
      <c r="K44" s="46"/>
      <c r="L44" s="2"/>
      <c r="M44" s="2"/>
      <c r="N44" s="2"/>
      <c r="O44" s="2"/>
      <c r="P44" s="2"/>
      <c r="Q44" s="37">
        <f>SUM(K44:P44)</f>
        <v>0</v>
      </c>
      <c r="R44" s="70">
        <f t="shared" si="0"/>
        <v>0</v>
      </c>
      <c r="S44" s="37" t="str">
        <f>IF(H44="Rendida ",IF('Resultados Individuales'!R44&lt;49.5%,"Por Mejorar",IF('Resultados Individuales'!R44&lt;64.5%,"Base",IF('Resultados Individuales'!R44&lt;84.5%,"Satisfactorio","Óptimo"))),"No rendida o no válida")</f>
        <v>No rendida o no válida</v>
      </c>
    </row>
    <row r="45" spans="1:19">
      <c r="A45" s="29"/>
      <c r="B45" s="67"/>
      <c r="C45" s="67"/>
      <c r="D45" s="66"/>
      <c r="E45" s="66"/>
      <c r="F45" s="66"/>
      <c r="G45" s="44"/>
      <c r="H45" s="45"/>
      <c r="I45" s="47"/>
      <c r="J45" s="45"/>
      <c r="K45" s="46"/>
      <c r="L45" s="2"/>
      <c r="M45" s="2"/>
      <c r="N45" s="2"/>
      <c r="O45" s="2"/>
      <c r="P45" s="2"/>
      <c r="Q45" s="37">
        <f>SUM(K45:P45)</f>
        <v>0</v>
      </c>
      <c r="R45" s="70">
        <f t="shared" si="0"/>
        <v>0</v>
      </c>
      <c r="S45" s="37" t="str">
        <f>IF(H45="Rendida ",IF('Resultados Individuales'!R45&lt;49.5%,"Por Mejorar",IF('Resultados Individuales'!R45&lt;64.5%,"Base",IF('Resultados Individuales'!R45&lt;84.5%,"Satisfactorio","Óptimo"))),"No rendida o no válida")</f>
        <v>No rendida o no válida</v>
      </c>
    </row>
    <row r="46" spans="1:19">
      <c r="A46" s="29"/>
      <c r="B46" s="67"/>
      <c r="C46" s="67"/>
      <c r="D46" s="66"/>
      <c r="E46" s="66"/>
      <c r="F46" s="66"/>
      <c r="G46" s="44"/>
      <c r="H46" s="45"/>
      <c r="I46" s="47"/>
      <c r="J46" s="45"/>
      <c r="K46" s="46"/>
      <c r="L46" s="2"/>
      <c r="M46" s="2"/>
      <c r="N46" s="2"/>
      <c r="O46" s="2"/>
      <c r="P46" s="2"/>
      <c r="Q46" s="37">
        <f>SUM(K46:P46)</f>
        <v>0</v>
      </c>
      <c r="R46" s="70">
        <f t="shared" si="0"/>
        <v>0</v>
      </c>
      <c r="S46" s="37" t="str">
        <f>IF(H46="Rendida ",IF('Resultados Individuales'!R46&lt;49.5%,"Por Mejorar",IF('Resultados Individuales'!R46&lt;64.5%,"Base",IF('Resultados Individuales'!R46&lt;84.5%,"Satisfactorio","Óptimo"))),"No rendida o no válida")</f>
        <v>No rendida o no válida</v>
      </c>
    </row>
    <row r="47" spans="1:19">
      <c r="A47" s="29"/>
      <c r="B47" s="67"/>
      <c r="C47" s="67"/>
      <c r="D47" s="66"/>
      <c r="E47" s="66"/>
      <c r="F47" s="66"/>
      <c r="G47" s="44"/>
      <c r="H47" s="45"/>
      <c r="I47" s="47"/>
      <c r="J47" s="45"/>
      <c r="K47" s="46"/>
      <c r="L47" s="2"/>
      <c r="M47" s="2"/>
      <c r="N47" s="2"/>
      <c r="O47" s="2"/>
      <c r="P47" s="2"/>
      <c r="Q47" s="37">
        <f>SUM(K47:P47)</f>
        <v>0</v>
      </c>
      <c r="R47" s="70">
        <f t="shared" si="0"/>
        <v>0</v>
      </c>
      <c r="S47" s="37" t="str">
        <f>IF(H47="Rendida ",IF('Resultados Individuales'!R47&lt;49.5%,"Por Mejorar",IF('Resultados Individuales'!R47&lt;64.5%,"Base",IF('Resultados Individuales'!R47&lt;84.5%,"Satisfactorio","Óptimo"))),"No rendida o no válida")</f>
        <v>No rendida o no válida</v>
      </c>
    </row>
    <row r="48" spans="1:19">
      <c r="A48" s="29"/>
      <c r="B48" s="67"/>
      <c r="C48" s="67"/>
      <c r="D48" s="66"/>
      <c r="E48" s="66"/>
      <c r="F48" s="66"/>
      <c r="G48" s="41"/>
      <c r="H48" s="29"/>
      <c r="I48" s="42"/>
      <c r="J48" s="29"/>
      <c r="K48" s="46"/>
      <c r="L48" s="2"/>
      <c r="M48" s="2"/>
      <c r="N48" s="2"/>
      <c r="O48" s="2"/>
      <c r="P48" s="2"/>
      <c r="Q48" s="37">
        <f>SUM(K48:P48)</f>
        <v>0</v>
      </c>
      <c r="R48" s="70">
        <f t="shared" si="0"/>
        <v>0</v>
      </c>
      <c r="S48" s="37" t="str">
        <f>IF(H48="Rendida ",IF('Resultados Individuales'!R48&lt;49.5%,"Por Mejorar",IF('Resultados Individuales'!R48&lt;64.5%,"Base",IF('Resultados Individuales'!R48&lt;84.5%,"Satisfactorio","Óptimo"))),"No rendida o no válida")</f>
        <v>No rendida o no válida</v>
      </c>
    </row>
    <row r="49" spans="1:19">
      <c r="A49" s="29"/>
      <c r="B49" s="67"/>
      <c r="C49" s="67"/>
      <c r="D49" s="66"/>
      <c r="E49" s="66"/>
      <c r="F49" s="66"/>
      <c r="G49" s="44"/>
      <c r="H49" s="45"/>
      <c r="I49" s="47"/>
      <c r="J49" s="45"/>
      <c r="K49" s="43"/>
      <c r="L49" s="1"/>
      <c r="M49" s="1"/>
      <c r="N49" s="1"/>
      <c r="O49" s="1"/>
      <c r="P49" s="1"/>
      <c r="Q49" s="37">
        <f>SUM(K49:P49)</f>
        <v>0</v>
      </c>
      <c r="R49" s="70">
        <f t="shared" si="0"/>
        <v>0</v>
      </c>
      <c r="S49" s="37" t="str">
        <f>IF(H49="Rendida ",IF('Resultados Individuales'!R49&lt;49.5%,"Por Mejorar",IF('Resultados Individuales'!R49&lt;64.5%,"Base",IF('Resultados Individuales'!R49&lt;84.5%,"Satisfactorio","Óptimo"))),"No rendida o no válida")</f>
        <v>No rendida o no válida</v>
      </c>
    </row>
    <row r="50" spans="1:19">
      <c r="A50" s="29"/>
      <c r="B50" s="67"/>
      <c r="C50" s="67"/>
      <c r="D50" s="66"/>
      <c r="E50" s="66"/>
      <c r="F50" s="66"/>
      <c r="G50" s="44"/>
      <c r="H50" s="45"/>
      <c r="I50" s="47"/>
      <c r="J50" s="45"/>
      <c r="K50" s="46"/>
      <c r="L50" s="2"/>
      <c r="M50" s="2"/>
      <c r="N50" s="2"/>
      <c r="O50" s="2"/>
      <c r="P50" s="2"/>
      <c r="Q50" s="37">
        <f>SUM(K50:P50)</f>
        <v>0</v>
      </c>
      <c r="R50" s="70">
        <f t="shared" si="0"/>
        <v>0</v>
      </c>
      <c r="S50" s="37" t="str">
        <f>IF(H50="Rendida ",IF('Resultados Individuales'!R50&lt;49.5%,"Por Mejorar",IF('Resultados Individuales'!R50&lt;64.5%,"Base",IF('Resultados Individuales'!R50&lt;84.5%,"Satisfactorio","Óptimo"))),"No rendida o no válida")</f>
        <v>No rendida o no válida</v>
      </c>
    </row>
    <row r="51" spans="1:19">
      <c r="A51" s="29"/>
      <c r="B51" s="67"/>
      <c r="C51" s="67"/>
      <c r="D51" s="66"/>
      <c r="E51" s="66"/>
      <c r="F51" s="66"/>
      <c r="G51" s="44"/>
      <c r="H51" s="45"/>
      <c r="I51" s="47"/>
      <c r="J51" s="45"/>
      <c r="K51" s="46"/>
      <c r="L51" s="2"/>
      <c r="M51" s="2"/>
      <c r="N51" s="2"/>
      <c r="O51" s="2"/>
      <c r="P51" s="2"/>
      <c r="Q51" s="37">
        <f>SUM(K51:P51)</f>
        <v>0</v>
      </c>
      <c r="R51" s="70">
        <f t="shared" si="0"/>
        <v>0</v>
      </c>
      <c r="S51" s="37" t="str">
        <f>IF(H51="Rendida ",IF('Resultados Individuales'!R51&lt;49.5%,"Por Mejorar",IF('Resultados Individuales'!R51&lt;64.5%,"Base",IF('Resultados Individuales'!R51&lt;84.5%,"Satisfactorio","Óptimo"))),"No rendida o no válida")</f>
        <v>No rendida o no válida</v>
      </c>
    </row>
    <row r="52" spans="1:19">
      <c r="A52" s="29"/>
      <c r="B52" s="67"/>
      <c r="C52" s="67"/>
      <c r="D52" s="66"/>
      <c r="E52" s="66"/>
      <c r="F52" s="66"/>
      <c r="G52" s="44"/>
      <c r="H52" s="45"/>
      <c r="I52" s="47"/>
      <c r="J52" s="45"/>
      <c r="K52" s="46"/>
      <c r="L52" s="2"/>
      <c r="M52" s="2"/>
      <c r="N52" s="2"/>
      <c r="O52" s="2"/>
      <c r="P52" s="2"/>
      <c r="Q52" s="37">
        <f>SUM(K52:P52)</f>
        <v>0</v>
      </c>
      <c r="R52" s="70">
        <f t="shared" si="0"/>
        <v>0</v>
      </c>
      <c r="S52" s="37" t="str">
        <f>IF(H52="Rendida ",IF('Resultados Individuales'!R52&lt;49.5%,"Por Mejorar",IF('Resultados Individuales'!R52&lt;64.5%,"Base",IF('Resultados Individuales'!R52&lt;84.5%,"Satisfactorio","Óptimo"))),"No rendida o no válida")</f>
        <v>No rendida o no válida</v>
      </c>
    </row>
    <row r="53" spans="1:19">
      <c r="A53" s="29"/>
      <c r="B53" s="67"/>
      <c r="C53" s="67"/>
      <c r="D53" s="66"/>
      <c r="E53" s="66"/>
      <c r="F53" s="66"/>
      <c r="G53" s="44"/>
      <c r="H53" s="45"/>
      <c r="I53" s="47"/>
      <c r="J53" s="45"/>
      <c r="K53" s="46"/>
      <c r="L53" s="2"/>
      <c r="M53" s="2"/>
      <c r="N53" s="2"/>
      <c r="O53" s="2"/>
      <c r="P53" s="2"/>
      <c r="Q53" s="37">
        <f>SUM(K53:P53)</f>
        <v>0</v>
      </c>
      <c r="R53" s="70">
        <f t="shared" si="0"/>
        <v>0</v>
      </c>
      <c r="S53" s="37" t="str">
        <f>IF(H53="Rendida ",IF('Resultados Individuales'!R53&lt;49.5%,"Por Mejorar",IF('Resultados Individuales'!R53&lt;64.5%,"Base",IF('Resultados Individuales'!R53&lt;84.5%,"Satisfactorio","Óptimo"))),"No rendida o no válida")</f>
        <v>No rendida o no válida</v>
      </c>
    </row>
    <row r="54" spans="1:19">
      <c r="A54" s="29"/>
      <c r="B54" s="67"/>
      <c r="C54" s="67"/>
      <c r="D54" s="66"/>
      <c r="E54" s="66"/>
      <c r="F54" s="66"/>
      <c r="G54" s="44"/>
      <c r="H54" s="45"/>
      <c r="I54" s="47"/>
      <c r="J54" s="45"/>
      <c r="K54" s="46"/>
      <c r="L54" s="2"/>
      <c r="M54" s="2"/>
      <c r="N54" s="2"/>
      <c r="O54" s="2"/>
      <c r="P54" s="2"/>
      <c r="Q54" s="37">
        <f>SUM(K54:P54)</f>
        <v>0</v>
      </c>
      <c r="R54" s="70">
        <f t="shared" si="0"/>
        <v>0</v>
      </c>
      <c r="S54" s="37" t="str">
        <f>IF(H54="Rendida ",IF('Resultados Individuales'!R54&lt;49.5%,"Por Mejorar",IF('Resultados Individuales'!R54&lt;64.5%,"Base",IF('Resultados Individuales'!R54&lt;84.5%,"Satisfactorio","Óptimo"))),"No rendida o no válida")</f>
        <v>No rendida o no válida</v>
      </c>
    </row>
    <row r="55" spans="1:19">
      <c r="A55" s="29"/>
      <c r="B55" s="67"/>
      <c r="C55" s="67"/>
      <c r="D55" s="66"/>
      <c r="E55" s="66"/>
      <c r="F55" s="66"/>
      <c r="G55" s="41"/>
      <c r="H55" s="29"/>
      <c r="I55" s="42"/>
      <c r="J55" s="29"/>
      <c r="K55" s="43"/>
      <c r="L55" s="1"/>
      <c r="M55" s="1"/>
      <c r="N55" s="1"/>
      <c r="O55" s="1"/>
      <c r="P55" s="1"/>
      <c r="Q55" s="37">
        <f>SUM(K55:P55)</f>
        <v>0</v>
      </c>
      <c r="R55" s="70">
        <f t="shared" si="0"/>
        <v>0</v>
      </c>
      <c r="S55" s="37" t="str">
        <f>IF(H55="Rendida ",IF('Resultados Individuales'!R55&lt;49.5%,"Por Mejorar",IF('Resultados Individuales'!R55&lt;64.5%,"Base",IF('Resultados Individuales'!R55&lt;84.5%,"Satisfactorio","Óptimo"))),"No rendida o no válida")</f>
        <v>No rendida o no válida</v>
      </c>
    </row>
    <row r="56" spans="1:19">
      <c r="A56" s="29"/>
      <c r="B56" s="67"/>
      <c r="C56" s="67"/>
      <c r="D56" s="66"/>
      <c r="E56" s="66"/>
      <c r="F56" s="66"/>
      <c r="G56" s="41"/>
      <c r="H56" s="29"/>
      <c r="I56" s="42"/>
      <c r="J56" s="29"/>
      <c r="K56" s="43"/>
      <c r="L56" s="1"/>
      <c r="M56" s="1"/>
      <c r="N56" s="1"/>
      <c r="O56" s="1"/>
      <c r="P56" s="1"/>
      <c r="Q56" s="37">
        <f>SUM(K56:P56)</f>
        <v>0</v>
      </c>
      <c r="R56" s="70">
        <f t="shared" si="0"/>
        <v>0</v>
      </c>
      <c r="S56" s="37" t="str">
        <f>IF(H56="Rendida ",IF('Resultados Individuales'!R56&lt;49.5%,"Por Mejorar",IF('Resultados Individuales'!R56&lt;64.5%,"Base",IF('Resultados Individuales'!R56&lt;84.5%,"Satisfactorio","Óptimo"))),"No rendida o no válida")</f>
        <v>No rendida o no válida</v>
      </c>
    </row>
    <row r="57" spans="1:19">
      <c r="A57" s="29"/>
      <c r="B57" s="67"/>
      <c r="C57" s="67"/>
      <c r="D57" s="66"/>
      <c r="E57" s="66"/>
      <c r="F57" s="66"/>
      <c r="G57" s="44"/>
      <c r="H57" s="45"/>
      <c r="I57" s="47"/>
      <c r="J57" s="45"/>
      <c r="K57" s="46"/>
      <c r="L57" s="2"/>
      <c r="M57" s="2"/>
      <c r="N57" s="2"/>
      <c r="O57" s="2"/>
      <c r="P57" s="2"/>
      <c r="Q57" s="37">
        <f>SUM(K57:P57)</f>
        <v>0</v>
      </c>
      <c r="R57" s="70">
        <f t="shared" si="0"/>
        <v>0</v>
      </c>
      <c r="S57" s="37" t="str">
        <f>IF(H57="Rendida ",IF('Resultados Individuales'!R57&lt;49.5%,"Por Mejorar",IF('Resultados Individuales'!R57&lt;64.5%,"Base",IF('Resultados Individuales'!R57&lt;84.5%,"Satisfactorio","Óptimo"))),"No rendida o no válida")</f>
        <v>No rendida o no válida</v>
      </c>
    </row>
    <row r="58" spans="1:19">
      <c r="A58" s="29"/>
      <c r="B58" s="67"/>
      <c r="C58" s="67"/>
      <c r="D58" s="66"/>
      <c r="E58" s="66"/>
      <c r="F58" s="66"/>
      <c r="G58" s="44"/>
      <c r="H58" s="45"/>
      <c r="I58" s="47"/>
      <c r="J58" s="45"/>
      <c r="K58" s="46"/>
      <c r="L58" s="2"/>
      <c r="M58" s="2"/>
      <c r="N58" s="2"/>
      <c r="O58" s="2"/>
      <c r="P58" s="2"/>
      <c r="Q58" s="37">
        <f>SUM(K58:P58)</f>
        <v>0</v>
      </c>
      <c r="R58" s="70">
        <f t="shared" si="0"/>
        <v>0</v>
      </c>
      <c r="S58" s="37" t="str">
        <f>IF(H58="Rendida ",IF('Resultados Individuales'!R58&lt;49.5%,"Por Mejorar",IF('Resultados Individuales'!R58&lt;64.5%,"Base",IF('Resultados Individuales'!R58&lt;84.5%,"Satisfactorio","Óptimo"))),"No rendida o no válida")</f>
        <v>No rendida o no válida</v>
      </c>
    </row>
    <row r="59" spans="1:19">
      <c r="A59" s="29"/>
      <c r="B59" s="67"/>
      <c r="C59" s="67"/>
      <c r="D59" s="66"/>
      <c r="E59" s="66"/>
      <c r="F59" s="66"/>
      <c r="G59" s="44"/>
      <c r="H59" s="45"/>
      <c r="I59" s="47"/>
      <c r="J59" s="45"/>
      <c r="K59" s="46"/>
      <c r="L59" s="2"/>
      <c r="M59" s="2"/>
      <c r="N59" s="2"/>
      <c r="O59" s="2"/>
      <c r="P59" s="2"/>
      <c r="Q59" s="37">
        <f>SUM(K59:P59)</f>
        <v>0</v>
      </c>
      <c r="R59" s="70">
        <f t="shared" si="0"/>
        <v>0</v>
      </c>
      <c r="S59" s="37" t="str">
        <f>IF(H59="Rendida ",IF('Resultados Individuales'!R59&lt;49.5%,"Por Mejorar",IF('Resultados Individuales'!R59&lt;64.5%,"Base",IF('Resultados Individuales'!R59&lt;84.5%,"Satisfactorio","Óptimo"))),"No rendida o no válida")</f>
        <v>No rendida o no válida</v>
      </c>
    </row>
    <row r="60" spans="1:19">
      <c r="A60" s="29"/>
      <c r="B60" s="67"/>
      <c r="C60" s="67"/>
      <c r="D60" s="66"/>
      <c r="E60" s="66"/>
      <c r="F60" s="66"/>
      <c r="G60" s="44"/>
      <c r="H60" s="29"/>
      <c r="I60" s="42"/>
      <c r="J60" s="45"/>
      <c r="K60" s="46"/>
      <c r="L60" s="2"/>
      <c r="M60" s="2"/>
      <c r="N60" s="2"/>
      <c r="O60" s="2"/>
      <c r="P60" s="2"/>
      <c r="Q60" s="37">
        <f>SUM(K60:P60)</f>
        <v>0</v>
      </c>
      <c r="R60" s="70">
        <f t="shared" si="0"/>
        <v>0</v>
      </c>
      <c r="S60" s="37" t="str">
        <f>IF(H60="Rendida ",IF('Resultados Individuales'!R60&lt;49.5%,"Por Mejorar",IF('Resultados Individuales'!R60&lt;64.5%,"Base",IF('Resultados Individuales'!R60&lt;84.5%,"Satisfactorio","Óptimo"))),"No rendida o no válida")</f>
        <v>No rendida o no válida</v>
      </c>
    </row>
    <row r="61" spans="1:19">
      <c r="A61" s="29"/>
      <c r="B61" s="67"/>
      <c r="C61" s="67"/>
      <c r="D61" s="66"/>
      <c r="E61" s="66"/>
      <c r="F61" s="66"/>
      <c r="G61" s="44"/>
      <c r="H61" s="45"/>
      <c r="I61" s="47"/>
      <c r="J61" s="45"/>
      <c r="K61" s="46"/>
      <c r="L61" s="2"/>
      <c r="M61" s="2"/>
      <c r="N61" s="2"/>
      <c r="O61" s="2"/>
      <c r="P61" s="2"/>
      <c r="Q61" s="37">
        <f>SUM(K61:P61)</f>
        <v>0</v>
      </c>
      <c r="R61" s="70">
        <f t="shared" si="0"/>
        <v>0</v>
      </c>
      <c r="S61" s="37" t="str">
        <f>IF(H61="Rendida ",IF('Resultados Individuales'!R61&lt;49.5%,"Por Mejorar",IF('Resultados Individuales'!R61&lt;64.5%,"Base",IF('Resultados Individuales'!R61&lt;84.5%,"Satisfactorio","Óptimo"))),"No rendida o no válida")</f>
        <v>No rendida o no válida</v>
      </c>
    </row>
    <row r="62" spans="1:19">
      <c r="A62" s="29"/>
      <c r="B62" s="67"/>
      <c r="C62" s="67"/>
      <c r="D62" s="66"/>
      <c r="E62" s="66"/>
      <c r="F62" s="66"/>
      <c r="G62" s="44"/>
      <c r="H62" s="45"/>
      <c r="I62" s="47"/>
      <c r="J62" s="45"/>
      <c r="K62" s="46"/>
      <c r="L62" s="2"/>
      <c r="M62" s="2"/>
      <c r="N62" s="2"/>
      <c r="O62" s="2"/>
      <c r="P62" s="2"/>
      <c r="Q62" s="37">
        <f>SUM(K62:P62)</f>
        <v>0</v>
      </c>
      <c r="R62" s="70">
        <f t="shared" si="0"/>
        <v>0</v>
      </c>
      <c r="S62" s="37" t="str">
        <f>IF(H62="Rendida ",IF('Resultados Individuales'!R62&lt;49.5%,"Por Mejorar",IF('Resultados Individuales'!R62&lt;64.5%,"Base",IF('Resultados Individuales'!R62&lt;84.5%,"Satisfactorio","Óptimo"))),"No rendida o no válida")</f>
        <v>No rendida o no válida</v>
      </c>
    </row>
    <row r="63" spans="1:19">
      <c r="A63" s="29"/>
      <c r="B63" s="67"/>
      <c r="C63" s="67"/>
      <c r="D63" s="66"/>
      <c r="E63" s="66"/>
      <c r="F63" s="66"/>
      <c r="G63" s="44"/>
      <c r="H63" s="45"/>
      <c r="I63" s="47"/>
      <c r="J63" s="45"/>
      <c r="K63" s="46"/>
      <c r="L63" s="2"/>
      <c r="M63" s="2"/>
      <c r="N63" s="2"/>
      <c r="O63" s="2"/>
      <c r="P63" s="2"/>
      <c r="Q63" s="37">
        <f>SUM(K63:P63)</f>
        <v>0</v>
      </c>
      <c r="R63" s="70">
        <f t="shared" si="0"/>
        <v>0</v>
      </c>
      <c r="S63" s="37" t="str">
        <f>IF(H63="Rendida ",IF('Resultados Individuales'!R63&lt;49.5%,"Por Mejorar",IF('Resultados Individuales'!R63&lt;64.5%,"Base",IF('Resultados Individuales'!R63&lt;84.5%,"Satisfactorio","Óptimo"))),"No rendida o no válida")</f>
        <v>No rendida o no válida</v>
      </c>
    </row>
    <row r="64" spans="1:19">
      <c r="A64" s="29"/>
      <c r="B64" s="67"/>
      <c r="C64" s="67"/>
      <c r="D64" s="66"/>
      <c r="E64" s="66"/>
      <c r="F64" s="66"/>
      <c r="G64" s="44"/>
      <c r="H64" s="45"/>
      <c r="I64" s="47"/>
      <c r="J64" s="45"/>
      <c r="K64" s="46"/>
      <c r="L64" s="2"/>
      <c r="M64" s="2"/>
      <c r="N64" s="2"/>
      <c r="O64" s="2"/>
      <c r="P64" s="2"/>
      <c r="Q64" s="37">
        <f>SUM(K64:P64)</f>
        <v>0</v>
      </c>
      <c r="R64" s="70">
        <f t="shared" si="0"/>
        <v>0</v>
      </c>
      <c r="S64" s="37" t="str">
        <f>IF(H64="Rendida ",IF('Resultados Individuales'!R64&lt;49.5%,"Por Mejorar",IF('Resultados Individuales'!R64&lt;64.5%,"Base",IF('Resultados Individuales'!R64&lt;84.5%,"Satisfactorio","Óptimo"))),"No rendida o no válida")</f>
        <v>No rendida o no válida</v>
      </c>
    </row>
    <row r="65" spans="1:19">
      <c r="A65" s="29"/>
      <c r="B65" s="67"/>
      <c r="C65" s="67"/>
      <c r="D65" s="66"/>
      <c r="E65" s="66"/>
      <c r="F65" s="66"/>
      <c r="G65" s="44"/>
      <c r="H65" s="45"/>
      <c r="I65" s="47"/>
      <c r="J65" s="45"/>
      <c r="K65" s="46"/>
      <c r="L65" s="2"/>
      <c r="M65" s="2"/>
      <c r="N65" s="2"/>
      <c r="O65" s="2"/>
      <c r="P65" s="2"/>
      <c r="Q65" s="37">
        <f>SUM(K65:P65)</f>
        <v>0</v>
      </c>
      <c r="R65" s="70">
        <f t="shared" si="0"/>
        <v>0</v>
      </c>
      <c r="S65" s="37" t="str">
        <f>IF(H65="Rendida ",IF('Resultados Individuales'!R65&lt;49.5%,"Por Mejorar",IF('Resultados Individuales'!R65&lt;64.5%,"Base",IF('Resultados Individuales'!R65&lt;84.5%,"Satisfactorio","Óptimo"))),"No rendida o no válida")</f>
        <v>No rendida o no válida</v>
      </c>
    </row>
    <row r="66" spans="1:19">
      <c r="A66" s="29"/>
      <c r="B66" s="67"/>
      <c r="C66" s="67"/>
      <c r="D66" s="66"/>
      <c r="E66" s="66"/>
      <c r="F66" s="66"/>
      <c r="G66" s="44"/>
      <c r="H66" s="45"/>
      <c r="I66" s="47"/>
      <c r="J66" s="45"/>
      <c r="K66" s="46"/>
      <c r="L66" s="2"/>
      <c r="M66" s="2"/>
      <c r="N66" s="2"/>
      <c r="O66" s="2"/>
      <c r="P66" s="2"/>
      <c r="Q66" s="37">
        <f>SUM(K66:P66)</f>
        <v>0</v>
      </c>
      <c r="R66" s="70">
        <f t="shared" si="0"/>
        <v>0</v>
      </c>
      <c r="S66" s="37" t="str">
        <f>IF(H66="Rendida ",IF('Resultados Individuales'!R66&lt;49.5%,"Por Mejorar",IF('Resultados Individuales'!R66&lt;64.5%,"Base",IF('Resultados Individuales'!R66&lt;84.5%,"Satisfactorio","Óptimo"))),"No rendida o no válida")</f>
        <v>No rendida o no válida</v>
      </c>
    </row>
    <row r="67" spans="1:19">
      <c r="A67" s="29"/>
      <c r="B67" s="67"/>
      <c r="C67" s="67"/>
      <c r="D67" s="66"/>
      <c r="E67" s="66"/>
      <c r="F67" s="66"/>
      <c r="G67" s="44"/>
      <c r="H67" s="45"/>
      <c r="I67" s="47"/>
      <c r="J67" s="45"/>
      <c r="K67" s="46"/>
      <c r="L67" s="2"/>
      <c r="M67" s="2"/>
      <c r="N67" s="2"/>
      <c r="O67" s="2"/>
      <c r="P67" s="2"/>
      <c r="Q67" s="37">
        <f>SUM(K67:P67)</f>
        <v>0</v>
      </c>
      <c r="R67" s="70">
        <f t="shared" si="0"/>
        <v>0</v>
      </c>
      <c r="S67" s="37" t="str">
        <f>IF(H67="Rendida ",IF('Resultados Individuales'!R67&lt;49.5%,"Por Mejorar",IF('Resultados Individuales'!R67&lt;64.5%,"Base",IF('Resultados Individuales'!R67&lt;84.5%,"Satisfactorio","Óptimo"))),"No rendida o no válida")</f>
        <v>No rendida o no válida</v>
      </c>
    </row>
    <row r="68" spans="1:19">
      <c r="A68" s="29"/>
      <c r="B68" s="67"/>
      <c r="C68" s="67"/>
      <c r="D68" s="66"/>
      <c r="E68" s="66"/>
      <c r="F68" s="66"/>
      <c r="G68" s="44"/>
      <c r="H68" s="45"/>
      <c r="I68" s="47"/>
      <c r="J68" s="45"/>
      <c r="K68" s="46"/>
      <c r="L68" s="2"/>
      <c r="M68" s="2"/>
      <c r="N68" s="2"/>
      <c r="O68" s="2"/>
      <c r="P68" s="2"/>
      <c r="Q68" s="37">
        <f>SUM(K68:P68)</f>
        <v>0</v>
      </c>
      <c r="R68" s="70">
        <f t="shared" si="0"/>
        <v>0</v>
      </c>
      <c r="S68" s="37" t="str">
        <f>IF(H68="Rendida ",IF('Resultados Individuales'!R68&lt;49.5%,"Por Mejorar",IF('Resultados Individuales'!R68&lt;64.5%,"Base",IF('Resultados Individuales'!R68&lt;84.5%,"Satisfactorio","Óptimo"))),"No rendida o no válida")</f>
        <v>No rendida o no válida</v>
      </c>
    </row>
    <row r="69" spans="1:19">
      <c r="A69" s="29"/>
      <c r="B69" s="67"/>
      <c r="C69" s="67"/>
      <c r="D69" s="66"/>
      <c r="E69" s="66"/>
      <c r="F69" s="66"/>
      <c r="G69" s="41"/>
      <c r="H69" s="29"/>
      <c r="I69" s="42"/>
      <c r="J69" s="29"/>
      <c r="K69" s="43"/>
      <c r="L69" s="1"/>
      <c r="M69" s="1"/>
      <c r="N69" s="1"/>
      <c r="O69" s="1"/>
      <c r="P69" s="1"/>
      <c r="Q69" s="37">
        <f>SUM(K69:P69)</f>
        <v>0</v>
      </c>
      <c r="R69" s="70">
        <f t="shared" ref="R69:R132" si="1">Q69/24</f>
        <v>0</v>
      </c>
      <c r="S69" s="37" t="str">
        <f>IF(H69="Rendida ",IF('Resultados Individuales'!R69&lt;49.5%,"Por Mejorar",IF('Resultados Individuales'!R69&lt;64.5%,"Base",IF('Resultados Individuales'!R69&lt;84.5%,"Satisfactorio","Óptimo"))),"No rendida o no válida")</f>
        <v>No rendida o no válida</v>
      </c>
    </row>
    <row r="70" spans="1:19">
      <c r="A70" s="29"/>
      <c r="B70" s="67"/>
      <c r="C70" s="67"/>
      <c r="D70" s="66"/>
      <c r="E70" s="66"/>
      <c r="F70" s="66"/>
      <c r="G70" s="44"/>
      <c r="H70" s="45"/>
      <c r="I70" s="47"/>
      <c r="J70" s="45"/>
      <c r="K70" s="46"/>
      <c r="L70" s="2"/>
      <c r="M70" s="2"/>
      <c r="N70" s="2"/>
      <c r="O70" s="2"/>
      <c r="P70" s="2"/>
      <c r="Q70" s="37">
        <f>SUM(K70:P70)</f>
        <v>0</v>
      </c>
      <c r="R70" s="70">
        <f t="shared" si="1"/>
        <v>0</v>
      </c>
      <c r="S70" s="37" t="str">
        <f>IF(H70="Rendida ",IF('Resultados Individuales'!R70&lt;49.5%,"Por Mejorar",IF('Resultados Individuales'!R70&lt;64.5%,"Base",IF('Resultados Individuales'!R70&lt;84.5%,"Satisfactorio","Óptimo"))),"No rendida o no válida")</f>
        <v>No rendida o no válida</v>
      </c>
    </row>
    <row r="71" spans="1:19">
      <c r="A71" s="29"/>
      <c r="B71" s="67"/>
      <c r="C71" s="67"/>
      <c r="D71" s="66"/>
      <c r="E71" s="66"/>
      <c r="F71" s="66"/>
      <c r="G71" s="44"/>
      <c r="H71" s="45"/>
      <c r="I71" s="47"/>
      <c r="J71" s="45"/>
      <c r="K71" s="46"/>
      <c r="L71" s="2"/>
      <c r="M71" s="2"/>
      <c r="N71" s="2"/>
      <c r="O71" s="2"/>
      <c r="P71" s="2"/>
      <c r="Q71" s="37">
        <f>SUM(K71:P71)</f>
        <v>0</v>
      </c>
      <c r="R71" s="70">
        <f t="shared" si="1"/>
        <v>0</v>
      </c>
      <c r="S71" s="37" t="str">
        <f>IF(H71="Rendida ",IF('Resultados Individuales'!R71&lt;49.5%,"Por Mejorar",IF('Resultados Individuales'!R71&lt;64.5%,"Base",IF('Resultados Individuales'!R71&lt;84.5%,"Satisfactorio","Óptimo"))),"No rendida o no válida")</f>
        <v>No rendida o no válida</v>
      </c>
    </row>
    <row r="72" spans="1:19">
      <c r="A72" s="29"/>
      <c r="B72" s="67"/>
      <c r="C72" s="67"/>
      <c r="D72" s="66"/>
      <c r="E72" s="66"/>
      <c r="F72" s="66"/>
      <c r="G72" s="33"/>
      <c r="H72" s="38"/>
      <c r="I72" s="40"/>
      <c r="J72" s="38"/>
      <c r="K72" s="34"/>
      <c r="L72" s="2"/>
      <c r="M72" s="2"/>
      <c r="N72" s="2"/>
      <c r="O72" s="2"/>
      <c r="P72" s="2"/>
      <c r="Q72" s="37">
        <f>SUM(K72:P72)</f>
        <v>0</v>
      </c>
      <c r="R72" s="70">
        <f t="shared" si="1"/>
        <v>0</v>
      </c>
      <c r="S72" s="37" t="str">
        <f>IF(H72="Rendida ",IF('Resultados Individuales'!R72&lt;49.5%,"Por Mejorar",IF('Resultados Individuales'!R72&lt;64.5%,"Base",IF('Resultados Individuales'!R72&lt;84.5%,"Satisfactorio","Óptimo"))),"No rendida o no válida")</f>
        <v>No rendida o no válida</v>
      </c>
    </row>
    <row r="73" spans="1:19">
      <c r="A73" s="29"/>
      <c r="B73" s="67"/>
      <c r="C73" s="67"/>
      <c r="D73" s="66"/>
      <c r="E73" s="66"/>
      <c r="F73" s="66"/>
      <c r="G73" s="33"/>
      <c r="H73" s="38"/>
      <c r="I73" s="40"/>
      <c r="J73" s="38"/>
      <c r="K73" s="34"/>
      <c r="L73" s="2"/>
      <c r="M73" s="2"/>
      <c r="N73" s="2"/>
      <c r="O73" s="2"/>
      <c r="P73" s="2"/>
      <c r="Q73" s="37">
        <f>SUM(K73:P73)</f>
        <v>0</v>
      </c>
      <c r="R73" s="70">
        <f t="shared" si="1"/>
        <v>0</v>
      </c>
      <c r="S73" s="37" t="str">
        <f>IF(H73="Rendida ",IF('Resultados Individuales'!R73&lt;49.5%,"Por Mejorar",IF('Resultados Individuales'!R73&lt;64.5%,"Base",IF('Resultados Individuales'!R73&lt;84.5%,"Satisfactorio","Óptimo"))),"No rendida o no válida")</f>
        <v>No rendida o no válida</v>
      </c>
    </row>
    <row r="74" spans="1:19">
      <c r="A74" s="29"/>
      <c r="B74" s="67"/>
      <c r="C74" s="67"/>
      <c r="D74" s="66"/>
      <c r="E74" s="66"/>
      <c r="F74" s="66"/>
      <c r="G74" s="33"/>
      <c r="H74" s="38"/>
      <c r="I74" s="40"/>
      <c r="J74" s="38"/>
      <c r="K74" s="34"/>
      <c r="L74" s="2"/>
      <c r="M74" s="2"/>
      <c r="N74" s="2"/>
      <c r="O74" s="2"/>
      <c r="P74" s="2"/>
      <c r="Q74" s="37">
        <f>SUM(K74:P74)</f>
        <v>0</v>
      </c>
      <c r="R74" s="70">
        <f t="shared" si="1"/>
        <v>0</v>
      </c>
      <c r="S74" s="37" t="str">
        <f>IF(H74="Rendida ",IF('Resultados Individuales'!R74&lt;49.5%,"Por Mejorar",IF('Resultados Individuales'!R74&lt;64.5%,"Base",IF('Resultados Individuales'!R74&lt;84.5%,"Satisfactorio","Óptimo"))),"No rendida o no válida")</f>
        <v>No rendida o no válida</v>
      </c>
    </row>
    <row r="75" spans="1:19">
      <c r="A75" s="29"/>
      <c r="B75" s="67"/>
      <c r="C75" s="67"/>
      <c r="D75" s="66"/>
      <c r="E75" s="66"/>
      <c r="F75" s="66"/>
      <c r="G75" s="33"/>
      <c r="H75" s="38"/>
      <c r="I75" s="40"/>
      <c r="J75" s="38"/>
      <c r="K75" s="34"/>
      <c r="L75" s="2"/>
      <c r="M75" s="2"/>
      <c r="N75" s="2"/>
      <c r="O75" s="2"/>
      <c r="P75" s="2"/>
      <c r="Q75" s="37">
        <f>SUM(K75:P75)</f>
        <v>0</v>
      </c>
      <c r="R75" s="70">
        <f t="shared" si="1"/>
        <v>0</v>
      </c>
      <c r="S75" s="37" t="str">
        <f>IF(H75="Rendida ",IF('Resultados Individuales'!R75&lt;49.5%,"Por Mejorar",IF('Resultados Individuales'!R75&lt;64.5%,"Base",IF('Resultados Individuales'!R75&lt;84.5%,"Satisfactorio","Óptimo"))),"No rendida o no válida")</f>
        <v>No rendida o no válida</v>
      </c>
    </row>
    <row r="76" spans="1:19">
      <c r="A76" s="29"/>
      <c r="B76" s="67"/>
      <c r="C76" s="67"/>
      <c r="D76" s="66"/>
      <c r="E76" s="66"/>
      <c r="F76" s="66"/>
      <c r="G76" s="41"/>
      <c r="H76" s="29"/>
      <c r="I76" s="42"/>
      <c r="J76" s="29"/>
      <c r="K76" s="43"/>
      <c r="L76" s="1"/>
      <c r="M76" s="1"/>
      <c r="N76" s="1"/>
      <c r="O76" s="1"/>
      <c r="P76" s="1"/>
      <c r="Q76" s="37">
        <f>SUM(K76:P76)</f>
        <v>0</v>
      </c>
      <c r="R76" s="70">
        <f t="shared" si="1"/>
        <v>0</v>
      </c>
      <c r="S76" s="37" t="str">
        <f>IF(H76="Rendida ",IF('Resultados Individuales'!R76&lt;49.5%,"Por Mejorar",IF('Resultados Individuales'!R76&lt;64.5%,"Base",IF('Resultados Individuales'!R76&lt;84.5%,"Satisfactorio","Óptimo"))),"No rendida o no válida")</f>
        <v>No rendida o no válida</v>
      </c>
    </row>
    <row r="77" spans="1:19">
      <c r="A77" s="29"/>
      <c r="B77" s="67"/>
      <c r="C77" s="67"/>
      <c r="D77" s="66"/>
      <c r="E77" s="66"/>
      <c r="F77" s="66"/>
      <c r="G77" s="41"/>
      <c r="H77" s="29"/>
      <c r="I77" s="42"/>
      <c r="J77" s="29"/>
      <c r="K77" s="43"/>
      <c r="L77" s="1"/>
      <c r="M77" s="1"/>
      <c r="N77" s="1"/>
      <c r="O77" s="1"/>
      <c r="P77" s="1"/>
      <c r="Q77" s="37">
        <f>SUM(K77:P77)</f>
        <v>0</v>
      </c>
      <c r="R77" s="70">
        <f t="shared" si="1"/>
        <v>0</v>
      </c>
      <c r="S77" s="37" t="str">
        <f>IF(H77="Rendida ",IF('Resultados Individuales'!R77&lt;49.5%,"Por Mejorar",IF('Resultados Individuales'!R77&lt;64.5%,"Base",IF('Resultados Individuales'!R77&lt;84.5%,"Satisfactorio","Óptimo"))),"No rendida o no válida")</f>
        <v>No rendida o no válida</v>
      </c>
    </row>
    <row r="78" spans="1:19">
      <c r="A78" s="29"/>
      <c r="B78" s="67"/>
      <c r="C78" s="67"/>
      <c r="D78" s="66"/>
      <c r="E78" s="66"/>
      <c r="F78" s="66"/>
      <c r="G78" s="33"/>
      <c r="H78" s="38"/>
      <c r="I78" s="40"/>
      <c r="J78" s="38"/>
      <c r="K78" s="34"/>
      <c r="L78" s="2"/>
      <c r="M78" s="2"/>
      <c r="N78" s="2"/>
      <c r="O78" s="2"/>
      <c r="P78" s="2"/>
      <c r="Q78" s="37">
        <f>SUM(K78:P78)</f>
        <v>0</v>
      </c>
      <c r="R78" s="70">
        <f t="shared" si="1"/>
        <v>0</v>
      </c>
      <c r="S78" s="37" t="str">
        <f>IF(H78="Rendida ",IF('Resultados Individuales'!R78&lt;49.5%,"Por Mejorar",IF('Resultados Individuales'!R78&lt;64.5%,"Base",IF('Resultados Individuales'!R78&lt;84.5%,"Satisfactorio","Óptimo"))),"No rendida o no válida")</f>
        <v>No rendida o no válida</v>
      </c>
    </row>
    <row r="79" spans="1:19">
      <c r="A79" s="29"/>
      <c r="B79" s="67"/>
      <c r="C79" s="67"/>
      <c r="D79" s="66"/>
      <c r="E79" s="66"/>
      <c r="F79" s="66"/>
      <c r="G79" s="33"/>
      <c r="H79" s="38"/>
      <c r="I79" s="40"/>
      <c r="J79" s="38"/>
      <c r="K79" s="34"/>
      <c r="L79" s="2"/>
      <c r="M79" s="2"/>
      <c r="N79" s="2"/>
      <c r="O79" s="2"/>
      <c r="P79" s="2"/>
      <c r="Q79" s="37">
        <f>SUM(K79:P79)</f>
        <v>0</v>
      </c>
      <c r="R79" s="70">
        <f t="shared" si="1"/>
        <v>0</v>
      </c>
      <c r="S79" s="37" t="str">
        <f>IF(H79="Rendida ",IF('Resultados Individuales'!R79&lt;49.5%,"Por Mejorar",IF('Resultados Individuales'!R79&lt;64.5%,"Base",IF('Resultados Individuales'!R79&lt;84.5%,"Satisfactorio","Óptimo"))),"No rendida o no válida")</f>
        <v>No rendida o no válida</v>
      </c>
    </row>
    <row r="80" spans="1:19">
      <c r="A80" s="29"/>
      <c r="B80" s="67"/>
      <c r="C80" s="67"/>
      <c r="D80" s="66"/>
      <c r="E80" s="66"/>
      <c r="F80" s="66"/>
      <c r="G80" s="33"/>
      <c r="H80" s="38"/>
      <c r="I80" s="40"/>
      <c r="J80" s="38"/>
      <c r="K80" s="34"/>
      <c r="L80" s="2"/>
      <c r="M80" s="2"/>
      <c r="N80" s="2"/>
      <c r="O80" s="2"/>
      <c r="P80" s="2"/>
      <c r="Q80" s="37">
        <f>SUM(K80:P80)</f>
        <v>0</v>
      </c>
      <c r="R80" s="70">
        <f t="shared" si="1"/>
        <v>0</v>
      </c>
      <c r="S80" s="37" t="str">
        <f>IF(H80="Rendida ",IF('Resultados Individuales'!R80&lt;49.5%,"Por Mejorar",IF('Resultados Individuales'!R80&lt;64.5%,"Base",IF('Resultados Individuales'!R80&lt;84.5%,"Satisfactorio","Óptimo"))),"No rendida o no válida")</f>
        <v>No rendida o no válida</v>
      </c>
    </row>
    <row r="81" spans="1:19">
      <c r="A81" s="29"/>
      <c r="B81" s="67"/>
      <c r="C81" s="67"/>
      <c r="D81" s="66"/>
      <c r="E81" s="66"/>
      <c r="F81" s="66"/>
      <c r="G81" s="33"/>
      <c r="H81" s="38"/>
      <c r="I81" s="40"/>
      <c r="J81" s="38"/>
      <c r="K81" s="34"/>
      <c r="L81" s="2"/>
      <c r="M81" s="2"/>
      <c r="N81" s="2"/>
      <c r="O81" s="2"/>
      <c r="P81" s="2"/>
      <c r="Q81" s="37">
        <f>SUM(K81:P81)</f>
        <v>0</v>
      </c>
      <c r="R81" s="70">
        <f t="shared" si="1"/>
        <v>0</v>
      </c>
      <c r="S81" s="37" t="str">
        <f>IF(H81="Rendida ",IF('Resultados Individuales'!R81&lt;49.5%,"Por Mejorar",IF('Resultados Individuales'!R81&lt;64.5%,"Base",IF('Resultados Individuales'!R81&lt;84.5%,"Satisfactorio","Óptimo"))),"No rendida o no válida")</f>
        <v>No rendida o no válida</v>
      </c>
    </row>
    <row r="82" spans="1:19">
      <c r="A82" s="29"/>
      <c r="B82" s="67"/>
      <c r="C82" s="67"/>
      <c r="D82" s="66"/>
      <c r="E82" s="66"/>
      <c r="F82" s="66"/>
      <c r="G82" s="33"/>
      <c r="H82" s="38"/>
      <c r="I82" s="40"/>
      <c r="J82" s="38"/>
      <c r="K82" s="34"/>
      <c r="L82" s="2"/>
      <c r="M82" s="2"/>
      <c r="N82" s="2"/>
      <c r="O82" s="2"/>
      <c r="P82" s="2"/>
      <c r="Q82" s="37">
        <f>SUM(K82:P82)</f>
        <v>0</v>
      </c>
      <c r="R82" s="70">
        <f t="shared" si="1"/>
        <v>0</v>
      </c>
      <c r="S82" s="37" t="str">
        <f>IF(H82="Rendida ",IF('Resultados Individuales'!R82&lt;49.5%,"Por Mejorar",IF('Resultados Individuales'!R82&lt;64.5%,"Base",IF('Resultados Individuales'!R82&lt;84.5%,"Satisfactorio","Óptimo"))),"No rendida o no válida")</f>
        <v>No rendida o no válida</v>
      </c>
    </row>
    <row r="83" spans="1:19">
      <c r="A83" s="29"/>
      <c r="B83" s="67"/>
      <c r="C83" s="67"/>
      <c r="D83" s="66"/>
      <c r="E83" s="66"/>
      <c r="F83" s="66"/>
      <c r="G83" s="33"/>
      <c r="H83" s="38"/>
      <c r="I83" s="40"/>
      <c r="J83" s="38"/>
      <c r="K83" s="34"/>
      <c r="L83" s="2"/>
      <c r="M83" s="2"/>
      <c r="N83" s="2"/>
      <c r="O83" s="2"/>
      <c r="P83" s="2"/>
      <c r="Q83" s="37">
        <f>SUM(K83:P83)</f>
        <v>0</v>
      </c>
      <c r="R83" s="70">
        <f t="shared" si="1"/>
        <v>0</v>
      </c>
      <c r="S83" s="37" t="str">
        <f>IF(H83="Rendida ",IF('Resultados Individuales'!R83&lt;49.5%,"Por Mejorar",IF('Resultados Individuales'!R83&lt;64.5%,"Base",IF('Resultados Individuales'!R83&lt;84.5%,"Satisfactorio","Óptimo"))),"No rendida o no válida")</f>
        <v>No rendida o no válida</v>
      </c>
    </row>
    <row r="84" spans="1:19">
      <c r="A84" s="29"/>
      <c r="B84" s="67"/>
      <c r="C84" s="67"/>
      <c r="D84" s="66"/>
      <c r="E84" s="66"/>
      <c r="F84" s="66"/>
      <c r="G84" s="33"/>
      <c r="H84" s="38"/>
      <c r="I84" s="40"/>
      <c r="J84" s="38"/>
      <c r="K84" s="34"/>
      <c r="L84" s="2"/>
      <c r="M84" s="2"/>
      <c r="N84" s="2"/>
      <c r="O84" s="2"/>
      <c r="P84" s="2"/>
      <c r="Q84" s="37">
        <f>SUM(K84:P84)</f>
        <v>0</v>
      </c>
      <c r="R84" s="70">
        <f t="shared" si="1"/>
        <v>0</v>
      </c>
      <c r="S84" s="37" t="str">
        <f>IF(H84="Rendida ",IF('Resultados Individuales'!R84&lt;49.5%,"Por Mejorar",IF('Resultados Individuales'!R84&lt;64.5%,"Base",IF('Resultados Individuales'!R84&lt;84.5%,"Satisfactorio","Óptimo"))),"No rendida o no válida")</f>
        <v>No rendida o no válida</v>
      </c>
    </row>
    <row r="85" spans="1:19">
      <c r="A85" s="29"/>
      <c r="B85" s="67"/>
      <c r="C85" s="67"/>
      <c r="D85" s="66"/>
      <c r="E85" s="66"/>
      <c r="F85" s="66"/>
      <c r="G85" s="33"/>
      <c r="H85" s="38"/>
      <c r="I85" s="40"/>
      <c r="J85" s="38"/>
      <c r="K85" s="34"/>
      <c r="L85" s="2"/>
      <c r="M85" s="2"/>
      <c r="N85" s="2"/>
      <c r="O85" s="2"/>
      <c r="P85" s="2"/>
      <c r="Q85" s="37">
        <f>SUM(K85:P85)</f>
        <v>0</v>
      </c>
      <c r="R85" s="70">
        <f t="shared" si="1"/>
        <v>0</v>
      </c>
      <c r="S85" s="37" t="str">
        <f>IF(H85="Rendida ",IF('Resultados Individuales'!R85&lt;49.5%,"Por Mejorar",IF('Resultados Individuales'!R85&lt;64.5%,"Base",IF('Resultados Individuales'!R85&lt;84.5%,"Satisfactorio","Óptimo"))),"No rendida o no válida")</f>
        <v>No rendida o no válida</v>
      </c>
    </row>
    <row r="86" spans="1:19">
      <c r="A86" s="29"/>
      <c r="B86" s="67"/>
      <c r="C86" s="67"/>
      <c r="D86" s="66"/>
      <c r="E86" s="66"/>
      <c r="F86" s="66"/>
      <c r="G86" s="33"/>
      <c r="H86" s="38"/>
      <c r="I86" s="40"/>
      <c r="J86" s="38"/>
      <c r="K86" s="34"/>
      <c r="L86" s="2"/>
      <c r="M86" s="2"/>
      <c r="N86" s="2"/>
      <c r="O86" s="2"/>
      <c r="P86" s="2"/>
      <c r="Q86" s="37">
        <f>SUM(K86:P86)</f>
        <v>0</v>
      </c>
      <c r="R86" s="70">
        <f t="shared" si="1"/>
        <v>0</v>
      </c>
      <c r="S86" s="37" t="str">
        <f>IF(H86="Rendida ",IF('Resultados Individuales'!R86&lt;49.5%,"Por Mejorar",IF('Resultados Individuales'!R86&lt;64.5%,"Base",IF('Resultados Individuales'!R86&lt;84.5%,"Satisfactorio","Óptimo"))),"No rendida o no válida")</f>
        <v>No rendida o no válida</v>
      </c>
    </row>
    <row r="87" spans="1:19">
      <c r="A87" s="29"/>
      <c r="B87" s="67"/>
      <c r="C87" s="67"/>
      <c r="D87" s="66"/>
      <c r="E87" s="66"/>
      <c r="F87" s="66"/>
      <c r="G87" s="41"/>
      <c r="H87" s="29"/>
      <c r="I87" s="42"/>
      <c r="J87" s="29"/>
      <c r="K87" s="43"/>
      <c r="L87" s="1"/>
      <c r="M87" s="1"/>
      <c r="N87" s="1"/>
      <c r="O87" s="1"/>
      <c r="P87" s="1"/>
      <c r="Q87" s="37">
        <f>SUM(K87:P87)</f>
        <v>0</v>
      </c>
      <c r="R87" s="70">
        <f t="shared" si="1"/>
        <v>0</v>
      </c>
      <c r="S87" s="37" t="str">
        <f>IF(H87="Rendida ",IF('Resultados Individuales'!R87&lt;49.5%,"Por Mejorar",IF('Resultados Individuales'!R87&lt;64.5%,"Base",IF('Resultados Individuales'!R87&lt;84.5%,"Satisfactorio","Óptimo"))),"No rendida o no válida")</f>
        <v>No rendida o no válida</v>
      </c>
    </row>
    <row r="88" spans="1:19">
      <c r="A88" s="29"/>
      <c r="B88" s="67"/>
      <c r="C88" s="67"/>
      <c r="D88" s="66"/>
      <c r="E88" s="66"/>
      <c r="F88" s="66"/>
      <c r="G88" s="33"/>
      <c r="H88" s="29"/>
      <c r="I88" s="42"/>
      <c r="J88" s="38"/>
      <c r="K88" s="34"/>
      <c r="L88" s="2"/>
      <c r="M88" s="2"/>
      <c r="N88" s="2"/>
      <c r="O88" s="2"/>
      <c r="P88" s="2"/>
      <c r="Q88" s="37">
        <f>SUM(K88:P88)</f>
        <v>0</v>
      </c>
      <c r="R88" s="70">
        <f t="shared" si="1"/>
        <v>0</v>
      </c>
      <c r="S88" s="37" t="str">
        <f>IF(H88="Rendida ",IF('Resultados Individuales'!R88&lt;49.5%,"Por Mejorar",IF('Resultados Individuales'!R88&lt;64.5%,"Base",IF('Resultados Individuales'!R88&lt;84.5%,"Satisfactorio","Óptimo"))),"No rendida o no válida")</f>
        <v>No rendida o no válida</v>
      </c>
    </row>
    <row r="89" spans="1:19">
      <c r="A89" s="29"/>
      <c r="B89" s="67"/>
      <c r="C89" s="67"/>
      <c r="D89" s="66"/>
      <c r="E89" s="66"/>
      <c r="F89" s="66"/>
      <c r="G89" s="33"/>
      <c r="H89" s="38"/>
      <c r="I89" s="40"/>
      <c r="J89" s="38"/>
      <c r="K89" s="34"/>
      <c r="L89" s="2"/>
      <c r="M89" s="2"/>
      <c r="N89" s="2"/>
      <c r="O89" s="2"/>
      <c r="P89" s="2"/>
      <c r="Q89" s="37">
        <f>SUM(K89:P89)</f>
        <v>0</v>
      </c>
      <c r="R89" s="70">
        <f t="shared" si="1"/>
        <v>0</v>
      </c>
      <c r="S89" s="37" t="str">
        <f>IF(H89="Rendida ",IF('Resultados Individuales'!R89&lt;49.5%,"Por Mejorar",IF('Resultados Individuales'!R89&lt;64.5%,"Base",IF('Resultados Individuales'!R89&lt;84.5%,"Satisfactorio","Óptimo"))),"No rendida o no válida")</f>
        <v>No rendida o no válida</v>
      </c>
    </row>
    <row r="90" spans="1:19">
      <c r="A90" s="29"/>
      <c r="B90" s="67"/>
      <c r="C90" s="67"/>
      <c r="D90" s="66"/>
      <c r="E90" s="66"/>
      <c r="F90" s="66"/>
      <c r="G90" s="41"/>
      <c r="H90" s="29"/>
      <c r="I90" s="42"/>
      <c r="J90" s="29"/>
      <c r="K90" s="43"/>
      <c r="L90" s="1"/>
      <c r="M90" s="1"/>
      <c r="N90" s="1"/>
      <c r="O90" s="1"/>
      <c r="P90" s="1"/>
      <c r="Q90" s="37">
        <f>SUM(K90:P90)</f>
        <v>0</v>
      </c>
      <c r="R90" s="70">
        <f t="shared" si="1"/>
        <v>0</v>
      </c>
      <c r="S90" s="37" t="str">
        <f>IF(H90="Rendida ",IF('Resultados Individuales'!R90&lt;49.5%,"Por Mejorar",IF('Resultados Individuales'!R90&lt;64.5%,"Base",IF('Resultados Individuales'!R90&lt;84.5%,"Satisfactorio","Óptimo"))),"No rendida o no válida")</f>
        <v>No rendida o no válida</v>
      </c>
    </row>
    <row r="91" spans="1:19">
      <c r="A91" s="29"/>
      <c r="B91" s="67"/>
      <c r="C91" s="67"/>
      <c r="D91" s="66"/>
      <c r="E91" s="66"/>
      <c r="F91" s="66"/>
      <c r="G91" s="33"/>
      <c r="H91" s="38"/>
      <c r="I91" s="40"/>
      <c r="J91" s="38"/>
      <c r="K91" s="34"/>
      <c r="L91" s="2"/>
      <c r="M91" s="2"/>
      <c r="N91" s="2"/>
      <c r="O91" s="2"/>
      <c r="P91" s="2"/>
      <c r="Q91" s="37">
        <f>SUM(K91:P91)</f>
        <v>0</v>
      </c>
      <c r="R91" s="70">
        <f t="shared" si="1"/>
        <v>0</v>
      </c>
      <c r="S91" s="37" t="str">
        <f>IF(H91="Rendida ",IF('Resultados Individuales'!R91&lt;49.5%,"Por Mejorar",IF('Resultados Individuales'!R91&lt;64.5%,"Base",IF('Resultados Individuales'!R91&lt;84.5%,"Satisfactorio","Óptimo"))),"No rendida o no válida")</f>
        <v>No rendida o no válida</v>
      </c>
    </row>
    <row r="92" spans="1:19">
      <c r="A92" s="29"/>
      <c r="B92" s="67"/>
      <c r="C92" s="67"/>
      <c r="D92" s="66"/>
      <c r="E92" s="66"/>
      <c r="F92" s="66"/>
      <c r="G92" s="33"/>
      <c r="H92" s="38"/>
      <c r="I92" s="40"/>
      <c r="J92" s="38"/>
      <c r="K92" s="34"/>
      <c r="L92" s="2"/>
      <c r="M92" s="2"/>
      <c r="N92" s="2"/>
      <c r="O92" s="2"/>
      <c r="P92" s="2"/>
      <c r="Q92" s="37">
        <f>SUM(K92:P92)</f>
        <v>0</v>
      </c>
      <c r="R92" s="70">
        <f t="shared" si="1"/>
        <v>0</v>
      </c>
      <c r="S92" s="37" t="str">
        <f>IF(H92="Rendida ",IF('Resultados Individuales'!R92&lt;49.5%,"Por Mejorar",IF('Resultados Individuales'!R92&lt;64.5%,"Base",IF('Resultados Individuales'!R92&lt;84.5%,"Satisfactorio","Óptimo"))),"No rendida o no válida")</f>
        <v>No rendida o no válida</v>
      </c>
    </row>
    <row r="93" spans="1:19">
      <c r="A93" s="29"/>
      <c r="B93" s="67"/>
      <c r="C93" s="67"/>
      <c r="D93" s="66"/>
      <c r="E93" s="66"/>
      <c r="F93" s="66"/>
      <c r="G93" s="33"/>
      <c r="H93" s="38"/>
      <c r="I93" s="40"/>
      <c r="J93" s="38"/>
      <c r="K93" s="34"/>
      <c r="L93" s="2"/>
      <c r="M93" s="2"/>
      <c r="N93" s="2"/>
      <c r="O93" s="2"/>
      <c r="P93" s="2"/>
      <c r="Q93" s="37">
        <f>SUM(K93:P93)</f>
        <v>0</v>
      </c>
      <c r="R93" s="70">
        <f t="shared" si="1"/>
        <v>0</v>
      </c>
      <c r="S93" s="37" t="str">
        <f>IF(H93="Rendida ",IF('Resultados Individuales'!R93&lt;49.5%,"Por Mejorar",IF('Resultados Individuales'!R93&lt;64.5%,"Base",IF('Resultados Individuales'!R93&lt;84.5%,"Satisfactorio","Óptimo"))),"No rendida o no válida")</f>
        <v>No rendida o no válida</v>
      </c>
    </row>
    <row r="94" spans="1:19">
      <c r="A94" s="29"/>
      <c r="B94" s="67"/>
      <c r="C94" s="67"/>
      <c r="D94" s="66"/>
      <c r="E94" s="66"/>
      <c r="F94" s="66"/>
      <c r="G94" s="33"/>
      <c r="H94" s="38"/>
      <c r="I94" s="40"/>
      <c r="J94" s="38"/>
      <c r="K94" s="34"/>
      <c r="L94" s="2"/>
      <c r="M94" s="2"/>
      <c r="N94" s="2"/>
      <c r="O94" s="2"/>
      <c r="P94" s="2"/>
      <c r="Q94" s="37">
        <f>SUM(K94:P94)</f>
        <v>0</v>
      </c>
      <c r="R94" s="70">
        <f t="shared" si="1"/>
        <v>0</v>
      </c>
      <c r="S94" s="37" t="str">
        <f>IF(H94="Rendida ",IF('Resultados Individuales'!R94&lt;49.5%,"Por Mejorar",IF('Resultados Individuales'!R94&lt;64.5%,"Base",IF('Resultados Individuales'!R94&lt;84.5%,"Satisfactorio","Óptimo"))),"No rendida o no válida")</f>
        <v>No rendida o no válida</v>
      </c>
    </row>
    <row r="95" spans="1:19">
      <c r="A95" s="29"/>
      <c r="B95" s="67"/>
      <c r="C95" s="67"/>
      <c r="D95" s="66"/>
      <c r="E95" s="66"/>
      <c r="F95" s="66"/>
      <c r="G95" s="33"/>
      <c r="H95" s="38"/>
      <c r="I95" s="40"/>
      <c r="J95" s="38"/>
      <c r="K95" s="34"/>
      <c r="L95" s="2"/>
      <c r="M95" s="2"/>
      <c r="N95" s="2"/>
      <c r="O95" s="2"/>
      <c r="P95" s="2"/>
      <c r="Q95" s="37">
        <f>SUM(K95:P95)</f>
        <v>0</v>
      </c>
      <c r="R95" s="70">
        <f t="shared" si="1"/>
        <v>0</v>
      </c>
      <c r="S95" s="37" t="str">
        <f>IF(H95="Rendida ",IF('Resultados Individuales'!R95&lt;49.5%,"Por Mejorar",IF('Resultados Individuales'!R95&lt;64.5%,"Base",IF('Resultados Individuales'!R95&lt;84.5%,"Satisfactorio","Óptimo"))),"No rendida o no válida")</f>
        <v>No rendida o no válida</v>
      </c>
    </row>
    <row r="96" spans="1:19">
      <c r="A96" s="29"/>
      <c r="B96" s="67"/>
      <c r="C96" s="67"/>
      <c r="D96" s="66"/>
      <c r="E96" s="66"/>
      <c r="F96" s="66"/>
      <c r="G96" s="33"/>
      <c r="H96" s="38"/>
      <c r="I96" s="40"/>
      <c r="J96" s="38"/>
      <c r="K96" s="34"/>
      <c r="L96" s="2"/>
      <c r="M96" s="2"/>
      <c r="N96" s="2"/>
      <c r="O96" s="2"/>
      <c r="P96" s="2"/>
      <c r="Q96" s="37">
        <f>SUM(K96:P96)</f>
        <v>0</v>
      </c>
      <c r="R96" s="70">
        <f t="shared" si="1"/>
        <v>0</v>
      </c>
      <c r="S96" s="37" t="str">
        <f>IF(H96="Rendida ",IF('Resultados Individuales'!R96&lt;49.5%,"Por Mejorar",IF('Resultados Individuales'!R96&lt;64.5%,"Base",IF('Resultados Individuales'!R96&lt;84.5%,"Satisfactorio","Óptimo"))),"No rendida o no válida")</f>
        <v>No rendida o no válida</v>
      </c>
    </row>
    <row r="97" spans="1:19">
      <c r="A97" s="29"/>
      <c r="B97" s="67"/>
      <c r="C97" s="67"/>
      <c r="D97" s="66"/>
      <c r="E97" s="66"/>
      <c r="F97" s="66"/>
      <c r="G97" s="33"/>
      <c r="H97" s="38"/>
      <c r="I97" s="40"/>
      <c r="J97" s="38"/>
      <c r="K97" s="34"/>
      <c r="L97" s="2"/>
      <c r="M97" s="2"/>
      <c r="N97" s="2"/>
      <c r="O97" s="2"/>
      <c r="P97" s="2"/>
      <c r="Q97" s="37">
        <f>SUM(K97:P97)</f>
        <v>0</v>
      </c>
      <c r="R97" s="70">
        <f t="shared" si="1"/>
        <v>0</v>
      </c>
      <c r="S97" s="37" t="str">
        <f>IF(H97="Rendida ",IF('Resultados Individuales'!R97&lt;49.5%,"Por Mejorar",IF('Resultados Individuales'!R97&lt;64.5%,"Base",IF('Resultados Individuales'!R97&lt;84.5%,"Satisfactorio","Óptimo"))),"No rendida o no válida")</f>
        <v>No rendida o no válida</v>
      </c>
    </row>
    <row r="98" spans="1:19">
      <c r="A98" s="29"/>
      <c r="B98" s="67"/>
      <c r="C98" s="67"/>
      <c r="D98" s="66"/>
      <c r="E98" s="66"/>
      <c r="F98" s="66"/>
      <c r="G98" s="33"/>
      <c r="H98" s="38"/>
      <c r="I98" s="40"/>
      <c r="J98" s="38"/>
      <c r="K98" s="34"/>
      <c r="L98" s="2"/>
      <c r="M98" s="2"/>
      <c r="N98" s="2"/>
      <c r="O98" s="2"/>
      <c r="P98" s="2"/>
      <c r="Q98" s="37">
        <f>SUM(K98:P98)</f>
        <v>0</v>
      </c>
      <c r="R98" s="70">
        <f t="shared" si="1"/>
        <v>0</v>
      </c>
      <c r="S98" s="37" t="str">
        <f>IF(H98="Rendida ",IF('Resultados Individuales'!R98&lt;49.5%,"Por Mejorar",IF('Resultados Individuales'!R98&lt;64.5%,"Base",IF('Resultados Individuales'!R98&lt;84.5%,"Satisfactorio","Óptimo"))),"No rendida o no válida")</f>
        <v>No rendida o no válida</v>
      </c>
    </row>
    <row r="99" spans="1:19">
      <c r="A99" s="29"/>
      <c r="B99" s="67"/>
      <c r="C99" s="67"/>
      <c r="D99" s="66"/>
      <c r="E99" s="66"/>
      <c r="F99" s="66"/>
      <c r="G99" s="33"/>
      <c r="H99" s="38"/>
      <c r="I99" s="40"/>
      <c r="J99" s="38"/>
      <c r="K99" s="34"/>
      <c r="L99" s="2"/>
      <c r="M99" s="2"/>
      <c r="N99" s="2"/>
      <c r="O99" s="2"/>
      <c r="P99" s="2"/>
      <c r="Q99" s="37">
        <f>SUM(K99:P99)</f>
        <v>0</v>
      </c>
      <c r="R99" s="70">
        <f t="shared" si="1"/>
        <v>0</v>
      </c>
      <c r="S99" s="37" t="str">
        <f>IF(H99="Rendida ",IF('Resultados Individuales'!R99&lt;49.5%,"Por Mejorar",IF('Resultados Individuales'!R99&lt;64.5%,"Base",IF('Resultados Individuales'!R99&lt;84.5%,"Satisfactorio","Óptimo"))),"No rendida o no válida")</f>
        <v>No rendida o no válida</v>
      </c>
    </row>
    <row r="100" spans="1:19">
      <c r="A100" s="29"/>
      <c r="B100" s="67"/>
      <c r="C100" s="67"/>
      <c r="D100" s="66"/>
      <c r="E100" s="66"/>
      <c r="F100" s="66"/>
      <c r="G100" s="33"/>
      <c r="H100" s="38"/>
      <c r="I100" s="40"/>
      <c r="J100" s="38"/>
      <c r="K100" s="34"/>
      <c r="L100" s="2"/>
      <c r="M100" s="2"/>
      <c r="N100" s="2"/>
      <c r="O100" s="2"/>
      <c r="P100" s="2"/>
      <c r="Q100" s="37">
        <f>SUM(K100:P100)</f>
        <v>0</v>
      </c>
      <c r="R100" s="70">
        <f t="shared" si="1"/>
        <v>0</v>
      </c>
      <c r="S100" s="37" t="str">
        <f>IF(H100="Rendida ",IF('Resultados Individuales'!R100&lt;49.5%,"Por Mejorar",IF('Resultados Individuales'!R100&lt;64.5%,"Base",IF('Resultados Individuales'!R100&lt;84.5%,"Satisfactorio","Óptimo"))),"No rendida o no válida")</f>
        <v>No rendida o no válida</v>
      </c>
    </row>
    <row r="101" spans="1:19">
      <c r="A101" s="29"/>
      <c r="B101" s="67"/>
      <c r="C101" s="67"/>
      <c r="D101" s="66"/>
      <c r="E101" s="66"/>
      <c r="F101" s="66"/>
      <c r="G101" s="33"/>
      <c r="H101" s="38"/>
      <c r="I101" s="40"/>
      <c r="J101" s="38"/>
      <c r="K101" s="34"/>
      <c r="L101" s="2"/>
      <c r="M101" s="2"/>
      <c r="N101" s="2"/>
      <c r="O101" s="2"/>
      <c r="P101" s="2"/>
      <c r="Q101" s="37">
        <f>SUM(K101:P101)</f>
        <v>0</v>
      </c>
      <c r="R101" s="70">
        <f t="shared" si="1"/>
        <v>0</v>
      </c>
      <c r="S101" s="37" t="str">
        <f>IF(H101="Rendida ",IF('Resultados Individuales'!R101&lt;49.5%,"Por Mejorar",IF('Resultados Individuales'!R101&lt;64.5%,"Base",IF('Resultados Individuales'!R101&lt;84.5%,"Satisfactorio","Óptimo"))),"No rendida o no válida")</f>
        <v>No rendida o no válida</v>
      </c>
    </row>
    <row r="102" spans="1:19">
      <c r="A102" s="29"/>
      <c r="B102" s="67"/>
      <c r="C102" s="67"/>
      <c r="D102" s="66"/>
      <c r="E102" s="66"/>
      <c r="F102" s="66"/>
      <c r="G102" s="61"/>
      <c r="H102" s="62"/>
      <c r="I102" s="63"/>
      <c r="J102" s="62"/>
      <c r="K102" s="64"/>
      <c r="L102" s="65"/>
      <c r="M102" s="65"/>
      <c r="N102" s="65"/>
      <c r="O102" s="65"/>
      <c r="P102" s="65"/>
      <c r="Q102" s="37">
        <f>SUM(K102:P102)</f>
        <v>0</v>
      </c>
      <c r="R102" s="70">
        <f t="shared" si="1"/>
        <v>0</v>
      </c>
      <c r="S102" s="37" t="str">
        <f>IF(H102="Rendida ",IF('Resultados Individuales'!R102&lt;49.5%,"Por Mejorar",IF('Resultados Individuales'!R102&lt;64.5%,"Base",IF('Resultados Individuales'!R102&lt;84.5%,"Satisfactorio","Óptimo"))),"No rendida o no válida")</f>
        <v>No rendida o no válida</v>
      </c>
    </row>
    <row r="103" spans="1:19">
      <c r="A103" s="29"/>
      <c r="B103" s="67"/>
      <c r="C103" s="67"/>
      <c r="D103" s="66"/>
      <c r="E103" s="66"/>
      <c r="F103" s="66"/>
      <c r="G103" s="38"/>
      <c r="H103" s="38"/>
      <c r="I103" s="38"/>
      <c r="J103" s="38"/>
      <c r="K103" s="38"/>
      <c r="L103" s="38"/>
      <c r="M103" s="38"/>
      <c r="N103" s="38"/>
      <c r="O103" s="38"/>
      <c r="P103" s="38"/>
      <c r="Q103" s="37">
        <f>SUM(K103:P103)</f>
        <v>0</v>
      </c>
      <c r="R103" s="70">
        <f t="shared" si="1"/>
        <v>0</v>
      </c>
      <c r="S103" s="37" t="str">
        <f>IF(H103="Rendida ",IF('Resultados Individuales'!R103&lt;49.5%,"Por Mejorar",IF('Resultados Individuales'!R103&lt;64.5%,"Base",IF('Resultados Individuales'!R103&lt;84.5%,"Satisfactorio","Óptimo"))),"No rendida o no válida")</f>
        <v>No rendida o no válida</v>
      </c>
    </row>
    <row r="104" spans="1:19">
      <c r="A104" s="29"/>
      <c r="B104" s="67"/>
      <c r="C104" s="67"/>
      <c r="D104" s="66"/>
      <c r="E104" s="66"/>
      <c r="F104" s="66"/>
      <c r="G104" s="38"/>
      <c r="H104" s="38"/>
      <c r="I104" s="38"/>
      <c r="J104" s="38"/>
      <c r="K104" s="38"/>
      <c r="L104" s="38"/>
      <c r="M104" s="38"/>
      <c r="N104" s="38"/>
      <c r="O104" s="38"/>
      <c r="P104" s="38"/>
      <c r="Q104" s="37">
        <f>SUM(K104:P104)</f>
        <v>0</v>
      </c>
      <c r="R104" s="70">
        <f t="shared" si="1"/>
        <v>0</v>
      </c>
      <c r="S104" s="37" t="str">
        <f>IF(H104="Rendida ",IF('Resultados Individuales'!R104&lt;49.5%,"Por Mejorar",IF('Resultados Individuales'!R104&lt;64.5%,"Base",IF('Resultados Individuales'!R104&lt;84.5%,"Satisfactorio","Óptimo"))),"No rendida o no válida")</f>
        <v>No rendida o no válida</v>
      </c>
    </row>
    <row r="105" spans="1:19">
      <c r="A105" s="29"/>
      <c r="B105" s="67"/>
      <c r="C105" s="67"/>
      <c r="D105" s="66"/>
      <c r="E105" s="66"/>
      <c r="F105" s="66"/>
      <c r="G105" s="38"/>
      <c r="H105" s="38"/>
      <c r="I105" s="38"/>
      <c r="J105" s="38"/>
      <c r="K105" s="38"/>
      <c r="L105" s="38"/>
      <c r="M105" s="38"/>
      <c r="N105" s="38"/>
      <c r="O105" s="38"/>
      <c r="P105" s="38"/>
      <c r="Q105" s="37">
        <f>SUM(K105:P105)</f>
        <v>0</v>
      </c>
      <c r="R105" s="70">
        <f t="shared" si="1"/>
        <v>0</v>
      </c>
      <c r="S105" s="37" t="str">
        <f>IF(H105="Rendida ",IF('Resultados Individuales'!R105&lt;49.5%,"Por Mejorar",IF('Resultados Individuales'!R105&lt;64.5%,"Base",IF('Resultados Individuales'!R105&lt;84.5%,"Satisfactorio","Óptimo"))),"No rendida o no válida")</f>
        <v>No rendida o no válida</v>
      </c>
    </row>
    <row r="106" spans="1:19">
      <c r="A106" s="29"/>
      <c r="B106" s="67"/>
      <c r="C106" s="67"/>
      <c r="D106" s="66"/>
      <c r="E106" s="66"/>
      <c r="F106" s="66"/>
      <c r="G106" s="38"/>
      <c r="H106" s="38"/>
      <c r="I106" s="38"/>
      <c r="J106" s="38"/>
      <c r="K106" s="38"/>
      <c r="L106" s="38"/>
      <c r="M106" s="38"/>
      <c r="N106" s="38"/>
      <c r="O106" s="38"/>
      <c r="P106" s="38"/>
      <c r="Q106" s="37">
        <f>SUM(K106:P106)</f>
        <v>0</v>
      </c>
      <c r="R106" s="70">
        <f t="shared" si="1"/>
        <v>0</v>
      </c>
      <c r="S106" s="37" t="str">
        <f>IF(H106="Rendida ",IF('Resultados Individuales'!R106&lt;49.5%,"Por Mejorar",IF('Resultados Individuales'!R106&lt;64.5%,"Base",IF('Resultados Individuales'!R106&lt;84.5%,"Satisfactorio","Óptimo"))),"No rendida o no válida")</f>
        <v>No rendida o no válida</v>
      </c>
    </row>
    <row r="107" spans="1:19">
      <c r="A107" s="29"/>
      <c r="B107" s="67"/>
      <c r="C107" s="67"/>
      <c r="D107" s="66"/>
      <c r="E107" s="66"/>
      <c r="F107" s="66"/>
      <c r="G107" s="38"/>
      <c r="H107" s="38"/>
      <c r="I107" s="38"/>
      <c r="J107" s="38"/>
      <c r="K107" s="38"/>
      <c r="L107" s="38"/>
      <c r="M107" s="38"/>
      <c r="N107" s="38"/>
      <c r="O107" s="38"/>
      <c r="P107" s="38"/>
      <c r="Q107" s="37">
        <f>SUM(K107:P107)</f>
        <v>0</v>
      </c>
      <c r="R107" s="70">
        <f t="shared" si="1"/>
        <v>0</v>
      </c>
      <c r="S107" s="37" t="str">
        <f>IF(H107="Rendida ",IF('Resultados Individuales'!R107&lt;49.5%,"Por Mejorar",IF('Resultados Individuales'!R107&lt;64.5%,"Base",IF('Resultados Individuales'!R107&lt;84.5%,"Satisfactorio","Óptimo"))),"No rendida o no válida")</f>
        <v>No rendida o no válida</v>
      </c>
    </row>
    <row r="108" spans="1:19">
      <c r="A108" s="29"/>
      <c r="B108" s="67"/>
      <c r="C108" s="67"/>
      <c r="D108" s="66"/>
      <c r="E108" s="66"/>
      <c r="F108" s="66"/>
      <c r="G108" s="38"/>
      <c r="H108" s="38"/>
      <c r="I108" s="38"/>
      <c r="J108" s="38"/>
      <c r="K108" s="38"/>
      <c r="L108" s="38"/>
      <c r="M108" s="38"/>
      <c r="N108" s="38"/>
      <c r="O108" s="38"/>
      <c r="P108" s="38"/>
      <c r="Q108" s="37">
        <f>SUM(K108:P108)</f>
        <v>0</v>
      </c>
      <c r="R108" s="70">
        <f t="shared" si="1"/>
        <v>0</v>
      </c>
      <c r="S108" s="37" t="str">
        <f>IF(H108="Rendida ",IF('Resultados Individuales'!R108&lt;49.5%,"Por Mejorar",IF('Resultados Individuales'!R108&lt;64.5%,"Base",IF('Resultados Individuales'!R108&lt;84.5%,"Satisfactorio","Óptimo"))),"No rendida o no válida")</f>
        <v>No rendida o no válida</v>
      </c>
    </row>
    <row r="109" spans="1:19">
      <c r="A109" s="29"/>
      <c r="B109" s="67"/>
      <c r="C109" s="67"/>
      <c r="D109" s="66"/>
      <c r="E109" s="66"/>
      <c r="F109" s="66"/>
      <c r="G109" s="29"/>
      <c r="H109" s="29"/>
      <c r="I109" s="29"/>
      <c r="J109" s="29"/>
      <c r="K109" s="29"/>
      <c r="L109" s="29"/>
      <c r="M109" s="29"/>
      <c r="N109" s="29"/>
      <c r="O109" s="29"/>
      <c r="P109" s="29"/>
      <c r="Q109" s="37">
        <f>SUM(K109:P109)</f>
        <v>0</v>
      </c>
      <c r="R109" s="70">
        <f t="shared" si="1"/>
        <v>0</v>
      </c>
      <c r="S109" s="37" t="str">
        <f>IF(H109="Rendida ",IF('Resultados Individuales'!R109&lt;49.5%,"Por Mejorar",IF('Resultados Individuales'!R109&lt;64.5%,"Base",IF('Resultados Individuales'!R109&lt;84.5%,"Satisfactorio","Óptimo"))),"No rendida o no válida")</f>
        <v>No rendida o no válida</v>
      </c>
    </row>
    <row r="110" spans="1:19">
      <c r="A110" s="29"/>
      <c r="B110" s="67"/>
      <c r="C110" s="67"/>
      <c r="D110" s="66"/>
      <c r="E110" s="66"/>
      <c r="F110" s="66"/>
      <c r="G110" s="38"/>
      <c r="H110" s="38"/>
      <c r="I110" s="38"/>
      <c r="J110" s="38"/>
      <c r="K110" s="38"/>
      <c r="L110" s="38"/>
      <c r="M110" s="38"/>
      <c r="N110" s="38"/>
      <c r="O110" s="38"/>
      <c r="P110" s="38"/>
      <c r="Q110" s="37">
        <f>SUM(K110:P110)</f>
        <v>0</v>
      </c>
      <c r="R110" s="70">
        <f t="shared" si="1"/>
        <v>0</v>
      </c>
      <c r="S110" s="37" t="str">
        <f>IF(H110="Rendida ",IF('Resultados Individuales'!R110&lt;49.5%,"Por Mejorar",IF('Resultados Individuales'!R110&lt;64.5%,"Base",IF('Resultados Individuales'!R110&lt;84.5%,"Satisfactorio","Óptimo"))),"No rendida o no válida")</f>
        <v>No rendida o no válida</v>
      </c>
    </row>
    <row r="111" spans="1:19">
      <c r="A111" s="29"/>
      <c r="B111" s="67"/>
      <c r="C111" s="67"/>
      <c r="D111" s="66"/>
      <c r="E111" s="66"/>
      <c r="F111" s="66"/>
      <c r="G111" s="38"/>
      <c r="H111" s="38"/>
      <c r="I111" s="38"/>
      <c r="J111" s="38"/>
      <c r="K111" s="38"/>
      <c r="L111" s="38"/>
      <c r="M111" s="38"/>
      <c r="N111" s="38"/>
      <c r="O111" s="38"/>
      <c r="P111" s="38"/>
      <c r="Q111" s="37">
        <f>SUM(K111:P111)</f>
        <v>0</v>
      </c>
      <c r="R111" s="70">
        <f t="shared" si="1"/>
        <v>0</v>
      </c>
      <c r="S111" s="37" t="str">
        <f>IF(H111="Rendida ",IF('Resultados Individuales'!R111&lt;49.5%,"Por Mejorar",IF('Resultados Individuales'!R111&lt;64.5%,"Base",IF('Resultados Individuales'!R111&lt;84.5%,"Satisfactorio","Óptimo"))),"No rendida o no válida")</f>
        <v>No rendida o no válida</v>
      </c>
    </row>
    <row r="112" spans="1:19">
      <c r="A112" s="29"/>
      <c r="B112" s="67"/>
      <c r="C112" s="67"/>
      <c r="D112" s="66"/>
      <c r="E112" s="66"/>
      <c r="F112" s="66"/>
      <c r="G112" s="38"/>
      <c r="H112" s="38"/>
      <c r="I112" s="38"/>
      <c r="J112" s="38"/>
      <c r="K112" s="38"/>
      <c r="L112" s="38"/>
      <c r="M112" s="38"/>
      <c r="N112" s="38"/>
      <c r="O112" s="38"/>
      <c r="P112" s="38"/>
      <c r="Q112" s="37">
        <f>SUM(K112:P112)</f>
        <v>0</v>
      </c>
      <c r="R112" s="70">
        <f t="shared" si="1"/>
        <v>0</v>
      </c>
      <c r="S112" s="37" t="str">
        <f>IF(H112="Rendida ",IF('Resultados Individuales'!R112&lt;49.5%,"Por Mejorar",IF('Resultados Individuales'!R112&lt;64.5%,"Base",IF('Resultados Individuales'!R112&lt;84.5%,"Satisfactorio","Óptimo"))),"No rendida o no válida")</f>
        <v>No rendida o no válida</v>
      </c>
    </row>
    <row r="113" spans="1:19">
      <c r="A113" s="29"/>
      <c r="B113" s="67"/>
      <c r="C113" s="67"/>
      <c r="D113" s="66"/>
      <c r="E113" s="66"/>
      <c r="F113" s="66"/>
      <c r="G113" s="29"/>
      <c r="H113" s="29"/>
      <c r="I113" s="29"/>
      <c r="J113" s="29"/>
      <c r="K113" s="29"/>
      <c r="L113" s="29"/>
      <c r="M113" s="29"/>
      <c r="N113" s="29"/>
      <c r="O113" s="29"/>
      <c r="P113" s="29"/>
      <c r="Q113" s="37">
        <f>SUM(K113:P113)</f>
        <v>0</v>
      </c>
      <c r="R113" s="70">
        <f t="shared" si="1"/>
        <v>0</v>
      </c>
      <c r="S113" s="37" t="str">
        <f>IF(H113="Rendida ",IF('Resultados Individuales'!R113&lt;49.5%,"Por Mejorar",IF('Resultados Individuales'!R113&lt;64.5%,"Base",IF('Resultados Individuales'!R113&lt;84.5%,"Satisfactorio","Óptimo"))),"No rendida o no válida")</f>
        <v>No rendida o no válida</v>
      </c>
    </row>
    <row r="114" spans="1:19">
      <c r="A114" s="29"/>
      <c r="B114" s="67"/>
      <c r="C114" s="67"/>
      <c r="D114" s="66"/>
      <c r="E114" s="66"/>
      <c r="F114" s="66"/>
      <c r="G114" s="38"/>
      <c r="H114" s="38"/>
      <c r="I114" s="38"/>
      <c r="J114" s="38"/>
      <c r="K114" s="38"/>
      <c r="L114" s="38"/>
      <c r="M114" s="38"/>
      <c r="N114" s="38"/>
      <c r="O114" s="38"/>
      <c r="P114" s="38"/>
      <c r="Q114" s="37">
        <f>SUM(K114:P114)</f>
        <v>0</v>
      </c>
      <c r="R114" s="70">
        <f t="shared" si="1"/>
        <v>0</v>
      </c>
      <c r="S114" s="37" t="str">
        <f>IF(H114="Rendida ",IF('Resultados Individuales'!R114&lt;49.5%,"Por Mejorar",IF('Resultados Individuales'!R114&lt;64.5%,"Base",IF('Resultados Individuales'!R114&lt;84.5%,"Satisfactorio","Óptimo"))),"No rendida o no válida")</f>
        <v>No rendida o no válida</v>
      </c>
    </row>
    <row r="115" spans="1:19">
      <c r="A115" s="29"/>
      <c r="B115" s="67"/>
      <c r="C115" s="67"/>
      <c r="D115" s="66"/>
      <c r="E115" s="66"/>
      <c r="F115" s="66"/>
      <c r="G115" s="29"/>
      <c r="H115" s="29"/>
      <c r="I115" s="29"/>
      <c r="J115" s="29"/>
      <c r="K115" s="29"/>
      <c r="L115" s="29"/>
      <c r="M115" s="29"/>
      <c r="N115" s="29"/>
      <c r="O115" s="29"/>
      <c r="P115" s="29"/>
      <c r="Q115" s="37">
        <f>SUM(K115:P115)</f>
        <v>0</v>
      </c>
      <c r="R115" s="70">
        <f t="shared" si="1"/>
        <v>0</v>
      </c>
      <c r="S115" s="37" t="str">
        <f>IF(H115="Rendida ",IF('Resultados Individuales'!R115&lt;49.5%,"Por Mejorar",IF('Resultados Individuales'!R115&lt;64.5%,"Base",IF('Resultados Individuales'!R115&lt;84.5%,"Satisfactorio","Óptimo"))),"No rendida o no válida")</f>
        <v>No rendida o no válida</v>
      </c>
    </row>
    <row r="116" spans="1:19">
      <c r="A116" s="29"/>
      <c r="B116" s="67"/>
      <c r="C116" s="67"/>
      <c r="D116" s="66"/>
      <c r="E116" s="66"/>
      <c r="F116" s="66"/>
      <c r="G116" s="38"/>
      <c r="H116" s="38"/>
      <c r="I116" s="38"/>
      <c r="J116" s="38"/>
      <c r="K116" s="38"/>
      <c r="L116" s="38"/>
      <c r="M116" s="38"/>
      <c r="N116" s="38"/>
      <c r="O116" s="38"/>
      <c r="P116" s="38"/>
      <c r="Q116" s="37">
        <f>SUM(K116:P116)</f>
        <v>0</v>
      </c>
      <c r="R116" s="70">
        <f t="shared" si="1"/>
        <v>0</v>
      </c>
      <c r="S116" s="37" t="str">
        <f>IF(H116="Rendida ",IF('Resultados Individuales'!R116&lt;49.5%,"Por Mejorar",IF('Resultados Individuales'!R116&lt;64.5%,"Base",IF('Resultados Individuales'!R116&lt;84.5%,"Satisfactorio","Óptimo"))),"No rendida o no válida")</f>
        <v>No rendida o no válida</v>
      </c>
    </row>
    <row r="117" spans="1:19">
      <c r="A117" s="29"/>
      <c r="B117" s="67"/>
      <c r="C117" s="67"/>
      <c r="D117" s="66"/>
      <c r="E117" s="66"/>
      <c r="F117" s="66"/>
      <c r="G117" s="29"/>
      <c r="H117" s="29"/>
      <c r="I117" s="29"/>
      <c r="J117" s="29"/>
      <c r="K117" s="29"/>
      <c r="L117" s="29"/>
      <c r="M117" s="29"/>
      <c r="N117" s="29"/>
      <c r="O117" s="29"/>
      <c r="P117" s="29"/>
      <c r="Q117" s="37">
        <f>SUM(K117:P117)</f>
        <v>0</v>
      </c>
      <c r="R117" s="70">
        <f t="shared" si="1"/>
        <v>0</v>
      </c>
      <c r="S117" s="37" t="str">
        <f>IF(H117="Rendida ",IF('Resultados Individuales'!R117&lt;49.5%,"Por Mejorar",IF('Resultados Individuales'!R117&lt;64.5%,"Base",IF('Resultados Individuales'!R117&lt;84.5%,"Satisfactorio","Óptimo"))),"No rendida o no válida")</f>
        <v>No rendida o no válida</v>
      </c>
    </row>
    <row r="118" spans="1:19">
      <c r="A118" s="29"/>
      <c r="B118" s="67"/>
      <c r="C118" s="67"/>
      <c r="D118" s="66"/>
      <c r="E118" s="66"/>
      <c r="F118" s="66"/>
      <c r="G118" s="38"/>
      <c r="H118" s="38"/>
      <c r="I118" s="38"/>
      <c r="J118" s="38"/>
      <c r="K118" s="38"/>
      <c r="L118" s="38"/>
      <c r="M118" s="38"/>
      <c r="N118" s="38"/>
      <c r="O118" s="38"/>
      <c r="P118" s="38"/>
      <c r="Q118" s="37">
        <f>SUM(K118:P118)</f>
        <v>0</v>
      </c>
      <c r="R118" s="70">
        <f t="shared" si="1"/>
        <v>0</v>
      </c>
      <c r="S118" s="37" t="str">
        <f>IF(H118="Rendida ",IF('Resultados Individuales'!R118&lt;49.5%,"Por Mejorar",IF('Resultados Individuales'!R118&lt;64.5%,"Base",IF('Resultados Individuales'!R118&lt;84.5%,"Satisfactorio","Óptimo"))),"No rendida o no válida")</f>
        <v>No rendida o no válida</v>
      </c>
    </row>
    <row r="119" spans="1:19">
      <c r="A119" s="29"/>
      <c r="B119" s="67"/>
      <c r="C119" s="67"/>
      <c r="D119" s="66"/>
      <c r="E119" s="66"/>
      <c r="F119" s="66"/>
      <c r="G119" s="29"/>
      <c r="H119" s="29"/>
      <c r="I119" s="29"/>
      <c r="J119" s="29"/>
      <c r="K119" s="29"/>
      <c r="L119" s="29"/>
      <c r="M119" s="29"/>
      <c r="N119" s="29"/>
      <c r="O119" s="29"/>
      <c r="P119" s="29"/>
      <c r="Q119" s="37">
        <f>SUM(K119:P119)</f>
        <v>0</v>
      </c>
      <c r="R119" s="70">
        <f t="shared" si="1"/>
        <v>0</v>
      </c>
      <c r="S119" s="37" t="str">
        <f>IF(H119="Rendida ",IF('Resultados Individuales'!R119&lt;49.5%,"Por Mejorar",IF('Resultados Individuales'!R119&lt;64.5%,"Base",IF('Resultados Individuales'!R119&lt;84.5%,"Satisfactorio","Óptimo"))),"No rendida o no válida")</f>
        <v>No rendida o no válida</v>
      </c>
    </row>
    <row r="120" spans="1:19">
      <c r="A120" s="29"/>
      <c r="B120" s="67"/>
      <c r="C120" s="67"/>
      <c r="D120" s="66"/>
      <c r="E120" s="66"/>
      <c r="F120" s="66"/>
      <c r="G120" s="38"/>
      <c r="H120" s="38"/>
      <c r="I120" s="38"/>
      <c r="J120" s="38"/>
      <c r="K120" s="38"/>
      <c r="L120" s="38"/>
      <c r="M120" s="38"/>
      <c r="N120" s="38"/>
      <c r="O120" s="38"/>
      <c r="P120" s="38"/>
      <c r="Q120" s="37">
        <f>SUM(K120:P120)</f>
        <v>0</v>
      </c>
      <c r="R120" s="70">
        <f t="shared" si="1"/>
        <v>0</v>
      </c>
      <c r="S120" s="37" t="str">
        <f>IF(H120="Rendida ",IF('Resultados Individuales'!R120&lt;49.5%,"Por Mejorar",IF('Resultados Individuales'!R120&lt;64.5%,"Base",IF('Resultados Individuales'!R120&lt;84.5%,"Satisfactorio","Óptimo"))),"No rendida o no válida")</f>
        <v>No rendida o no válida</v>
      </c>
    </row>
    <row r="121" spans="1:19">
      <c r="A121" s="29"/>
      <c r="B121" s="67"/>
      <c r="C121" s="67"/>
      <c r="D121" s="66"/>
      <c r="E121" s="66"/>
      <c r="F121" s="66"/>
      <c r="G121" s="29"/>
      <c r="H121" s="29"/>
      <c r="I121" s="29"/>
      <c r="J121" s="29"/>
      <c r="K121" s="29"/>
      <c r="L121" s="29"/>
      <c r="M121" s="29"/>
      <c r="N121" s="29"/>
      <c r="O121" s="29"/>
      <c r="P121" s="29"/>
      <c r="Q121" s="37">
        <f>SUM(K121:P121)</f>
        <v>0</v>
      </c>
      <c r="R121" s="70">
        <f t="shared" si="1"/>
        <v>0</v>
      </c>
      <c r="S121" s="37" t="str">
        <f>IF(H121="Rendida ",IF('Resultados Individuales'!R121&lt;49.5%,"Por Mejorar",IF('Resultados Individuales'!R121&lt;64.5%,"Base",IF('Resultados Individuales'!R121&lt;84.5%,"Satisfactorio","Óptimo"))),"No rendida o no válida")</f>
        <v>No rendida o no válida</v>
      </c>
    </row>
    <row r="122" spans="1:19">
      <c r="A122" s="29"/>
      <c r="B122" s="67"/>
      <c r="C122" s="67"/>
      <c r="D122" s="66"/>
      <c r="E122" s="66"/>
      <c r="F122" s="66"/>
      <c r="G122" s="29"/>
      <c r="H122" s="29"/>
      <c r="I122" s="29"/>
      <c r="J122" s="29"/>
      <c r="K122" s="29"/>
      <c r="L122" s="29"/>
      <c r="M122" s="29"/>
      <c r="N122" s="29"/>
      <c r="O122" s="29"/>
      <c r="P122" s="29"/>
      <c r="Q122" s="37">
        <f>SUM(K122:P122)</f>
        <v>0</v>
      </c>
      <c r="R122" s="70">
        <f t="shared" si="1"/>
        <v>0</v>
      </c>
      <c r="S122" s="37" t="str">
        <f>IF(H122="Rendida ",IF('Resultados Individuales'!R122&lt;49.5%,"Por Mejorar",IF('Resultados Individuales'!R122&lt;64.5%,"Base",IF('Resultados Individuales'!R122&lt;84.5%,"Satisfactorio","Óptimo"))),"No rendida o no válida")</f>
        <v>No rendida o no válida</v>
      </c>
    </row>
    <row r="123" spans="1:19">
      <c r="A123" s="29"/>
      <c r="B123" s="67"/>
      <c r="C123" s="67"/>
      <c r="D123" s="66"/>
      <c r="E123" s="66"/>
      <c r="F123" s="66"/>
      <c r="G123" s="29"/>
      <c r="H123" s="29"/>
      <c r="I123" s="29"/>
      <c r="J123" s="29"/>
      <c r="K123" s="29"/>
      <c r="L123" s="29"/>
      <c r="M123" s="29"/>
      <c r="N123" s="29"/>
      <c r="O123" s="29"/>
      <c r="P123" s="29"/>
      <c r="Q123" s="37">
        <f>SUM(K123:P123)</f>
        <v>0</v>
      </c>
      <c r="R123" s="70">
        <f t="shared" si="1"/>
        <v>0</v>
      </c>
      <c r="S123" s="37" t="str">
        <f>IF(H123="Rendida ",IF('Resultados Individuales'!R123&lt;49.5%,"Por Mejorar",IF('Resultados Individuales'!R123&lt;64.5%,"Base",IF('Resultados Individuales'!R123&lt;84.5%,"Satisfactorio","Óptimo"))),"No rendida o no válida")</f>
        <v>No rendida o no válida</v>
      </c>
    </row>
    <row r="124" spans="1:19">
      <c r="A124" s="29"/>
      <c r="B124" s="67"/>
      <c r="C124" s="67"/>
      <c r="D124" s="66"/>
      <c r="E124" s="66"/>
      <c r="F124" s="66"/>
      <c r="G124" s="29"/>
      <c r="H124" s="29"/>
      <c r="I124" s="29"/>
      <c r="J124" s="29"/>
      <c r="K124" s="29"/>
      <c r="L124" s="29"/>
      <c r="M124" s="29"/>
      <c r="N124" s="29"/>
      <c r="O124" s="29"/>
      <c r="P124" s="29"/>
      <c r="Q124" s="37">
        <f>SUM(K124:P124)</f>
        <v>0</v>
      </c>
      <c r="R124" s="70">
        <f t="shared" si="1"/>
        <v>0</v>
      </c>
      <c r="S124" s="37" t="str">
        <f>IF(H124="Rendida ",IF('Resultados Individuales'!R124&lt;49.5%,"Por Mejorar",IF('Resultados Individuales'!R124&lt;64.5%,"Base",IF('Resultados Individuales'!R124&lt;84.5%,"Satisfactorio","Óptimo"))),"No rendida o no válida")</f>
        <v>No rendida o no válida</v>
      </c>
    </row>
    <row r="125" spans="1:19">
      <c r="A125" s="29"/>
      <c r="B125" s="67"/>
      <c r="C125" s="67"/>
      <c r="D125" s="66"/>
      <c r="E125" s="66"/>
      <c r="F125" s="66"/>
      <c r="G125" s="29"/>
      <c r="H125" s="29"/>
      <c r="I125" s="29"/>
      <c r="J125" s="29"/>
      <c r="K125" s="29"/>
      <c r="L125" s="29"/>
      <c r="M125" s="29"/>
      <c r="N125" s="29"/>
      <c r="O125" s="29"/>
      <c r="P125" s="29"/>
      <c r="Q125" s="37">
        <f>SUM(K125:P125)</f>
        <v>0</v>
      </c>
      <c r="R125" s="70">
        <f t="shared" si="1"/>
        <v>0</v>
      </c>
      <c r="S125" s="37" t="str">
        <f>IF(H125="Rendida ",IF('Resultados Individuales'!R125&lt;49.5%,"Por Mejorar",IF('Resultados Individuales'!R125&lt;64.5%,"Base",IF('Resultados Individuales'!R125&lt;84.5%,"Satisfactorio","Óptimo"))),"No rendida o no válida")</f>
        <v>No rendida o no válida</v>
      </c>
    </row>
    <row r="126" spans="1:19">
      <c r="A126" s="29"/>
      <c r="B126" s="67"/>
      <c r="C126" s="67"/>
      <c r="D126" s="66"/>
      <c r="E126" s="66"/>
      <c r="F126" s="66"/>
      <c r="G126" s="29"/>
      <c r="H126" s="29"/>
      <c r="I126" s="29"/>
      <c r="J126" s="29"/>
      <c r="K126" s="29"/>
      <c r="L126" s="29"/>
      <c r="M126" s="29"/>
      <c r="N126" s="29"/>
      <c r="O126" s="29"/>
      <c r="P126" s="29"/>
      <c r="Q126" s="37">
        <f>SUM(K126:P126)</f>
        <v>0</v>
      </c>
      <c r="R126" s="70">
        <f t="shared" si="1"/>
        <v>0</v>
      </c>
      <c r="S126" s="37" t="str">
        <f>IF(H126="Rendida ",IF('Resultados Individuales'!R126&lt;49.5%,"Por Mejorar",IF('Resultados Individuales'!R126&lt;64.5%,"Base",IF('Resultados Individuales'!R126&lt;84.5%,"Satisfactorio","Óptimo"))),"No rendida o no válida")</f>
        <v>No rendida o no válida</v>
      </c>
    </row>
    <row r="127" spans="1:19">
      <c r="A127" s="29"/>
      <c r="B127" s="67"/>
      <c r="C127" s="67"/>
      <c r="D127" s="66"/>
      <c r="E127" s="66"/>
      <c r="F127" s="66"/>
      <c r="G127" s="29"/>
      <c r="H127" s="29"/>
      <c r="I127" s="29"/>
      <c r="J127" s="29"/>
      <c r="K127" s="29"/>
      <c r="L127" s="29"/>
      <c r="M127" s="29"/>
      <c r="N127" s="29"/>
      <c r="O127" s="29"/>
      <c r="P127" s="29"/>
      <c r="Q127" s="37">
        <f>SUM(K127:P127)</f>
        <v>0</v>
      </c>
      <c r="R127" s="70">
        <f t="shared" si="1"/>
        <v>0</v>
      </c>
      <c r="S127" s="37" t="str">
        <f>IF(H127="Rendida ",IF('Resultados Individuales'!R127&lt;49.5%,"Por Mejorar",IF('Resultados Individuales'!R127&lt;64.5%,"Base",IF('Resultados Individuales'!R127&lt;84.5%,"Satisfactorio","Óptimo"))),"No rendida o no válida")</f>
        <v>No rendida o no válida</v>
      </c>
    </row>
    <row r="128" spans="1:19">
      <c r="A128" s="29"/>
      <c r="B128" s="67"/>
      <c r="C128" s="67"/>
      <c r="D128" s="66"/>
      <c r="E128" s="66"/>
      <c r="F128" s="66"/>
      <c r="G128" s="29"/>
      <c r="H128" s="29"/>
      <c r="I128" s="29"/>
      <c r="J128" s="29"/>
      <c r="K128" s="29"/>
      <c r="L128" s="29"/>
      <c r="M128" s="29"/>
      <c r="N128" s="29"/>
      <c r="O128" s="29"/>
      <c r="P128" s="29"/>
      <c r="Q128" s="37">
        <f>SUM(K128:P128)</f>
        <v>0</v>
      </c>
      <c r="R128" s="70">
        <f t="shared" si="1"/>
        <v>0</v>
      </c>
      <c r="S128" s="37" t="str">
        <f>IF(H128="Rendida ",IF('Resultados Individuales'!R128&lt;49.5%,"Por Mejorar",IF('Resultados Individuales'!R128&lt;64.5%,"Base",IF('Resultados Individuales'!R128&lt;84.5%,"Satisfactorio","Óptimo"))),"No rendida o no válida")</f>
        <v>No rendida o no válida</v>
      </c>
    </row>
    <row r="129" spans="1:19">
      <c r="A129" s="29"/>
      <c r="B129" s="67"/>
      <c r="C129" s="67"/>
      <c r="D129" s="66"/>
      <c r="E129" s="66"/>
      <c r="F129" s="66"/>
      <c r="G129" s="29"/>
      <c r="H129" s="29"/>
      <c r="I129" s="29"/>
      <c r="J129" s="29"/>
      <c r="K129" s="29"/>
      <c r="L129" s="29"/>
      <c r="M129" s="29"/>
      <c r="N129" s="29"/>
      <c r="O129" s="29"/>
      <c r="P129" s="29"/>
      <c r="Q129" s="37">
        <f>SUM(K129:P129)</f>
        <v>0</v>
      </c>
      <c r="R129" s="70">
        <f t="shared" si="1"/>
        <v>0</v>
      </c>
      <c r="S129" s="37" t="str">
        <f>IF(H129="Rendida ",IF('Resultados Individuales'!R129&lt;49.5%,"Por Mejorar",IF('Resultados Individuales'!R129&lt;64.5%,"Base",IF('Resultados Individuales'!R129&lt;84.5%,"Satisfactorio","Óptimo"))),"No rendida o no válida")</f>
        <v>No rendida o no válida</v>
      </c>
    </row>
    <row r="130" spans="1:19">
      <c r="A130" s="29"/>
      <c r="B130" s="67"/>
      <c r="C130" s="67"/>
      <c r="D130" s="66"/>
      <c r="E130" s="66"/>
      <c r="F130" s="66"/>
      <c r="G130" s="29"/>
      <c r="H130" s="29"/>
      <c r="I130" s="29"/>
      <c r="J130" s="29"/>
      <c r="K130" s="29"/>
      <c r="L130" s="29"/>
      <c r="M130" s="29"/>
      <c r="N130" s="29"/>
      <c r="O130" s="29"/>
      <c r="P130" s="29"/>
      <c r="Q130" s="37">
        <f>SUM(K130:P130)</f>
        <v>0</v>
      </c>
      <c r="R130" s="70">
        <f t="shared" si="1"/>
        <v>0</v>
      </c>
      <c r="S130" s="37" t="str">
        <f>IF(H130="Rendida ",IF('Resultados Individuales'!R130&lt;49.5%,"Por Mejorar",IF('Resultados Individuales'!R130&lt;64.5%,"Base",IF('Resultados Individuales'!R130&lt;84.5%,"Satisfactorio","Óptimo"))),"No rendida o no válida")</f>
        <v>No rendida o no válida</v>
      </c>
    </row>
    <row r="131" spans="1:19">
      <c r="A131" s="29"/>
      <c r="B131" s="67"/>
      <c r="C131" s="67"/>
      <c r="D131" s="66"/>
      <c r="E131" s="66"/>
      <c r="F131" s="66"/>
      <c r="G131" s="29"/>
      <c r="H131" s="29"/>
      <c r="I131" s="29"/>
      <c r="J131" s="29"/>
      <c r="K131" s="29"/>
      <c r="L131" s="29"/>
      <c r="M131" s="29"/>
      <c r="N131" s="29"/>
      <c r="O131" s="29"/>
      <c r="P131" s="29"/>
      <c r="Q131" s="37">
        <f>SUM(K131:P131)</f>
        <v>0</v>
      </c>
      <c r="R131" s="70">
        <f t="shared" si="1"/>
        <v>0</v>
      </c>
      <c r="S131" s="37" t="str">
        <f>IF(H131="Rendida ",IF('Resultados Individuales'!R131&lt;49.5%,"Por Mejorar",IF('Resultados Individuales'!R131&lt;64.5%,"Base",IF('Resultados Individuales'!R131&lt;84.5%,"Satisfactorio","Óptimo"))),"No rendida o no válida")</f>
        <v>No rendida o no válida</v>
      </c>
    </row>
    <row r="132" spans="1:19">
      <c r="A132" s="29"/>
      <c r="B132" s="67"/>
      <c r="C132" s="67"/>
      <c r="D132" s="66"/>
      <c r="E132" s="66"/>
      <c r="F132" s="66"/>
      <c r="G132" s="29"/>
      <c r="H132" s="29"/>
      <c r="I132" s="29"/>
      <c r="J132" s="29"/>
      <c r="K132" s="29"/>
      <c r="L132" s="29"/>
      <c r="M132" s="29"/>
      <c r="N132" s="29"/>
      <c r="O132" s="29"/>
      <c r="P132" s="29"/>
      <c r="Q132" s="37">
        <f>SUM(K132:P132)</f>
        <v>0</v>
      </c>
      <c r="R132" s="70">
        <f t="shared" si="1"/>
        <v>0</v>
      </c>
      <c r="S132" s="37" t="str">
        <f>IF(H132="Rendida ",IF('Resultados Individuales'!R132&lt;49.5%,"Por Mejorar",IF('Resultados Individuales'!R132&lt;64.5%,"Base",IF('Resultados Individuales'!R132&lt;84.5%,"Satisfactorio","Óptimo"))),"No rendida o no válida")</f>
        <v>No rendida o no válida</v>
      </c>
    </row>
    <row r="133" spans="1:19">
      <c r="A133" s="29"/>
      <c r="B133" s="67"/>
      <c r="C133" s="67"/>
      <c r="D133" s="66"/>
      <c r="E133" s="66"/>
      <c r="F133" s="66"/>
      <c r="G133" s="29"/>
      <c r="H133" s="29"/>
      <c r="I133" s="29"/>
      <c r="J133" s="29"/>
      <c r="K133" s="29"/>
      <c r="L133" s="29"/>
      <c r="M133" s="29"/>
      <c r="N133" s="29"/>
      <c r="O133" s="29"/>
      <c r="P133" s="29"/>
      <c r="Q133" s="37">
        <f>SUM(K133:P133)</f>
        <v>0</v>
      </c>
      <c r="R133" s="70">
        <f t="shared" ref="R133:R196" si="2">Q133/24</f>
        <v>0</v>
      </c>
      <c r="S133" s="37" t="str">
        <f>IF(H133="Rendida ",IF('Resultados Individuales'!R133&lt;49.5%,"Por Mejorar",IF('Resultados Individuales'!R133&lt;64.5%,"Base",IF('Resultados Individuales'!R133&lt;84.5%,"Satisfactorio","Óptimo"))),"No rendida o no válida")</f>
        <v>No rendida o no válida</v>
      </c>
    </row>
    <row r="134" spans="1:19">
      <c r="A134" s="29"/>
      <c r="B134" s="67"/>
      <c r="C134" s="67"/>
      <c r="D134" s="66"/>
      <c r="E134" s="66"/>
      <c r="F134" s="66"/>
      <c r="G134" s="29"/>
      <c r="H134" s="29"/>
      <c r="I134" s="29"/>
      <c r="J134" s="29"/>
      <c r="K134" s="29"/>
      <c r="L134" s="29"/>
      <c r="M134" s="29"/>
      <c r="N134" s="29"/>
      <c r="O134" s="29"/>
      <c r="P134" s="29"/>
      <c r="Q134" s="37">
        <f>SUM(K134:P134)</f>
        <v>0</v>
      </c>
      <c r="R134" s="70">
        <f t="shared" si="2"/>
        <v>0</v>
      </c>
      <c r="S134" s="37" t="str">
        <f>IF(H134="Rendida ",IF('Resultados Individuales'!R134&lt;49.5%,"Por Mejorar",IF('Resultados Individuales'!R134&lt;64.5%,"Base",IF('Resultados Individuales'!R134&lt;84.5%,"Satisfactorio","Óptimo"))),"No rendida o no válida")</f>
        <v>No rendida o no válida</v>
      </c>
    </row>
    <row r="135" spans="1:19">
      <c r="A135" s="29"/>
      <c r="B135" s="67"/>
      <c r="C135" s="67"/>
      <c r="D135" s="66"/>
      <c r="E135" s="66"/>
      <c r="F135" s="66"/>
      <c r="G135" s="29"/>
      <c r="H135" s="29"/>
      <c r="I135" s="29"/>
      <c r="J135" s="29"/>
      <c r="K135" s="29"/>
      <c r="L135" s="29"/>
      <c r="M135" s="29"/>
      <c r="N135" s="29"/>
      <c r="O135" s="29"/>
      <c r="P135" s="29"/>
      <c r="Q135" s="37">
        <f>SUM(K135:P135)</f>
        <v>0</v>
      </c>
      <c r="R135" s="70">
        <f t="shared" si="2"/>
        <v>0</v>
      </c>
      <c r="S135" s="37" t="str">
        <f>IF(H135="Rendida ",IF('Resultados Individuales'!R135&lt;49.5%,"Por Mejorar",IF('Resultados Individuales'!R135&lt;64.5%,"Base",IF('Resultados Individuales'!R135&lt;84.5%,"Satisfactorio","Óptimo"))),"No rendida o no válida")</f>
        <v>No rendida o no válida</v>
      </c>
    </row>
    <row r="136" spans="1:19">
      <c r="A136" s="29"/>
      <c r="B136" s="67"/>
      <c r="C136" s="67"/>
      <c r="D136" s="66"/>
      <c r="E136" s="66"/>
      <c r="F136" s="66"/>
      <c r="G136" s="29"/>
      <c r="H136" s="29"/>
      <c r="I136" s="29"/>
      <c r="J136" s="29"/>
      <c r="K136" s="29"/>
      <c r="L136" s="29"/>
      <c r="M136" s="29"/>
      <c r="N136" s="29"/>
      <c r="O136" s="29"/>
      <c r="P136" s="29"/>
      <c r="Q136" s="37">
        <f>SUM(K136:P136)</f>
        <v>0</v>
      </c>
      <c r="R136" s="70">
        <f t="shared" si="2"/>
        <v>0</v>
      </c>
      <c r="S136" s="37" t="str">
        <f>IF(H136="Rendida ",IF('Resultados Individuales'!R136&lt;49.5%,"Por Mejorar",IF('Resultados Individuales'!R136&lt;64.5%,"Base",IF('Resultados Individuales'!R136&lt;84.5%,"Satisfactorio","Óptimo"))),"No rendida o no válida")</f>
        <v>No rendida o no válida</v>
      </c>
    </row>
    <row r="137" spans="1:19">
      <c r="A137" s="29"/>
      <c r="B137" s="67"/>
      <c r="C137" s="67"/>
      <c r="D137" s="66"/>
      <c r="E137" s="66"/>
      <c r="F137" s="66"/>
      <c r="G137" s="29"/>
      <c r="H137" s="29"/>
      <c r="I137" s="29"/>
      <c r="J137" s="29"/>
      <c r="K137" s="29"/>
      <c r="L137" s="29"/>
      <c r="M137" s="29"/>
      <c r="N137" s="29"/>
      <c r="O137" s="29"/>
      <c r="P137" s="29"/>
      <c r="Q137" s="37">
        <f>SUM(K137:P137)</f>
        <v>0</v>
      </c>
      <c r="R137" s="70">
        <f t="shared" si="2"/>
        <v>0</v>
      </c>
      <c r="S137" s="37" t="str">
        <f>IF(H137="Rendida ",IF('Resultados Individuales'!R137&lt;49.5%,"Por Mejorar",IF('Resultados Individuales'!R137&lt;64.5%,"Base",IF('Resultados Individuales'!R137&lt;84.5%,"Satisfactorio","Óptimo"))),"No rendida o no válida")</f>
        <v>No rendida o no válida</v>
      </c>
    </row>
    <row r="138" spans="1:19">
      <c r="A138" s="29"/>
      <c r="B138" s="67"/>
      <c r="C138" s="67"/>
      <c r="D138" s="66"/>
      <c r="E138" s="66"/>
      <c r="F138" s="66"/>
      <c r="G138" s="29"/>
      <c r="H138" s="29"/>
      <c r="I138" s="29"/>
      <c r="J138" s="29"/>
      <c r="K138" s="29"/>
      <c r="L138" s="29"/>
      <c r="M138" s="29"/>
      <c r="N138" s="29"/>
      <c r="O138" s="29"/>
      <c r="P138" s="29"/>
      <c r="Q138" s="37">
        <f>SUM(K138:P138)</f>
        <v>0</v>
      </c>
      <c r="R138" s="70">
        <f t="shared" si="2"/>
        <v>0</v>
      </c>
      <c r="S138" s="37" t="str">
        <f>IF(H138="Rendida ",IF('Resultados Individuales'!R138&lt;49.5%,"Por Mejorar",IF('Resultados Individuales'!R138&lt;64.5%,"Base",IF('Resultados Individuales'!R138&lt;84.5%,"Satisfactorio","Óptimo"))),"No rendida o no válida")</f>
        <v>No rendida o no válida</v>
      </c>
    </row>
    <row r="139" spans="1:19">
      <c r="A139" s="29"/>
      <c r="B139" s="67"/>
      <c r="C139" s="67"/>
      <c r="D139" s="66"/>
      <c r="E139" s="66"/>
      <c r="F139" s="66"/>
      <c r="G139" s="29"/>
      <c r="H139" s="29"/>
      <c r="I139" s="29"/>
      <c r="J139" s="29"/>
      <c r="K139" s="29"/>
      <c r="L139" s="29"/>
      <c r="M139" s="29"/>
      <c r="N139" s="29"/>
      <c r="O139" s="29"/>
      <c r="P139" s="29"/>
      <c r="Q139" s="37">
        <f>SUM(K139:P139)</f>
        <v>0</v>
      </c>
      <c r="R139" s="70">
        <f t="shared" si="2"/>
        <v>0</v>
      </c>
      <c r="S139" s="37" t="str">
        <f>IF(H139="Rendida ",IF('Resultados Individuales'!R139&lt;49.5%,"Por Mejorar",IF('Resultados Individuales'!R139&lt;64.5%,"Base",IF('Resultados Individuales'!R139&lt;84.5%,"Satisfactorio","Óptimo"))),"No rendida o no válida")</f>
        <v>No rendida o no válida</v>
      </c>
    </row>
    <row r="140" spans="1:19">
      <c r="A140" s="29"/>
      <c r="B140" s="67"/>
      <c r="C140" s="67"/>
      <c r="D140" s="66"/>
      <c r="E140" s="66"/>
      <c r="F140" s="66"/>
      <c r="G140" s="29"/>
      <c r="H140" s="29"/>
      <c r="I140" s="29"/>
      <c r="J140" s="29"/>
      <c r="K140" s="29"/>
      <c r="L140" s="29"/>
      <c r="M140" s="29"/>
      <c r="N140" s="29"/>
      <c r="O140" s="29"/>
      <c r="P140" s="29"/>
      <c r="Q140" s="37">
        <f>SUM(K140:P140)</f>
        <v>0</v>
      </c>
      <c r="R140" s="70">
        <f t="shared" si="2"/>
        <v>0</v>
      </c>
      <c r="S140" s="37" t="str">
        <f>IF(H140="Rendida ",IF('Resultados Individuales'!R140&lt;49.5%,"Por Mejorar",IF('Resultados Individuales'!R140&lt;64.5%,"Base",IF('Resultados Individuales'!R140&lt;84.5%,"Satisfactorio","Óptimo"))),"No rendida o no válida")</f>
        <v>No rendida o no válida</v>
      </c>
    </row>
    <row r="141" spans="1:19">
      <c r="A141" s="29"/>
      <c r="B141" s="67"/>
      <c r="C141" s="67"/>
      <c r="D141" s="66"/>
      <c r="E141" s="66"/>
      <c r="F141" s="66"/>
      <c r="G141" s="29"/>
      <c r="H141" s="29"/>
      <c r="I141" s="29"/>
      <c r="J141" s="29"/>
      <c r="K141" s="29"/>
      <c r="L141" s="29"/>
      <c r="M141" s="29"/>
      <c r="N141" s="29"/>
      <c r="O141" s="29"/>
      <c r="P141" s="29"/>
      <c r="Q141" s="37">
        <f>SUM(K141:P141)</f>
        <v>0</v>
      </c>
      <c r="R141" s="70">
        <f t="shared" si="2"/>
        <v>0</v>
      </c>
      <c r="S141" s="37" t="str">
        <f>IF(H141="Rendida ",IF('Resultados Individuales'!R141&lt;49.5%,"Por Mejorar",IF('Resultados Individuales'!R141&lt;64.5%,"Base",IF('Resultados Individuales'!R141&lt;84.5%,"Satisfactorio","Óptimo"))),"No rendida o no válida")</f>
        <v>No rendida o no válida</v>
      </c>
    </row>
    <row r="142" spans="1:19">
      <c r="A142" s="29"/>
      <c r="B142" s="67"/>
      <c r="C142" s="67"/>
      <c r="D142" s="66"/>
      <c r="E142" s="66"/>
      <c r="F142" s="66"/>
      <c r="G142" s="29"/>
      <c r="H142" s="29"/>
      <c r="I142" s="29"/>
      <c r="J142" s="29"/>
      <c r="K142" s="29"/>
      <c r="L142" s="29"/>
      <c r="M142" s="29"/>
      <c r="N142" s="29"/>
      <c r="O142" s="29"/>
      <c r="P142" s="29"/>
      <c r="Q142" s="37">
        <f>SUM(K142:P142)</f>
        <v>0</v>
      </c>
      <c r="R142" s="70">
        <f t="shared" si="2"/>
        <v>0</v>
      </c>
      <c r="S142" s="37" t="str">
        <f>IF(H142="Rendida ",IF('Resultados Individuales'!R142&lt;49.5%,"Por Mejorar",IF('Resultados Individuales'!R142&lt;64.5%,"Base",IF('Resultados Individuales'!R142&lt;84.5%,"Satisfactorio","Óptimo"))),"No rendida o no válida")</f>
        <v>No rendida o no válida</v>
      </c>
    </row>
    <row r="143" spans="1:19">
      <c r="A143" s="29"/>
      <c r="B143" s="67"/>
      <c r="C143" s="67"/>
      <c r="D143" s="66"/>
      <c r="E143" s="66"/>
      <c r="F143" s="66"/>
      <c r="G143" s="29"/>
      <c r="H143" s="29"/>
      <c r="I143" s="29"/>
      <c r="J143" s="29"/>
      <c r="K143" s="29"/>
      <c r="L143" s="29"/>
      <c r="M143" s="29"/>
      <c r="N143" s="29"/>
      <c r="O143" s="29"/>
      <c r="P143" s="29"/>
      <c r="Q143" s="37">
        <f>SUM(K143:P143)</f>
        <v>0</v>
      </c>
      <c r="R143" s="70">
        <f t="shared" si="2"/>
        <v>0</v>
      </c>
      <c r="S143" s="37" t="str">
        <f>IF(H143="Rendida ",IF('Resultados Individuales'!R143&lt;49.5%,"Por Mejorar",IF('Resultados Individuales'!R143&lt;64.5%,"Base",IF('Resultados Individuales'!R143&lt;84.5%,"Satisfactorio","Óptimo"))),"No rendida o no válida")</f>
        <v>No rendida o no válida</v>
      </c>
    </row>
    <row r="144" spans="1:19">
      <c r="A144" s="29"/>
      <c r="B144" s="67"/>
      <c r="C144" s="67"/>
      <c r="D144" s="66"/>
      <c r="E144" s="66"/>
      <c r="F144" s="66"/>
      <c r="G144" s="29"/>
      <c r="H144" s="29"/>
      <c r="I144" s="29"/>
      <c r="J144" s="29"/>
      <c r="K144" s="29"/>
      <c r="L144" s="29"/>
      <c r="M144" s="29"/>
      <c r="N144" s="29"/>
      <c r="O144" s="29"/>
      <c r="P144" s="29"/>
      <c r="Q144" s="37">
        <f>SUM(K144:P144)</f>
        <v>0</v>
      </c>
      <c r="R144" s="70">
        <f t="shared" si="2"/>
        <v>0</v>
      </c>
      <c r="S144" s="37" t="str">
        <f>IF(H144="Rendida ",IF('Resultados Individuales'!R144&lt;49.5%,"Por Mejorar",IF('Resultados Individuales'!R144&lt;64.5%,"Base",IF('Resultados Individuales'!R144&lt;84.5%,"Satisfactorio","Óptimo"))),"No rendida o no válida")</f>
        <v>No rendida o no válida</v>
      </c>
    </row>
    <row r="145" spans="1:19">
      <c r="A145" s="29"/>
      <c r="B145" s="67"/>
      <c r="C145" s="67"/>
      <c r="D145" s="66"/>
      <c r="E145" s="66"/>
      <c r="F145" s="66"/>
      <c r="G145" s="29"/>
      <c r="H145" s="29"/>
      <c r="I145" s="29"/>
      <c r="J145" s="29"/>
      <c r="K145" s="29"/>
      <c r="L145" s="29"/>
      <c r="M145" s="29"/>
      <c r="N145" s="29"/>
      <c r="O145" s="29"/>
      <c r="P145" s="29"/>
      <c r="Q145" s="37">
        <f>SUM(K145:P145)</f>
        <v>0</v>
      </c>
      <c r="R145" s="70">
        <f t="shared" si="2"/>
        <v>0</v>
      </c>
      <c r="S145" s="37" t="str">
        <f>IF(H145="Rendida ",IF('Resultados Individuales'!R145&lt;49.5%,"Por Mejorar",IF('Resultados Individuales'!R145&lt;64.5%,"Base",IF('Resultados Individuales'!R145&lt;84.5%,"Satisfactorio","Óptimo"))),"No rendida o no válida")</f>
        <v>No rendida o no válida</v>
      </c>
    </row>
    <row r="146" spans="1:19">
      <c r="A146" s="29"/>
      <c r="B146" s="67"/>
      <c r="C146" s="67"/>
      <c r="D146" s="66"/>
      <c r="E146" s="66"/>
      <c r="F146" s="66"/>
      <c r="G146" s="29"/>
      <c r="H146" s="29"/>
      <c r="I146" s="29"/>
      <c r="J146" s="29"/>
      <c r="K146" s="29"/>
      <c r="L146" s="29"/>
      <c r="M146" s="29"/>
      <c r="N146" s="29"/>
      <c r="O146" s="29"/>
      <c r="P146" s="29"/>
      <c r="Q146" s="37">
        <f>SUM(K146:P146)</f>
        <v>0</v>
      </c>
      <c r="R146" s="70">
        <f t="shared" si="2"/>
        <v>0</v>
      </c>
      <c r="S146" s="37" t="str">
        <f>IF(H146="Rendida ",IF('Resultados Individuales'!R146&lt;49.5%,"Por Mejorar",IF('Resultados Individuales'!R146&lt;64.5%,"Base",IF('Resultados Individuales'!R146&lt;84.5%,"Satisfactorio","Óptimo"))),"No rendida o no válida")</f>
        <v>No rendida o no válida</v>
      </c>
    </row>
    <row r="147" spans="1:19">
      <c r="A147" s="29"/>
      <c r="B147" s="67"/>
      <c r="C147" s="67"/>
      <c r="D147" s="66"/>
      <c r="E147" s="66"/>
      <c r="F147" s="66"/>
      <c r="G147" s="29"/>
      <c r="H147" s="29"/>
      <c r="I147" s="29"/>
      <c r="J147" s="29"/>
      <c r="K147" s="29"/>
      <c r="L147" s="29"/>
      <c r="M147" s="29"/>
      <c r="N147" s="29"/>
      <c r="O147" s="29"/>
      <c r="P147" s="29"/>
      <c r="Q147" s="37">
        <f>SUM(K147:P147)</f>
        <v>0</v>
      </c>
      <c r="R147" s="70">
        <f t="shared" si="2"/>
        <v>0</v>
      </c>
      <c r="S147" s="37" t="str">
        <f>IF(H147="Rendida ",IF('Resultados Individuales'!R147&lt;49.5%,"Por Mejorar",IF('Resultados Individuales'!R147&lt;64.5%,"Base",IF('Resultados Individuales'!R147&lt;84.5%,"Satisfactorio","Óptimo"))),"No rendida o no válida")</f>
        <v>No rendida o no válida</v>
      </c>
    </row>
    <row r="148" spans="1:19">
      <c r="A148" s="29"/>
      <c r="B148" s="67"/>
      <c r="C148" s="67"/>
      <c r="D148" s="66"/>
      <c r="E148" s="66"/>
      <c r="F148" s="66"/>
      <c r="G148" s="29"/>
      <c r="H148" s="29"/>
      <c r="I148" s="29"/>
      <c r="J148" s="29"/>
      <c r="K148" s="29"/>
      <c r="L148" s="29"/>
      <c r="M148" s="29"/>
      <c r="N148" s="29"/>
      <c r="O148" s="29"/>
      <c r="P148" s="29"/>
      <c r="Q148" s="37">
        <f>SUM(K148:P148)</f>
        <v>0</v>
      </c>
      <c r="R148" s="70">
        <f t="shared" si="2"/>
        <v>0</v>
      </c>
      <c r="S148" s="37" t="str">
        <f>IF(H148="Rendida ",IF('Resultados Individuales'!R148&lt;49.5%,"Por Mejorar",IF('Resultados Individuales'!R148&lt;64.5%,"Base",IF('Resultados Individuales'!R148&lt;84.5%,"Satisfactorio","Óptimo"))),"No rendida o no válida")</f>
        <v>No rendida o no válida</v>
      </c>
    </row>
    <row r="149" spans="1:19">
      <c r="A149" s="29"/>
      <c r="B149" s="67"/>
      <c r="C149" s="67"/>
      <c r="D149" s="66"/>
      <c r="E149" s="66"/>
      <c r="F149" s="66"/>
      <c r="G149" s="29"/>
      <c r="H149" s="29"/>
      <c r="I149" s="29"/>
      <c r="J149" s="29"/>
      <c r="K149" s="29"/>
      <c r="L149" s="29"/>
      <c r="M149" s="29"/>
      <c r="N149" s="29"/>
      <c r="O149" s="29"/>
      <c r="P149" s="29"/>
      <c r="Q149" s="37">
        <f>SUM(K149:P149)</f>
        <v>0</v>
      </c>
      <c r="R149" s="70">
        <f t="shared" si="2"/>
        <v>0</v>
      </c>
      <c r="S149" s="37" t="str">
        <f>IF(H149="Rendida ",IF('Resultados Individuales'!R149&lt;49.5%,"Por Mejorar",IF('Resultados Individuales'!R149&lt;64.5%,"Base",IF('Resultados Individuales'!R149&lt;84.5%,"Satisfactorio","Óptimo"))),"No rendida o no válida")</f>
        <v>No rendida o no válida</v>
      </c>
    </row>
    <row r="150" spans="1:19">
      <c r="A150" s="29"/>
      <c r="B150" s="67"/>
      <c r="C150" s="67"/>
      <c r="D150" s="66"/>
      <c r="E150" s="66"/>
      <c r="F150" s="66"/>
      <c r="G150" s="29"/>
      <c r="H150" s="29"/>
      <c r="I150" s="29"/>
      <c r="J150" s="29"/>
      <c r="K150" s="29"/>
      <c r="L150" s="29"/>
      <c r="M150" s="29"/>
      <c r="N150" s="29"/>
      <c r="O150" s="29"/>
      <c r="P150" s="29"/>
      <c r="Q150" s="37">
        <f>SUM(K150:P150)</f>
        <v>0</v>
      </c>
      <c r="R150" s="70">
        <f t="shared" si="2"/>
        <v>0</v>
      </c>
      <c r="S150" s="37" t="str">
        <f>IF(H150="Rendida ",IF('Resultados Individuales'!R150&lt;49.5%,"Por Mejorar",IF('Resultados Individuales'!R150&lt;64.5%,"Base",IF('Resultados Individuales'!R150&lt;84.5%,"Satisfactorio","Óptimo"))),"No rendida o no válida")</f>
        <v>No rendida o no válida</v>
      </c>
    </row>
    <row r="151" spans="1:19">
      <c r="A151" s="29"/>
      <c r="B151" s="67"/>
      <c r="C151" s="67"/>
      <c r="D151" s="66"/>
      <c r="E151" s="66"/>
      <c r="F151" s="66"/>
      <c r="G151" s="29"/>
      <c r="H151" s="29"/>
      <c r="I151" s="29"/>
      <c r="J151" s="29"/>
      <c r="K151" s="29"/>
      <c r="L151" s="29"/>
      <c r="M151" s="29"/>
      <c r="N151" s="29"/>
      <c r="O151" s="29"/>
      <c r="P151" s="29"/>
      <c r="Q151" s="37">
        <f>SUM(K151:P151)</f>
        <v>0</v>
      </c>
      <c r="R151" s="70">
        <f t="shared" si="2"/>
        <v>0</v>
      </c>
      <c r="S151" s="37" t="str">
        <f>IF(H151="Rendida ",IF('Resultados Individuales'!R151&lt;49.5%,"Por Mejorar",IF('Resultados Individuales'!R151&lt;64.5%,"Base",IF('Resultados Individuales'!R151&lt;84.5%,"Satisfactorio","Óptimo"))),"No rendida o no válida")</f>
        <v>No rendida o no válida</v>
      </c>
    </row>
    <row r="152" spans="1:19">
      <c r="A152" s="29"/>
      <c r="B152" s="67"/>
      <c r="C152" s="67"/>
      <c r="D152" s="66"/>
      <c r="E152" s="66"/>
      <c r="F152" s="66"/>
      <c r="G152" s="29"/>
      <c r="H152" s="29"/>
      <c r="I152" s="29"/>
      <c r="J152" s="29"/>
      <c r="K152" s="29"/>
      <c r="L152" s="29"/>
      <c r="M152" s="29"/>
      <c r="N152" s="29"/>
      <c r="O152" s="29"/>
      <c r="P152" s="29"/>
      <c r="Q152" s="37">
        <f>SUM(K152:P152)</f>
        <v>0</v>
      </c>
      <c r="R152" s="70">
        <f t="shared" si="2"/>
        <v>0</v>
      </c>
      <c r="S152" s="37" t="str">
        <f>IF(H152="Rendida ",IF('Resultados Individuales'!R152&lt;49.5%,"Por Mejorar",IF('Resultados Individuales'!R152&lt;64.5%,"Base",IF('Resultados Individuales'!R152&lt;84.5%,"Satisfactorio","Óptimo"))),"No rendida o no válida")</f>
        <v>No rendida o no válida</v>
      </c>
    </row>
    <row r="153" spans="1:19">
      <c r="A153" s="29"/>
      <c r="B153" s="67"/>
      <c r="C153" s="67"/>
      <c r="D153" s="66"/>
      <c r="E153" s="66"/>
      <c r="F153" s="66"/>
      <c r="G153" s="29"/>
      <c r="H153" s="29"/>
      <c r="I153" s="29"/>
      <c r="J153" s="29"/>
      <c r="K153" s="29"/>
      <c r="L153" s="29"/>
      <c r="M153" s="29"/>
      <c r="N153" s="29"/>
      <c r="O153" s="29"/>
      <c r="P153" s="29"/>
      <c r="Q153" s="37">
        <f>SUM(K153:P153)</f>
        <v>0</v>
      </c>
      <c r="R153" s="70">
        <f t="shared" si="2"/>
        <v>0</v>
      </c>
      <c r="S153" s="37" t="str">
        <f>IF(H153="Rendida ",IF('Resultados Individuales'!R153&lt;49.5%,"Por Mejorar",IF('Resultados Individuales'!R153&lt;64.5%,"Base",IF('Resultados Individuales'!R153&lt;84.5%,"Satisfactorio","Óptimo"))),"No rendida o no válida")</f>
        <v>No rendida o no válida</v>
      </c>
    </row>
    <row r="154" spans="1:19">
      <c r="A154" s="29"/>
      <c r="B154" s="67"/>
      <c r="C154" s="67"/>
      <c r="D154" s="66"/>
      <c r="E154" s="66"/>
      <c r="F154" s="66"/>
      <c r="G154" s="29"/>
      <c r="H154" s="29"/>
      <c r="I154" s="29"/>
      <c r="J154" s="29"/>
      <c r="K154" s="29"/>
      <c r="L154" s="29"/>
      <c r="M154" s="29"/>
      <c r="N154" s="29"/>
      <c r="O154" s="29"/>
      <c r="P154" s="29"/>
      <c r="Q154" s="37">
        <f>SUM(K154:P154)</f>
        <v>0</v>
      </c>
      <c r="R154" s="70">
        <f t="shared" si="2"/>
        <v>0</v>
      </c>
      <c r="S154" s="37" t="str">
        <f>IF(H154="Rendida ",IF('Resultados Individuales'!R154&lt;49.5%,"Por Mejorar",IF('Resultados Individuales'!R154&lt;64.5%,"Base",IF('Resultados Individuales'!R154&lt;84.5%,"Satisfactorio","Óptimo"))),"No rendida o no válida")</f>
        <v>No rendida o no válida</v>
      </c>
    </row>
    <row r="155" spans="1:19">
      <c r="A155" s="29"/>
      <c r="B155" s="67"/>
      <c r="C155" s="67"/>
      <c r="D155" s="66"/>
      <c r="E155" s="66"/>
      <c r="F155" s="66"/>
      <c r="G155" s="29"/>
      <c r="H155" s="29"/>
      <c r="I155" s="29"/>
      <c r="J155" s="29"/>
      <c r="K155" s="29"/>
      <c r="L155" s="29"/>
      <c r="M155" s="29"/>
      <c r="N155" s="29"/>
      <c r="O155" s="29"/>
      <c r="P155" s="29"/>
      <c r="Q155" s="37">
        <f>SUM(K155:P155)</f>
        <v>0</v>
      </c>
      <c r="R155" s="70">
        <f t="shared" si="2"/>
        <v>0</v>
      </c>
      <c r="S155" s="37" t="str">
        <f>IF(H155="Rendida ",IF('Resultados Individuales'!R155&lt;49.5%,"Por Mejorar",IF('Resultados Individuales'!R155&lt;64.5%,"Base",IF('Resultados Individuales'!R155&lt;84.5%,"Satisfactorio","Óptimo"))),"No rendida o no válida")</f>
        <v>No rendida o no válida</v>
      </c>
    </row>
    <row r="156" spans="1:19">
      <c r="A156" s="29"/>
      <c r="B156" s="67"/>
      <c r="C156" s="67"/>
      <c r="D156" s="66"/>
      <c r="E156" s="66"/>
      <c r="F156" s="66"/>
      <c r="G156" s="29"/>
      <c r="H156" s="29"/>
      <c r="I156" s="29"/>
      <c r="J156" s="29"/>
      <c r="K156" s="29"/>
      <c r="L156" s="29"/>
      <c r="M156" s="29"/>
      <c r="N156" s="29"/>
      <c r="O156" s="29"/>
      <c r="P156" s="29"/>
      <c r="Q156" s="37">
        <f>SUM(K156:P156)</f>
        <v>0</v>
      </c>
      <c r="R156" s="70">
        <f t="shared" si="2"/>
        <v>0</v>
      </c>
      <c r="S156" s="37" t="str">
        <f>IF(H156="Rendida ",IF('Resultados Individuales'!R156&lt;49.5%,"Por Mejorar",IF('Resultados Individuales'!R156&lt;64.5%,"Base",IF('Resultados Individuales'!R156&lt;84.5%,"Satisfactorio","Óptimo"))),"No rendida o no válida")</f>
        <v>No rendida o no válida</v>
      </c>
    </row>
    <row r="157" spans="1:19">
      <c r="A157" s="29"/>
      <c r="B157" s="67"/>
      <c r="C157" s="67"/>
      <c r="D157" s="66"/>
      <c r="E157" s="66"/>
      <c r="F157" s="66"/>
      <c r="G157" s="29"/>
      <c r="H157" s="29"/>
      <c r="I157" s="29"/>
      <c r="J157" s="29"/>
      <c r="K157" s="29"/>
      <c r="L157" s="29"/>
      <c r="M157" s="29"/>
      <c r="N157" s="29"/>
      <c r="O157" s="29"/>
      <c r="P157" s="29"/>
      <c r="Q157" s="37">
        <f>SUM(K157:P157)</f>
        <v>0</v>
      </c>
      <c r="R157" s="70">
        <f t="shared" si="2"/>
        <v>0</v>
      </c>
      <c r="S157" s="37" t="str">
        <f>IF(H157="Rendida ",IF('Resultados Individuales'!R157&lt;49.5%,"Por Mejorar",IF('Resultados Individuales'!R157&lt;64.5%,"Base",IF('Resultados Individuales'!R157&lt;84.5%,"Satisfactorio","Óptimo"))),"No rendida o no válida")</f>
        <v>No rendida o no válida</v>
      </c>
    </row>
    <row r="158" spans="1:19">
      <c r="A158" s="29"/>
      <c r="B158" s="67"/>
      <c r="C158" s="67"/>
      <c r="D158" s="66"/>
      <c r="E158" s="66"/>
      <c r="F158" s="66"/>
      <c r="G158" s="29"/>
      <c r="H158" s="29"/>
      <c r="I158" s="29"/>
      <c r="J158" s="29"/>
      <c r="K158" s="29"/>
      <c r="L158" s="29"/>
      <c r="M158" s="29"/>
      <c r="N158" s="29"/>
      <c r="O158" s="29"/>
      <c r="P158" s="29"/>
      <c r="Q158" s="37">
        <f>SUM(K158:P158)</f>
        <v>0</v>
      </c>
      <c r="R158" s="70">
        <f t="shared" si="2"/>
        <v>0</v>
      </c>
      <c r="S158" s="37" t="str">
        <f>IF(H158="Rendida ",IF('Resultados Individuales'!R158&lt;49.5%,"Por Mejorar",IF('Resultados Individuales'!R158&lt;64.5%,"Base",IF('Resultados Individuales'!R158&lt;84.5%,"Satisfactorio","Óptimo"))),"No rendida o no válida")</f>
        <v>No rendida o no válida</v>
      </c>
    </row>
    <row r="159" spans="1:19">
      <c r="A159" s="29"/>
      <c r="B159" s="67"/>
      <c r="C159" s="67"/>
      <c r="D159" s="66"/>
      <c r="E159" s="66"/>
      <c r="F159" s="66"/>
      <c r="G159" s="29"/>
      <c r="H159" s="29"/>
      <c r="I159" s="29"/>
      <c r="J159" s="29"/>
      <c r="K159" s="29"/>
      <c r="L159" s="29"/>
      <c r="M159" s="29"/>
      <c r="N159" s="29"/>
      <c r="O159" s="29"/>
      <c r="P159" s="29"/>
      <c r="Q159" s="37">
        <f>SUM(K159:P159)</f>
        <v>0</v>
      </c>
      <c r="R159" s="70">
        <f t="shared" si="2"/>
        <v>0</v>
      </c>
      <c r="S159" s="37" t="str">
        <f>IF(H159="Rendida ",IF('Resultados Individuales'!R159&lt;49.5%,"Por Mejorar",IF('Resultados Individuales'!R159&lt;64.5%,"Base",IF('Resultados Individuales'!R159&lt;84.5%,"Satisfactorio","Óptimo"))),"No rendida o no válida")</f>
        <v>No rendida o no válida</v>
      </c>
    </row>
    <row r="160" spans="1:19">
      <c r="A160" s="29"/>
      <c r="B160" s="67"/>
      <c r="C160" s="67"/>
      <c r="D160" s="66"/>
      <c r="E160" s="66"/>
      <c r="F160" s="66"/>
      <c r="G160" s="29"/>
      <c r="H160" s="29"/>
      <c r="I160" s="29"/>
      <c r="J160" s="29"/>
      <c r="K160" s="29"/>
      <c r="L160" s="29"/>
      <c r="M160" s="29"/>
      <c r="N160" s="29"/>
      <c r="O160" s="29"/>
      <c r="P160" s="29"/>
      <c r="Q160" s="37">
        <f>SUM(K160:P160)</f>
        <v>0</v>
      </c>
      <c r="R160" s="70">
        <f t="shared" si="2"/>
        <v>0</v>
      </c>
      <c r="S160" s="37" t="str">
        <f>IF(H160="Rendida ",IF('Resultados Individuales'!R160&lt;49.5%,"Por Mejorar",IF('Resultados Individuales'!R160&lt;64.5%,"Base",IF('Resultados Individuales'!R160&lt;84.5%,"Satisfactorio","Óptimo"))),"No rendida o no válida")</f>
        <v>No rendida o no válida</v>
      </c>
    </row>
    <row r="161" spans="1:19">
      <c r="A161" s="29"/>
      <c r="B161" s="67"/>
      <c r="C161" s="67"/>
      <c r="D161" s="66"/>
      <c r="E161" s="66"/>
      <c r="F161" s="66"/>
      <c r="G161" s="29"/>
      <c r="H161" s="29"/>
      <c r="I161" s="29"/>
      <c r="J161" s="29"/>
      <c r="K161" s="29"/>
      <c r="L161" s="29"/>
      <c r="M161" s="29"/>
      <c r="N161" s="29"/>
      <c r="O161" s="29"/>
      <c r="P161" s="29"/>
      <c r="Q161" s="37">
        <f>SUM(K161:P161)</f>
        <v>0</v>
      </c>
      <c r="R161" s="70">
        <f t="shared" si="2"/>
        <v>0</v>
      </c>
      <c r="S161" s="37" t="str">
        <f>IF(H161="Rendida ",IF('Resultados Individuales'!R161&lt;49.5%,"Por Mejorar",IF('Resultados Individuales'!R161&lt;64.5%,"Base",IF('Resultados Individuales'!R161&lt;84.5%,"Satisfactorio","Óptimo"))),"No rendida o no válida")</f>
        <v>No rendida o no válida</v>
      </c>
    </row>
    <row r="162" spans="1:19">
      <c r="A162" s="29"/>
      <c r="B162" s="67"/>
      <c r="C162" s="67"/>
      <c r="D162" s="66"/>
      <c r="E162" s="66"/>
      <c r="F162" s="66"/>
      <c r="G162" s="29"/>
      <c r="H162" s="29"/>
      <c r="I162" s="29"/>
      <c r="J162" s="29"/>
      <c r="K162" s="29"/>
      <c r="L162" s="29"/>
      <c r="M162" s="29"/>
      <c r="N162" s="29"/>
      <c r="O162" s="29"/>
      <c r="P162" s="29"/>
      <c r="Q162" s="37">
        <f>SUM(K162:P162)</f>
        <v>0</v>
      </c>
      <c r="R162" s="70">
        <f t="shared" si="2"/>
        <v>0</v>
      </c>
      <c r="S162" s="37" t="str">
        <f>IF(H162="Rendida ",IF('Resultados Individuales'!R162&lt;49.5%,"Por Mejorar",IF('Resultados Individuales'!R162&lt;64.5%,"Base",IF('Resultados Individuales'!R162&lt;84.5%,"Satisfactorio","Óptimo"))),"No rendida o no válida")</f>
        <v>No rendida o no válida</v>
      </c>
    </row>
    <row r="163" spans="1:19">
      <c r="A163" s="29"/>
      <c r="B163" s="67"/>
      <c r="C163" s="67"/>
      <c r="D163" s="66"/>
      <c r="E163" s="66"/>
      <c r="F163" s="66"/>
      <c r="G163" s="29"/>
      <c r="H163" s="29"/>
      <c r="I163" s="29"/>
      <c r="J163" s="29"/>
      <c r="K163" s="29"/>
      <c r="L163" s="29"/>
      <c r="M163" s="29"/>
      <c r="N163" s="29"/>
      <c r="O163" s="29"/>
      <c r="P163" s="29"/>
      <c r="Q163" s="37">
        <f>SUM(K163:P163)</f>
        <v>0</v>
      </c>
      <c r="R163" s="70">
        <f t="shared" si="2"/>
        <v>0</v>
      </c>
      <c r="S163" s="37" t="str">
        <f>IF(H163="Rendida ",IF('Resultados Individuales'!R163&lt;49.5%,"Por Mejorar",IF('Resultados Individuales'!R163&lt;64.5%,"Base",IF('Resultados Individuales'!R163&lt;84.5%,"Satisfactorio","Óptimo"))),"No rendida o no válida")</f>
        <v>No rendida o no válida</v>
      </c>
    </row>
    <row r="164" spans="1:19">
      <c r="A164" s="29"/>
      <c r="B164" s="67"/>
      <c r="C164" s="67"/>
      <c r="D164" s="66"/>
      <c r="E164" s="66"/>
      <c r="F164" s="66"/>
      <c r="G164" s="29"/>
      <c r="H164" s="29"/>
      <c r="I164" s="29"/>
      <c r="J164" s="29"/>
      <c r="K164" s="29"/>
      <c r="L164" s="29"/>
      <c r="M164" s="29"/>
      <c r="N164" s="29"/>
      <c r="O164" s="29"/>
      <c r="P164" s="29"/>
      <c r="Q164" s="37">
        <f>SUM(K164:P164)</f>
        <v>0</v>
      </c>
      <c r="R164" s="70">
        <f t="shared" si="2"/>
        <v>0</v>
      </c>
      <c r="S164" s="37" t="str">
        <f>IF(H164="Rendida ",IF('Resultados Individuales'!R164&lt;49.5%,"Por Mejorar",IF('Resultados Individuales'!R164&lt;64.5%,"Base",IF('Resultados Individuales'!R164&lt;84.5%,"Satisfactorio","Óptimo"))),"No rendida o no válida")</f>
        <v>No rendida o no válida</v>
      </c>
    </row>
    <row r="165" spans="1:19">
      <c r="A165" s="29"/>
      <c r="B165" s="67"/>
      <c r="C165" s="67"/>
      <c r="D165" s="66"/>
      <c r="E165" s="66"/>
      <c r="F165" s="66"/>
      <c r="G165" s="29"/>
      <c r="H165" s="29"/>
      <c r="I165" s="29"/>
      <c r="J165" s="29"/>
      <c r="K165" s="29"/>
      <c r="L165" s="29"/>
      <c r="M165" s="29"/>
      <c r="N165" s="29"/>
      <c r="O165" s="29"/>
      <c r="P165" s="29"/>
      <c r="Q165" s="37">
        <f>SUM(K165:P165)</f>
        <v>0</v>
      </c>
      <c r="R165" s="70">
        <f t="shared" si="2"/>
        <v>0</v>
      </c>
      <c r="S165" s="37" t="str">
        <f>IF(H165="Rendida ",IF('Resultados Individuales'!R165&lt;49.5%,"Por Mejorar",IF('Resultados Individuales'!R165&lt;64.5%,"Base",IF('Resultados Individuales'!R165&lt;84.5%,"Satisfactorio","Óptimo"))),"No rendida o no válida")</f>
        <v>No rendida o no válida</v>
      </c>
    </row>
    <row r="166" spans="1:19">
      <c r="A166" s="29"/>
      <c r="B166" s="67"/>
      <c r="C166" s="67"/>
      <c r="D166" s="66"/>
      <c r="E166" s="66"/>
      <c r="F166" s="66"/>
      <c r="G166" s="29"/>
      <c r="H166" s="29"/>
      <c r="I166" s="29"/>
      <c r="J166" s="29"/>
      <c r="K166" s="29"/>
      <c r="L166" s="29"/>
      <c r="M166" s="29"/>
      <c r="N166" s="29"/>
      <c r="O166" s="29"/>
      <c r="P166" s="29"/>
      <c r="Q166" s="37">
        <f>SUM(K166:P166)</f>
        <v>0</v>
      </c>
      <c r="R166" s="70">
        <f t="shared" si="2"/>
        <v>0</v>
      </c>
      <c r="S166" s="37" t="str">
        <f>IF(H166="Rendida ",IF('Resultados Individuales'!R166&lt;49.5%,"Por Mejorar",IF('Resultados Individuales'!R166&lt;64.5%,"Base",IF('Resultados Individuales'!R166&lt;84.5%,"Satisfactorio","Óptimo"))),"No rendida o no válida")</f>
        <v>No rendida o no válida</v>
      </c>
    </row>
    <row r="167" spans="1:19">
      <c r="A167" s="29"/>
      <c r="B167" s="67"/>
      <c r="C167" s="67"/>
      <c r="D167" s="66"/>
      <c r="E167" s="66"/>
      <c r="F167" s="66"/>
      <c r="G167" s="29"/>
      <c r="H167" s="29"/>
      <c r="I167" s="29"/>
      <c r="J167" s="29"/>
      <c r="K167" s="29"/>
      <c r="L167" s="29"/>
      <c r="M167" s="29"/>
      <c r="N167" s="29"/>
      <c r="O167" s="29"/>
      <c r="P167" s="29"/>
      <c r="Q167" s="37">
        <f>SUM(K167:P167)</f>
        <v>0</v>
      </c>
      <c r="R167" s="70">
        <f t="shared" si="2"/>
        <v>0</v>
      </c>
      <c r="S167" s="37" t="str">
        <f>IF(H167="Rendida ",IF('Resultados Individuales'!R167&lt;49.5%,"Por Mejorar",IF('Resultados Individuales'!R167&lt;64.5%,"Base",IF('Resultados Individuales'!R167&lt;84.5%,"Satisfactorio","Óptimo"))),"No rendida o no válida")</f>
        <v>No rendida o no válida</v>
      </c>
    </row>
    <row r="168" spans="1:19">
      <c r="A168" s="29"/>
      <c r="B168" s="67"/>
      <c r="C168" s="67"/>
      <c r="D168" s="66"/>
      <c r="E168" s="66"/>
      <c r="F168" s="66"/>
      <c r="G168" s="29"/>
      <c r="H168" s="29"/>
      <c r="I168" s="29"/>
      <c r="J168" s="29"/>
      <c r="K168" s="29"/>
      <c r="L168" s="29"/>
      <c r="M168" s="29"/>
      <c r="N168" s="29"/>
      <c r="O168" s="29"/>
      <c r="P168" s="29"/>
      <c r="Q168" s="37">
        <f>SUM(K168:P168)</f>
        <v>0</v>
      </c>
      <c r="R168" s="70">
        <f t="shared" si="2"/>
        <v>0</v>
      </c>
      <c r="S168" s="37" t="str">
        <f>IF(H168="Rendida ",IF('Resultados Individuales'!R168&lt;49.5%,"Por Mejorar",IF('Resultados Individuales'!R168&lt;64.5%,"Base",IF('Resultados Individuales'!R168&lt;84.5%,"Satisfactorio","Óptimo"))),"No rendida o no válida")</f>
        <v>No rendida o no válida</v>
      </c>
    </row>
    <row r="169" spans="1:19">
      <c r="A169" s="29"/>
      <c r="B169" s="67"/>
      <c r="C169" s="67"/>
      <c r="D169" s="66"/>
      <c r="E169" s="66"/>
      <c r="F169" s="66"/>
      <c r="G169" s="29"/>
      <c r="H169" s="29"/>
      <c r="I169" s="29"/>
      <c r="J169" s="29"/>
      <c r="K169" s="29"/>
      <c r="L169" s="29"/>
      <c r="M169" s="29"/>
      <c r="N169" s="29"/>
      <c r="O169" s="29"/>
      <c r="P169" s="29"/>
      <c r="Q169" s="37">
        <f>SUM(K169:P169)</f>
        <v>0</v>
      </c>
      <c r="R169" s="70">
        <f t="shared" si="2"/>
        <v>0</v>
      </c>
      <c r="S169" s="37" t="str">
        <f>IF(H169="Rendida ",IF('Resultados Individuales'!R169&lt;49.5%,"Por Mejorar",IF('Resultados Individuales'!R169&lt;64.5%,"Base",IF('Resultados Individuales'!R169&lt;84.5%,"Satisfactorio","Óptimo"))),"No rendida o no válida")</f>
        <v>No rendida o no válida</v>
      </c>
    </row>
    <row r="170" spans="1:19">
      <c r="A170" s="29"/>
      <c r="B170" s="67"/>
      <c r="C170" s="67"/>
      <c r="D170" s="66"/>
      <c r="E170" s="66"/>
      <c r="F170" s="66"/>
      <c r="G170" s="29"/>
      <c r="H170" s="29"/>
      <c r="I170" s="29"/>
      <c r="J170" s="29"/>
      <c r="K170" s="29"/>
      <c r="L170" s="29"/>
      <c r="M170" s="29"/>
      <c r="N170" s="29"/>
      <c r="O170" s="29"/>
      <c r="P170" s="29"/>
      <c r="Q170" s="37">
        <f>SUM(K170:P170)</f>
        <v>0</v>
      </c>
      <c r="R170" s="70">
        <f t="shared" si="2"/>
        <v>0</v>
      </c>
      <c r="S170" s="37" t="str">
        <f>IF(H170="Rendida ",IF('Resultados Individuales'!R170&lt;49.5%,"Por Mejorar",IF('Resultados Individuales'!R170&lt;64.5%,"Base",IF('Resultados Individuales'!R170&lt;84.5%,"Satisfactorio","Óptimo"))),"No rendida o no válida")</f>
        <v>No rendida o no válida</v>
      </c>
    </row>
    <row r="171" spans="1:19">
      <c r="A171" s="29"/>
      <c r="B171" s="67"/>
      <c r="C171" s="67"/>
      <c r="D171" s="66"/>
      <c r="E171" s="66"/>
      <c r="F171" s="66"/>
      <c r="G171" s="29"/>
      <c r="H171" s="29"/>
      <c r="I171" s="29"/>
      <c r="J171" s="29"/>
      <c r="K171" s="29"/>
      <c r="L171" s="29"/>
      <c r="M171" s="29"/>
      <c r="N171" s="29"/>
      <c r="O171" s="29"/>
      <c r="P171" s="29"/>
      <c r="Q171" s="37">
        <f>SUM(K171:P171)</f>
        <v>0</v>
      </c>
      <c r="R171" s="70">
        <f t="shared" si="2"/>
        <v>0</v>
      </c>
      <c r="S171" s="37" t="str">
        <f>IF(H171="Rendida ",IF('Resultados Individuales'!R171&lt;49.5%,"Por Mejorar",IF('Resultados Individuales'!R171&lt;64.5%,"Base",IF('Resultados Individuales'!R171&lt;84.5%,"Satisfactorio","Óptimo"))),"No rendida o no válida")</f>
        <v>No rendida o no válida</v>
      </c>
    </row>
    <row r="172" spans="1:19">
      <c r="A172" s="29"/>
      <c r="B172" s="67"/>
      <c r="C172" s="67"/>
      <c r="D172" s="66"/>
      <c r="E172" s="66"/>
      <c r="F172" s="66"/>
      <c r="G172" s="29"/>
      <c r="H172" s="29"/>
      <c r="I172" s="29"/>
      <c r="J172" s="29"/>
      <c r="K172" s="29"/>
      <c r="L172" s="29"/>
      <c r="M172" s="29"/>
      <c r="N172" s="29"/>
      <c r="O172" s="29"/>
      <c r="P172" s="29"/>
      <c r="Q172" s="37">
        <f>SUM(K172:P172)</f>
        <v>0</v>
      </c>
      <c r="R172" s="70">
        <f t="shared" si="2"/>
        <v>0</v>
      </c>
      <c r="S172" s="37" t="str">
        <f>IF(H172="Rendida ",IF('Resultados Individuales'!R172&lt;49.5%,"Por Mejorar",IF('Resultados Individuales'!R172&lt;64.5%,"Base",IF('Resultados Individuales'!R172&lt;84.5%,"Satisfactorio","Óptimo"))),"No rendida o no válida")</f>
        <v>No rendida o no válida</v>
      </c>
    </row>
    <row r="173" spans="1:19">
      <c r="A173" s="29"/>
      <c r="B173" s="67"/>
      <c r="C173" s="67"/>
      <c r="D173" s="66"/>
      <c r="E173" s="66"/>
      <c r="F173" s="66"/>
      <c r="G173" s="29"/>
      <c r="H173" s="29"/>
      <c r="I173" s="29"/>
      <c r="J173" s="29"/>
      <c r="K173" s="29"/>
      <c r="L173" s="29"/>
      <c r="M173" s="29"/>
      <c r="N173" s="29"/>
      <c r="O173" s="29"/>
      <c r="P173" s="29"/>
      <c r="Q173" s="37">
        <f>SUM(K173:P173)</f>
        <v>0</v>
      </c>
      <c r="R173" s="70">
        <f t="shared" si="2"/>
        <v>0</v>
      </c>
      <c r="S173" s="37" t="str">
        <f>IF(H173="Rendida ",IF('Resultados Individuales'!R173&lt;49.5%,"Por Mejorar",IF('Resultados Individuales'!R173&lt;64.5%,"Base",IF('Resultados Individuales'!R173&lt;84.5%,"Satisfactorio","Óptimo"))),"No rendida o no válida")</f>
        <v>No rendida o no válida</v>
      </c>
    </row>
    <row r="174" spans="1:19">
      <c r="A174" s="29"/>
      <c r="B174" s="67"/>
      <c r="C174" s="67"/>
      <c r="D174" s="66"/>
      <c r="E174" s="66"/>
      <c r="F174" s="66"/>
      <c r="G174" s="29"/>
      <c r="H174" s="29"/>
      <c r="I174" s="29"/>
      <c r="J174" s="29"/>
      <c r="K174" s="29"/>
      <c r="L174" s="29"/>
      <c r="M174" s="29"/>
      <c r="N174" s="29"/>
      <c r="O174" s="29"/>
      <c r="P174" s="29"/>
      <c r="Q174" s="37">
        <f>SUM(K174:P174)</f>
        <v>0</v>
      </c>
      <c r="R174" s="70">
        <f t="shared" si="2"/>
        <v>0</v>
      </c>
      <c r="S174" s="37" t="str">
        <f>IF(H174="Rendida ",IF('Resultados Individuales'!R174&lt;49.5%,"Por Mejorar",IF('Resultados Individuales'!R174&lt;64.5%,"Base",IF('Resultados Individuales'!R174&lt;84.5%,"Satisfactorio","Óptimo"))),"No rendida o no válida")</f>
        <v>No rendida o no válida</v>
      </c>
    </row>
    <row r="175" spans="1:19">
      <c r="A175" s="29"/>
      <c r="B175" s="67"/>
      <c r="C175" s="67"/>
      <c r="D175" s="66"/>
      <c r="E175" s="66"/>
      <c r="F175" s="66"/>
      <c r="G175" s="29"/>
      <c r="H175" s="29"/>
      <c r="I175" s="29"/>
      <c r="J175" s="29"/>
      <c r="K175" s="29"/>
      <c r="L175" s="29"/>
      <c r="M175" s="29"/>
      <c r="N175" s="29"/>
      <c r="O175" s="29"/>
      <c r="P175" s="29"/>
      <c r="Q175" s="37">
        <f>SUM(K175:P175)</f>
        <v>0</v>
      </c>
      <c r="R175" s="70">
        <f t="shared" si="2"/>
        <v>0</v>
      </c>
      <c r="S175" s="37" t="str">
        <f>IF(H175="Rendida ",IF('Resultados Individuales'!R175&lt;49.5%,"Por Mejorar",IF('Resultados Individuales'!R175&lt;64.5%,"Base",IF('Resultados Individuales'!R175&lt;84.5%,"Satisfactorio","Óptimo"))),"No rendida o no válida")</f>
        <v>No rendida o no válida</v>
      </c>
    </row>
    <row r="176" spans="1:19">
      <c r="A176" s="29"/>
      <c r="B176" s="67"/>
      <c r="C176" s="67"/>
      <c r="D176" s="66"/>
      <c r="E176" s="66"/>
      <c r="F176" s="66"/>
      <c r="G176" s="29"/>
      <c r="H176" s="29"/>
      <c r="I176" s="29"/>
      <c r="J176" s="29"/>
      <c r="K176" s="29"/>
      <c r="L176" s="29"/>
      <c r="M176" s="29"/>
      <c r="N176" s="29"/>
      <c r="O176" s="29"/>
      <c r="P176" s="29"/>
      <c r="Q176" s="37">
        <f>SUM(K176:P176)</f>
        <v>0</v>
      </c>
      <c r="R176" s="70">
        <f t="shared" si="2"/>
        <v>0</v>
      </c>
      <c r="S176" s="37" t="str">
        <f>IF(H176="Rendida ",IF('Resultados Individuales'!R176&lt;49.5%,"Por Mejorar",IF('Resultados Individuales'!R176&lt;64.5%,"Base",IF('Resultados Individuales'!R176&lt;84.5%,"Satisfactorio","Óptimo"))),"No rendida o no válida")</f>
        <v>No rendida o no válida</v>
      </c>
    </row>
    <row r="177" spans="1:19">
      <c r="A177" s="29"/>
      <c r="B177" s="67"/>
      <c r="C177" s="67"/>
      <c r="D177" s="66"/>
      <c r="E177" s="66"/>
      <c r="F177" s="66"/>
      <c r="G177" s="29"/>
      <c r="H177" s="29"/>
      <c r="I177" s="29"/>
      <c r="J177" s="29"/>
      <c r="K177" s="29"/>
      <c r="L177" s="29"/>
      <c r="M177" s="29"/>
      <c r="N177" s="29"/>
      <c r="O177" s="29"/>
      <c r="P177" s="29"/>
      <c r="Q177" s="37">
        <f>SUM(K177:P177)</f>
        <v>0</v>
      </c>
      <c r="R177" s="70">
        <f t="shared" si="2"/>
        <v>0</v>
      </c>
      <c r="S177" s="37" t="str">
        <f>IF(H177="Rendida ",IF('Resultados Individuales'!R177&lt;49.5%,"Por Mejorar",IF('Resultados Individuales'!R177&lt;64.5%,"Base",IF('Resultados Individuales'!R177&lt;84.5%,"Satisfactorio","Óptimo"))),"No rendida o no válida")</f>
        <v>No rendida o no válida</v>
      </c>
    </row>
    <row r="178" spans="1:19">
      <c r="A178" s="29"/>
      <c r="B178" s="67"/>
      <c r="C178" s="67"/>
      <c r="D178" s="66"/>
      <c r="E178" s="66"/>
      <c r="F178" s="66"/>
      <c r="G178" s="29"/>
      <c r="H178" s="29"/>
      <c r="I178" s="29"/>
      <c r="J178" s="29"/>
      <c r="K178" s="29"/>
      <c r="L178" s="29"/>
      <c r="M178" s="29"/>
      <c r="N178" s="29"/>
      <c r="O178" s="29"/>
      <c r="P178" s="29"/>
      <c r="Q178" s="37">
        <f>SUM(K178:P178)</f>
        <v>0</v>
      </c>
      <c r="R178" s="70">
        <f t="shared" si="2"/>
        <v>0</v>
      </c>
      <c r="S178" s="37" t="str">
        <f>IF(H178="Rendida ",IF('Resultados Individuales'!R178&lt;49.5%,"Por Mejorar",IF('Resultados Individuales'!R178&lt;64.5%,"Base",IF('Resultados Individuales'!R178&lt;84.5%,"Satisfactorio","Óptimo"))),"No rendida o no válida")</f>
        <v>No rendida o no válida</v>
      </c>
    </row>
    <row r="179" spans="1:19">
      <c r="A179" s="29"/>
      <c r="B179" s="67"/>
      <c r="C179" s="67"/>
      <c r="D179" s="66"/>
      <c r="E179" s="66"/>
      <c r="F179" s="66"/>
      <c r="G179" s="29"/>
      <c r="H179" s="29"/>
      <c r="I179" s="29"/>
      <c r="J179" s="29"/>
      <c r="K179" s="29"/>
      <c r="L179" s="29"/>
      <c r="M179" s="29"/>
      <c r="N179" s="29"/>
      <c r="O179" s="29"/>
      <c r="P179" s="29"/>
      <c r="Q179" s="37">
        <f>SUM(K179:P179)</f>
        <v>0</v>
      </c>
      <c r="R179" s="70">
        <f t="shared" si="2"/>
        <v>0</v>
      </c>
      <c r="S179" s="37" t="str">
        <f>IF(H179="Rendida ",IF('Resultados Individuales'!R179&lt;49.5%,"Por Mejorar",IF('Resultados Individuales'!R179&lt;64.5%,"Base",IF('Resultados Individuales'!R179&lt;84.5%,"Satisfactorio","Óptimo"))),"No rendida o no válida")</f>
        <v>No rendida o no válida</v>
      </c>
    </row>
    <row r="180" spans="1:19">
      <c r="A180" s="29"/>
      <c r="B180" s="67"/>
      <c r="C180" s="67"/>
      <c r="D180" s="66"/>
      <c r="E180" s="66"/>
      <c r="F180" s="66"/>
      <c r="G180" s="29"/>
      <c r="H180" s="29"/>
      <c r="I180" s="29"/>
      <c r="J180" s="29"/>
      <c r="K180" s="29"/>
      <c r="L180" s="29"/>
      <c r="M180" s="29"/>
      <c r="N180" s="29"/>
      <c r="O180" s="29"/>
      <c r="P180" s="29"/>
      <c r="Q180" s="37">
        <f>SUM(K180:P180)</f>
        <v>0</v>
      </c>
      <c r="R180" s="70">
        <f t="shared" si="2"/>
        <v>0</v>
      </c>
      <c r="S180" s="37" t="str">
        <f>IF(H180="Rendida ",IF('Resultados Individuales'!R180&lt;49.5%,"Por Mejorar",IF('Resultados Individuales'!R180&lt;64.5%,"Base",IF('Resultados Individuales'!R180&lt;84.5%,"Satisfactorio","Óptimo"))),"No rendida o no válida")</f>
        <v>No rendida o no válida</v>
      </c>
    </row>
    <row r="181" spans="1:19">
      <c r="A181" s="29"/>
      <c r="B181" s="67"/>
      <c r="C181" s="67"/>
      <c r="D181" s="66"/>
      <c r="E181" s="66"/>
      <c r="F181" s="66"/>
      <c r="G181" s="29"/>
      <c r="H181" s="29"/>
      <c r="I181" s="29"/>
      <c r="J181" s="29"/>
      <c r="K181" s="29"/>
      <c r="L181" s="29"/>
      <c r="M181" s="29"/>
      <c r="N181" s="29"/>
      <c r="O181" s="29"/>
      <c r="P181" s="29"/>
      <c r="Q181" s="37">
        <f>SUM(K181:P181)</f>
        <v>0</v>
      </c>
      <c r="R181" s="70">
        <f t="shared" si="2"/>
        <v>0</v>
      </c>
      <c r="S181" s="37" t="str">
        <f>IF(H181="Rendida ",IF('Resultados Individuales'!R181&lt;49.5%,"Por Mejorar",IF('Resultados Individuales'!R181&lt;64.5%,"Base",IF('Resultados Individuales'!R181&lt;84.5%,"Satisfactorio","Óptimo"))),"No rendida o no válida")</f>
        <v>No rendida o no válida</v>
      </c>
    </row>
    <row r="182" spans="1:19">
      <c r="A182" s="29"/>
      <c r="B182" s="67"/>
      <c r="C182" s="67"/>
      <c r="D182" s="66"/>
      <c r="E182" s="66"/>
      <c r="F182" s="66"/>
      <c r="G182" s="29"/>
      <c r="H182" s="29"/>
      <c r="I182" s="29"/>
      <c r="J182" s="29"/>
      <c r="K182" s="29"/>
      <c r="L182" s="29"/>
      <c r="M182" s="29"/>
      <c r="N182" s="29"/>
      <c r="O182" s="29"/>
      <c r="P182" s="29"/>
      <c r="Q182" s="37">
        <f>SUM(K182:P182)</f>
        <v>0</v>
      </c>
      <c r="R182" s="70">
        <f t="shared" si="2"/>
        <v>0</v>
      </c>
      <c r="S182" s="37" t="str">
        <f>IF(H182="Rendida ",IF('Resultados Individuales'!R182&lt;49.5%,"Por Mejorar",IF('Resultados Individuales'!R182&lt;64.5%,"Base",IF('Resultados Individuales'!R182&lt;84.5%,"Satisfactorio","Óptimo"))),"No rendida o no válida")</f>
        <v>No rendida o no válida</v>
      </c>
    </row>
    <row r="183" spans="1:19">
      <c r="A183" s="29"/>
      <c r="B183" s="67"/>
      <c r="C183" s="67"/>
      <c r="D183" s="66"/>
      <c r="E183" s="66"/>
      <c r="F183" s="66"/>
      <c r="G183" s="29"/>
      <c r="H183" s="29"/>
      <c r="I183" s="29"/>
      <c r="J183" s="29"/>
      <c r="K183" s="29"/>
      <c r="L183" s="29"/>
      <c r="M183" s="29"/>
      <c r="N183" s="29"/>
      <c r="O183" s="29"/>
      <c r="P183" s="29"/>
      <c r="Q183" s="37">
        <f>SUM(K183:P183)</f>
        <v>0</v>
      </c>
      <c r="R183" s="70">
        <f t="shared" si="2"/>
        <v>0</v>
      </c>
      <c r="S183" s="37" t="str">
        <f>IF(H183="Rendida ",IF('Resultados Individuales'!R183&lt;49.5%,"Por Mejorar",IF('Resultados Individuales'!R183&lt;64.5%,"Base",IF('Resultados Individuales'!R183&lt;84.5%,"Satisfactorio","Óptimo"))),"No rendida o no válida")</f>
        <v>No rendida o no válida</v>
      </c>
    </row>
    <row r="184" spans="1:19">
      <c r="A184" s="29"/>
      <c r="B184" s="67"/>
      <c r="C184" s="67"/>
      <c r="D184" s="66"/>
      <c r="E184" s="66"/>
      <c r="F184" s="66"/>
      <c r="G184" s="29"/>
      <c r="H184" s="29"/>
      <c r="I184" s="29"/>
      <c r="J184" s="29"/>
      <c r="K184" s="29"/>
      <c r="L184" s="29"/>
      <c r="M184" s="29"/>
      <c r="N184" s="29"/>
      <c r="O184" s="29"/>
      <c r="P184" s="29"/>
      <c r="Q184" s="37">
        <f>SUM(K184:P184)</f>
        <v>0</v>
      </c>
      <c r="R184" s="70">
        <f t="shared" si="2"/>
        <v>0</v>
      </c>
      <c r="S184" s="37" t="str">
        <f>IF(H184="Rendida ",IF('Resultados Individuales'!R184&lt;49.5%,"Por Mejorar",IF('Resultados Individuales'!R184&lt;64.5%,"Base",IF('Resultados Individuales'!R184&lt;84.5%,"Satisfactorio","Óptimo"))),"No rendida o no válida")</f>
        <v>No rendida o no válida</v>
      </c>
    </row>
    <row r="185" spans="1:19">
      <c r="A185" s="29"/>
      <c r="B185" s="67"/>
      <c r="C185" s="67"/>
      <c r="D185" s="66"/>
      <c r="E185" s="66"/>
      <c r="F185" s="66"/>
      <c r="G185" s="29"/>
      <c r="H185" s="29"/>
      <c r="I185" s="29"/>
      <c r="J185" s="29"/>
      <c r="K185" s="29"/>
      <c r="L185" s="29"/>
      <c r="M185" s="29"/>
      <c r="N185" s="29"/>
      <c r="O185" s="29"/>
      <c r="P185" s="29"/>
      <c r="Q185" s="37">
        <f>SUM(K185:P185)</f>
        <v>0</v>
      </c>
      <c r="R185" s="70">
        <f t="shared" si="2"/>
        <v>0</v>
      </c>
      <c r="S185" s="37" t="str">
        <f>IF(H185="Rendida ",IF('Resultados Individuales'!R185&lt;49.5%,"Por Mejorar",IF('Resultados Individuales'!R185&lt;64.5%,"Base",IF('Resultados Individuales'!R185&lt;84.5%,"Satisfactorio","Óptimo"))),"No rendida o no válida")</f>
        <v>No rendida o no válida</v>
      </c>
    </row>
    <row r="186" spans="1:19">
      <c r="A186" s="29"/>
      <c r="B186" s="67"/>
      <c r="C186" s="67"/>
      <c r="D186" s="66"/>
      <c r="E186" s="66"/>
      <c r="F186" s="66"/>
      <c r="G186" s="29"/>
      <c r="H186" s="29"/>
      <c r="I186" s="29"/>
      <c r="J186" s="29"/>
      <c r="K186" s="29"/>
      <c r="L186" s="29"/>
      <c r="M186" s="29"/>
      <c r="N186" s="29"/>
      <c r="O186" s="29"/>
      <c r="P186" s="29"/>
      <c r="Q186" s="37">
        <f>SUM(K186:P186)</f>
        <v>0</v>
      </c>
      <c r="R186" s="70">
        <f t="shared" si="2"/>
        <v>0</v>
      </c>
      <c r="S186" s="37" t="str">
        <f>IF(H186="Rendida ",IF('Resultados Individuales'!R186&lt;49.5%,"Por Mejorar",IF('Resultados Individuales'!R186&lt;64.5%,"Base",IF('Resultados Individuales'!R186&lt;84.5%,"Satisfactorio","Óptimo"))),"No rendida o no válida")</f>
        <v>No rendida o no válida</v>
      </c>
    </row>
    <row r="187" spans="1:19">
      <c r="A187" s="29"/>
      <c r="B187" s="67"/>
      <c r="C187" s="67"/>
      <c r="D187" s="66"/>
      <c r="E187" s="66"/>
      <c r="F187" s="66"/>
      <c r="G187" s="29"/>
      <c r="H187" s="29"/>
      <c r="I187" s="29"/>
      <c r="J187" s="29"/>
      <c r="K187" s="29"/>
      <c r="L187" s="29"/>
      <c r="M187" s="29"/>
      <c r="N187" s="29"/>
      <c r="O187" s="29"/>
      <c r="P187" s="29"/>
      <c r="Q187" s="37">
        <f>SUM(K187:P187)</f>
        <v>0</v>
      </c>
      <c r="R187" s="70">
        <f t="shared" si="2"/>
        <v>0</v>
      </c>
      <c r="S187" s="37" t="str">
        <f>IF(H187="Rendida ",IF('Resultados Individuales'!R187&lt;49.5%,"Por Mejorar",IF('Resultados Individuales'!R187&lt;64.5%,"Base",IF('Resultados Individuales'!R187&lt;84.5%,"Satisfactorio","Óptimo"))),"No rendida o no válida")</f>
        <v>No rendida o no válida</v>
      </c>
    </row>
    <row r="188" spans="1:19">
      <c r="A188" s="29"/>
      <c r="B188" s="67"/>
      <c r="C188" s="67"/>
      <c r="D188" s="66"/>
      <c r="E188" s="66"/>
      <c r="F188" s="66"/>
      <c r="G188" s="29"/>
      <c r="H188" s="29"/>
      <c r="I188" s="29"/>
      <c r="J188" s="29"/>
      <c r="K188" s="29"/>
      <c r="L188" s="29"/>
      <c r="M188" s="29"/>
      <c r="N188" s="29"/>
      <c r="O188" s="29"/>
      <c r="P188" s="29"/>
      <c r="Q188" s="37">
        <f>SUM(K188:P188)</f>
        <v>0</v>
      </c>
      <c r="R188" s="70">
        <f t="shared" si="2"/>
        <v>0</v>
      </c>
      <c r="S188" s="37" t="str">
        <f>IF(H188="Rendida ",IF('Resultados Individuales'!R188&lt;49.5%,"Por Mejorar",IF('Resultados Individuales'!R188&lt;64.5%,"Base",IF('Resultados Individuales'!R188&lt;84.5%,"Satisfactorio","Óptimo"))),"No rendida o no válida")</f>
        <v>No rendida o no válida</v>
      </c>
    </row>
    <row r="189" spans="1:19">
      <c r="A189" s="29"/>
      <c r="B189" s="67"/>
      <c r="C189" s="67"/>
      <c r="D189" s="66"/>
      <c r="E189" s="66"/>
      <c r="F189" s="66"/>
      <c r="G189" s="29"/>
      <c r="H189" s="29"/>
      <c r="I189" s="29"/>
      <c r="J189" s="29"/>
      <c r="K189" s="29"/>
      <c r="L189" s="29"/>
      <c r="M189" s="29"/>
      <c r="N189" s="29"/>
      <c r="O189" s="29"/>
      <c r="P189" s="29"/>
      <c r="Q189" s="37">
        <f>SUM(K189:P189)</f>
        <v>0</v>
      </c>
      <c r="R189" s="70">
        <f t="shared" si="2"/>
        <v>0</v>
      </c>
      <c r="S189" s="37" t="str">
        <f>IF(H189="Rendida ",IF('Resultados Individuales'!R189&lt;49.5%,"Por Mejorar",IF('Resultados Individuales'!R189&lt;64.5%,"Base",IF('Resultados Individuales'!R189&lt;84.5%,"Satisfactorio","Óptimo"))),"No rendida o no válida")</f>
        <v>No rendida o no válida</v>
      </c>
    </row>
    <row r="190" spans="1:19">
      <c r="A190" s="29"/>
      <c r="B190" s="67"/>
      <c r="C190" s="67"/>
      <c r="D190" s="66"/>
      <c r="E190" s="66"/>
      <c r="F190" s="66"/>
      <c r="G190" s="29"/>
      <c r="H190" s="29"/>
      <c r="I190" s="29"/>
      <c r="J190" s="29"/>
      <c r="K190" s="29"/>
      <c r="L190" s="29"/>
      <c r="M190" s="29"/>
      <c r="N190" s="29"/>
      <c r="O190" s="29"/>
      <c r="P190" s="29"/>
      <c r="Q190" s="37">
        <f>SUM(K190:P190)</f>
        <v>0</v>
      </c>
      <c r="R190" s="70">
        <f t="shared" si="2"/>
        <v>0</v>
      </c>
      <c r="S190" s="37" t="str">
        <f>IF(H190="Rendida ",IF('Resultados Individuales'!R190&lt;49.5%,"Por Mejorar",IF('Resultados Individuales'!R190&lt;64.5%,"Base",IF('Resultados Individuales'!R190&lt;84.5%,"Satisfactorio","Óptimo"))),"No rendida o no válida")</f>
        <v>No rendida o no válida</v>
      </c>
    </row>
    <row r="191" spans="1:19">
      <c r="A191" s="29"/>
      <c r="B191" s="67"/>
      <c r="C191" s="67"/>
      <c r="D191" s="66"/>
      <c r="E191" s="66"/>
      <c r="F191" s="66"/>
      <c r="G191" s="29"/>
      <c r="H191" s="29"/>
      <c r="I191" s="29"/>
      <c r="J191" s="29"/>
      <c r="K191" s="29"/>
      <c r="L191" s="29"/>
      <c r="M191" s="29"/>
      <c r="N191" s="29"/>
      <c r="O191" s="29"/>
      <c r="P191" s="29"/>
      <c r="Q191" s="37">
        <f>SUM(K191:P191)</f>
        <v>0</v>
      </c>
      <c r="R191" s="70">
        <f t="shared" si="2"/>
        <v>0</v>
      </c>
      <c r="S191" s="37" t="str">
        <f>IF(H191="Rendida ",IF('Resultados Individuales'!R191&lt;49.5%,"Por Mejorar",IF('Resultados Individuales'!R191&lt;64.5%,"Base",IF('Resultados Individuales'!R191&lt;84.5%,"Satisfactorio","Óptimo"))),"No rendida o no válida")</f>
        <v>No rendida o no válida</v>
      </c>
    </row>
    <row r="192" spans="1:19">
      <c r="A192" s="29"/>
      <c r="B192" s="67"/>
      <c r="C192" s="67"/>
      <c r="D192" s="66"/>
      <c r="E192" s="66"/>
      <c r="F192" s="66"/>
      <c r="G192" s="29"/>
      <c r="H192" s="29"/>
      <c r="I192" s="29"/>
      <c r="J192" s="29"/>
      <c r="K192" s="29"/>
      <c r="L192" s="29"/>
      <c r="M192" s="29"/>
      <c r="N192" s="29"/>
      <c r="O192" s="29"/>
      <c r="P192" s="29"/>
      <c r="Q192" s="37">
        <f>SUM(K192:P192)</f>
        <v>0</v>
      </c>
      <c r="R192" s="70">
        <f t="shared" si="2"/>
        <v>0</v>
      </c>
      <c r="S192" s="37" t="str">
        <f>IF(H192="Rendida ",IF('Resultados Individuales'!R192&lt;49.5%,"Por Mejorar",IF('Resultados Individuales'!R192&lt;64.5%,"Base",IF('Resultados Individuales'!R192&lt;84.5%,"Satisfactorio","Óptimo"))),"No rendida o no válida")</f>
        <v>No rendida o no válida</v>
      </c>
    </row>
    <row r="193" spans="1:19">
      <c r="A193" s="29"/>
      <c r="B193" s="67"/>
      <c r="C193" s="67"/>
      <c r="D193" s="66"/>
      <c r="E193" s="66"/>
      <c r="F193" s="66"/>
      <c r="G193" s="29"/>
      <c r="H193" s="29"/>
      <c r="I193" s="29"/>
      <c r="J193" s="29"/>
      <c r="K193" s="29"/>
      <c r="L193" s="29"/>
      <c r="M193" s="29"/>
      <c r="N193" s="29"/>
      <c r="O193" s="29"/>
      <c r="P193" s="29"/>
      <c r="Q193" s="37">
        <f>SUM(K193:P193)</f>
        <v>0</v>
      </c>
      <c r="R193" s="70">
        <f t="shared" si="2"/>
        <v>0</v>
      </c>
      <c r="S193" s="37" t="str">
        <f>IF(H193="Rendida ",IF('Resultados Individuales'!R193&lt;49.5%,"Por Mejorar",IF('Resultados Individuales'!R193&lt;64.5%,"Base",IF('Resultados Individuales'!R193&lt;84.5%,"Satisfactorio","Óptimo"))),"No rendida o no válida")</f>
        <v>No rendida o no válida</v>
      </c>
    </row>
    <row r="194" spans="1:19">
      <c r="A194" s="29"/>
      <c r="B194" s="67"/>
      <c r="C194" s="67"/>
      <c r="D194" s="66"/>
      <c r="E194" s="66"/>
      <c r="F194" s="66"/>
      <c r="G194" s="29"/>
      <c r="H194" s="29"/>
      <c r="I194" s="29"/>
      <c r="J194" s="29"/>
      <c r="K194" s="29"/>
      <c r="L194" s="29"/>
      <c r="M194" s="29"/>
      <c r="N194" s="29"/>
      <c r="O194" s="29"/>
      <c r="P194" s="29"/>
      <c r="Q194" s="37">
        <f>SUM(K194:P194)</f>
        <v>0</v>
      </c>
      <c r="R194" s="70">
        <f t="shared" si="2"/>
        <v>0</v>
      </c>
      <c r="S194" s="37" t="str">
        <f>IF(H194="Rendida ",IF('Resultados Individuales'!R194&lt;49.5%,"Por Mejorar",IF('Resultados Individuales'!R194&lt;64.5%,"Base",IF('Resultados Individuales'!R194&lt;84.5%,"Satisfactorio","Óptimo"))),"No rendida o no válida")</f>
        <v>No rendida o no válida</v>
      </c>
    </row>
    <row r="195" spans="1:19">
      <c r="A195" s="29"/>
      <c r="B195" s="67"/>
      <c r="C195" s="67"/>
      <c r="D195" s="66"/>
      <c r="E195" s="66"/>
      <c r="F195" s="66"/>
      <c r="G195" s="29"/>
      <c r="H195" s="29"/>
      <c r="I195" s="29"/>
      <c r="J195" s="29"/>
      <c r="K195" s="29"/>
      <c r="L195" s="29"/>
      <c r="M195" s="29"/>
      <c r="N195" s="29"/>
      <c r="O195" s="29"/>
      <c r="P195" s="29"/>
      <c r="Q195" s="37">
        <f>SUM(K195:P195)</f>
        <v>0</v>
      </c>
      <c r="R195" s="70">
        <f t="shared" si="2"/>
        <v>0</v>
      </c>
      <c r="S195" s="37" t="str">
        <f>IF(H195="Rendida ",IF('Resultados Individuales'!R195&lt;49.5%,"Por Mejorar",IF('Resultados Individuales'!R195&lt;64.5%,"Base",IF('Resultados Individuales'!R195&lt;84.5%,"Satisfactorio","Óptimo"))),"No rendida o no válida")</f>
        <v>No rendida o no válida</v>
      </c>
    </row>
    <row r="196" spans="1:19">
      <c r="A196" s="29"/>
      <c r="B196" s="67"/>
      <c r="C196" s="67"/>
      <c r="D196" s="66"/>
      <c r="E196" s="66"/>
      <c r="F196" s="66"/>
      <c r="G196" s="29"/>
      <c r="H196" s="29"/>
      <c r="I196" s="29"/>
      <c r="J196" s="29"/>
      <c r="K196" s="29"/>
      <c r="L196" s="29"/>
      <c r="M196" s="29"/>
      <c r="N196" s="29"/>
      <c r="O196" s="29"/>
      <c r="P196" s="29"/>
      <c r="Q196" s="37">
        <f>SUM(K196:P196)</f>
        <v>0</v>
      </c>
      <c r="R196" s="70">
        <f t="shared" si="2"/>
        <v>0</v>
      </c>
      <c r="S196" s="37" t="str">
        <f>IF(H196="Rendida ",IF('Resultados Individuales'!R196&lt;49.5%,"Por Mejorar",IF('Resultados Individuales'!R196&lt;64.5%,"Base",IF('Resultados Individuales'!R196&lt;84.5%,"Satisfactorio","Óptimo"))),"No rendida o no válida")</f>
        <v>No rendida o no válida</v>
      </c>
    </row>
    <row r="197" spans="1:19">
      <c r="A197" s="29"/>
      <c r="B197" s="67"/>
      <c r="C197" s="67"/>
      <c r="D197" s="66"/>
      <c r="E197" s="66"/>
      <c r="F197" s="66"/>
      <c r="G197" s="29"/>
      <c r="H197" s="29"/>
      <c r="I197" s="29"/>
      <c r="J197" s="29"/>
      <c r="K197" s="29"/>
      <c r="L197" s="29"/>
      <c r="M197" s="29"/>
      <c r="N197" s="29"/>
      <c r="O197" s="29"/>
      <c r="P197" s="29"/>
      <c r="Q197" s="37">
        <f>SUM(K197:P197)</f>
        <v>0</v>
      </c>
      <c r="R197" s="70">
        <f t="shared" ref="R197:R211" si="3">Q197/24</f>
        <v>0</v>
      </c>
      <c r="S197" s="37" t="str">
        <f>IF(H197="Rendida ",IF('Resultados Individuales'!R197&lt;49.5%,"Por Mejorar",IF('Resultados Individuales'!R197&lt;64.5%,"Base",IF('Resultados Individuales'!R197&lt;84.5%,"Satisfactorio","Óptimo"))),"No rendida o no válida")</f>
        <v>No rendida o no válida</v>
      </c>
    </row>
    <row r="198" spans="1:19">
      <c r="A198" s="29"/>
      <c r="B198" s="67"/>
      <c r="C198" s="67"/>
      <c r="D198" s="66"/>
      <c r="E198" s="66"/>
      <c r="F198" s="66"/>
      <c r="G198" s="29"/>
      <c r="H198" s="29"/>
      <c r="I198" s="29"/>
      <c r="J198" s="29"/>
      <c r="K198" s="29"/>
      <c r="L198" s="29"/>
      <c r="M198" s="29"/>
      <c r="N198" s="29"/>
      <c r="O198" s="29"/>
      <c r="P198" s="29"/>
      <c r="Q198" s="37">
        <f>SUM(K198:P198)</f>
        <v>0</v>
      </c>
      <c r="R198" s="70">
        <f t="shared" si="3"/>
        <v>0</v>
      </c>
      <c r="S198" s="37" t="str">
        <f>IF(H198="Rendida ",IF('Resultados Individuales'!R198&lt;49.5%,"Por Mejorar",IF('Resultados Individuales'!R198&lt;64.5%,"Base",IF('Resultados Individuales'!R198&lt;84.5%,"Satisfactorio","Óptimo"))),"No rendida o no válida")</f>
        <v>No rendida o no válida</v>
      </c>
    </row>
    <row r="199" spans="1:19">
      <c r="A199" s="29"/>
      <c r="B199" s="67"/>
      <c r="C199" s="67"/>
      <c r="D199" s="66"/>
      <c r="E199" s="66"/>
      <c r="F199" s="66"/>
      <c r="G199" s="29"/>
      <c r="H199" s="29"/>
      <c r="I199" s="29"/>
      <c r="J199" s="29"/>
      <c r="K199" s="29"/>
      <c r="L199" s="29"/>
      <c r="M199" s="29"/>
      <c r="N199" s="29"/>
      <c r="O199" s="29"/>
      <c r="P199" s="29"/>
      <c r="Q199" s="37">
        <f>SUM(K199:P199)</f>
        <v>0</v>
      </c>
      <c r="R199" s="70">
        <f t="shared" si="3"/>
        <v>0</v>
      </c>
      <c r="S199" s="37" t="str">
        <f>IF(H199="Rendida ",IF('Resultados Individuales'!R199&lt;49.5%,"Por Mejorar",IF('Resultados Individuales'!R199&lt;64.5%,"Base",IF('Resultados Individuales'!R199&lt;84.5%,"Satisfactorio","Óptimo"))),"No rendida o no válida")</f>
        <v>No rendida o no válida</v>
      </c>
    </row>
    <row r="200" spans="1:19">
      <c r="A200" s="29"/>
      <c r="B200" s="67"/>
      <c r="C200" s="67"/>
      <c r="D200" s="66"/>
      <c r="E200" s="66"/>
      <c r="F200" s="66"/>
      <c r="G200" s="29"/>
      <c r="H200" s="29"/>
      <c r="I200" s="29"/>
      <c r="J200" s="29"/>
      <c r="K200" s="29"/>
      <c r="L200" s="29"/>
      <c r="M200" s="29"/>
      <c r="N200" s="29"/>
      <c r="O200" s="29"/>
      <c r="P200" s="29"/>
      <c r="Q200" s="37">
        <f>SUM(K200:P200)</f>
        <v>0</v>
      </c>
      <c r="R200" s="70">
        <f t="shared" si="3"/>
        <v>0</v>
      </c>
      <c r="S200" s="37" t="str">
        <f>IF(H200="Rendida ",IF('Resultados Individuales'!R200&lt;49.5%,"Por Mejorar",IF('Resultados Individuales'!R200&lt;64.5%,"Base",IF('Resultados Individuales'!R200&lt;84.5%,"Satisfactorio","Óptimo"))),"No rendida o no válida")</f>
        <v>No rendida o no válida</v>
      </c>
    </row>
    <row r="201" spans="1:19">
      <c r="A201" s="29"/>
      <c r="B201" s="67"/>
      <c r="C201" s="67"/>
      <c r="D201" s="66"/>
      <c r="E201" s="66"/>
      <c r="F201" s="66"/>
      <c r="G201" s="29"/>
      <c r="H201" s="29"/>
      <c r="I201" s="29"/>
      <c r="J201" s="29"/>
      <c r="K201" s="29"/>
      <c r="L201" s="29"/>
      <c r="M201" s="29"/>
      <c r="N201" s="29"/>
      <c r="O201" s="29"/>
      <c r="P201" s="29"/>
      <c r="Q201" s="37">
        <f>SUM(K201:P201)</f>
        <v>0</v>
      </c>
      <c r="R201" s="70">
        <f t="shared" si="3"/>
        <v>0</v>
      </c>
      <c r="S201" s="37" t="str">
        <f>IF(H201="Rendida ",IF('Resultados Individuales'!R201&lt;49.5%,"Por Mejorar",IF('Resultados Individuales'!R201&lt;64.5%,"Base",IF('Resultados Individuales'!R201&lt;84.5%,"Satisfactorio","Óptimo"))),"No rendida o no válida")</f>
        <v>No rendida o no válida</v>
      </c>
    </row>
    <row r="202" spans="1:19">
      <c r="A202" s="29"/>
      <c r="B202" s="67"/>
      <c r="C202" s="67"/>
      <c r="D202" s="66"/>
      <c r="E202" s="66"/>
      <c r="F202" s="66"/>
      <c r="G202" s="29"/>
      <c r="H202" s="29"/>
      <c r="I202" s="29"/>
      <c r="J202" s="29"/>
      <c r="K202" s="29"/>
      <c r="L202" s="29"/>
      <c r="M202" s="29"/>
      <c r="N202" s="29"/>
      <c r="O202" s="29"/>
      <c r="P202" s="29"/>
      <c r="Q202" s="37">
        <f>SUM(K202:P202)</f>
        <v>0</v>
      </c>
      <c r="R202" s="70">
        <f t="shared" si="3"/>
        <v>0</v>
      </c>
      <c r="S202" s="37" t="str">
        <f>IF(H202="Rendida ",IF('Resultados Individuales'!R202&lt;49.5%,"Por Mejorar",IF('Resultados Individuales'!R202&lt;64.5%,"Base",IF('Resultados Individuales'!R202&lt;84.5%,"Satisfactorio","Óptimo"))),"No rendida o no válida")</f>
        <v>No rendida o no válida</v>
      </c>
    </row>
    <row r="203" spans="1:19">
      <c r="A203" s="29"/>
      <c r="B203" s="67"/>
      <c r="C203" s="67"/>
      <c r="D203" s="66"/>
      <c r="E203" s="66"/>
      <c r="F203" s="66"/>
      <c r="G203" s="29"/>
      <c r="H203" s="29"/>
      <c r="I203" s="29"/>
      <c r="J203" s="29"/>
      <c r="K203" s="29"/>
      <c r="L203" s="29"/>
      <c r="M203" s="29"/>
      <c r="N203" s="29"/>
      <c r="O203" s="29"/>
      <c r="P203" s="29"/>
      <c r="Q203" s="37">
        <f>SUM(K203:P203)</f>
        <v>0</v>
      </c>
      <c r="R203" s="70">
        <f t="shared" si="3"/>
        <v>0</v>
      </c>
      <c r="S203" s="37" t="str">
        <f>IF(H203="Rendida ",IF('Resultados Individuales'!R203&lt;49.5%,"Por Mejorar",IF('Resultados Individuales'!R203&lt;64.5%,"Base",IF('Resultados Individuales'!R203&lt;84.5%,"Satisfactorio","Óptimo"))),"No rendida o no válida")</f>
        <v>No rendida o no válida</v>
      </c>
    </row>
    <row r="204" spans="1:19">
      <c r="A204" s="29"/>
      <c r="B204" s="67"/>
      <c r="C204" s="67"/>
      <c r="D204" s="66"/>
      <c r="E204" s="66"/>
      <c r="F204" s="66"/>
      <c r="G204" s="29"/>
      <c r="H204" s="29"/>
      <c r="I204" s="29"/>
      <c r="J204" s="29"/>
      <c r="K204" s="29"/>
      <c r="L204" s="29"/>
      <c r="M204" s="29"/>
      <c r="N204" s="29"/>
      <c r="O204" s="29"/>
      <c r="P204" s="29"/>
      <c r="Q204" s="37">
        <f>SUM(K204:P204)</f>
        <v>0</v>
      </c>
      <c r="R204" s="70">
        <f t="shared" si="3"/>
        <v>0</v>
      </c>
      <c r="S204" s="37" t="str">
        <f>IF(H204="Rendida ",IF('Resultados Individuales'!R204&lt;49.5%,"Por Mejorar",IF('Resultados Individuales'!R204&lt;64.5%,"Base",IF('Resultados Individuales'!R204&lt;84.5%,"Satisfactorio","Óptimo"))),"No rendida o no válida")</f>
        <v>No rendida o no válida</v>
      </c>
    </row>
    <row r="205" spans="1:19">
      <c r="A205" s="29"/>
      <c r="B205" s="67"/>
      <c r="C205" s="67"/>
      <c r="D205" s="66"/>
      <c r="E205" s="66"/>
      <c r="F205" s="66"/>
      <c r="G205" s="29"/>
      <c r="H205" s="29"/>
      <c r="I205" s="29"/>
      <c r="J205" s="29"/>
      <c r="K205" s="29"/>
      <c r="L205" s="29"/>
      <c r="M205" s="29"/>
      <c r="N205" s="29"/>
      <c r="O205" s="29"/>
      <c r="P205" s="29"/>
      <c r="Q205" s="37">
        <f>SUM(K205:P205)</f>
        <v>0</v>
      </c>
      <c r="R205" s="70">
        <f t="shared" si="3"/>
        <v>0</v>
      </c>
      <c r="S205" s="37" t="str">
        <f>IF(H205="Rendida ",IF('Resultados Individuales'!R205&lt;49.5%,"Por Mejorar",IF('Resultados Individuales'!R205&lt;64.5%,"Base",IF('Resultados Individuales'!R205&lt;84.5%,"Satisfactorio","Óptimo"))),"No rendida o no válida")</f>
        <v>No rendida o no válida</v>
      </c>
    </row>
    <row r="206" spans="1:19">
      <c r="A206" s="29"/>
      <c r="B206" s="67"/>
      <c r="C206" s="67"/>
      <c r="D206" s="66"/>
      <c r="E206" s="66"/>
      <c r="F206" s="66"/>
      <c r="G206" s="29"/>
      <c r="H206" s="29"/>
      <c r="I206" s="29"/>
      <c r="J206" s="29"/>
      <c r="K206" s="29"/>
      <c r="L206" s="29"/>
      <c r="M206" s="29"/>
      <c r="N206" s="29"/>
      <c r="O206" s="29"/>
      <c r="P206" s="29"/>
      <c r="Q206" s="37">
        <f>SUM(K206:P206)</f>
        <v>0</v>
      </c>
      <c r="R206" s="70">
        <f t="shared" si="3"/>
        <v>0</v>
      </c>
      <c r="S206" s="37" t="str">
        <f>IF(H206="Rendida ",IF('Resultados Individuales'!R206&lt;49.5%,"Por Mejorar",IF('Resultados Individuales'!R206&lt;64.5%,"Base",IF('Resultados Individuales'!R206&lt;84.5%,"Satisfactorio","Óptimo"))),"No rendida o no válida")</f>
        <v>No rendida o no válida</v>
      </c>
    </row>
    <row r="207" spans="1:19">
      <c r="A207" s="29"/>
      <c r="B207" s="67"/>
      <c r="C207" s="67"/>
      <c r="D207" s="66"/>
      <c r="E207" s="66"/>
      <c r="F207" s="66"/>
      <c r="G207" s="29"/>
      <c r="H207" s="29"/>
      <c r="I207" s="29"/>
      <c r="J207" s="29"/>
      <c r="K207" s="29"/>
      <c r="L207" s="29"/>
      <c r="M207" s="29"/>
      <c r="N207" s="29"/>
      <c r="O207" s="29"/>
      <c r="P207" s="29"/>
      <c r="Q207" s="37">
        <f>SUM(K207:P207)</f>
        <v>0</v>
      </c>
      <c r="R207" s="70">
        <f t="shared" si="3"/>
        <v>0</v>
      </c>
      <c r="S207" s="37" t="str">
        <f>IF(H207="Rendida ",IF('Resultados Individuales'!R207&lt;49.5%,"Por Mejorar",IF('Resultados Individuales'!R207&lt;64.5%,"Base",IF('Resultados Individuales'!R207&lt;84.5%,"Satisfactorio","Óptimo"))),"No rendida o no válida")</f>
        <v>No rendida o no válida</v>
      </c>
    </row>
    <row r="208" spans="1:19">
      <c r="A208" s="29"/>
      <c r="B208" s="67"/>
      <c r="C208" s="67"/>
      <c r="D208" s="66"/>
      <c r="E208" s="66"/>
      <c r="F208" s="66"/>
      <c r="G208" s="29"/>
      <c r="H208" s="29"/>
      <c r="I208" s="29"/>
      <c r="J208" s="29"/>
      <c r="K208" s="29"/>
      <c r="L208" s="29"/>
      <c r="M208" s="29"/>
      <c r="N208" s="29"/>
      <c r="O208" s="29"/>
      <c r="P208" s="29"/>
      <c r="Q208" s="37">
        <f>SUM(K208:P208)</f>
        <v>0</v>
      </c>
      <c r="R208" s="70">
        <f t="shared" si="3"/>
        <v>0</v>
      </c>
      <c r="S208" s="37" t="str">
        <f>IF(H208="Rendida ",IF('Resultados Individuales'!R208&lt;49.5%,"Por Mejorar",IF('Resultados Individuales'!R208&lt;64.5%,"Base",IF('Resultados Individuales'!R208&lt;84.5%,"Satisfactorio","Óptimo"))),"No rendida o no válida")</f>
        <v>No rendida o no válida</v>
      </c>
    </row>
    <row r="209" spans="1:19">
      <c r="A209" s="29"/>
      <c r="B209" s="67"/>
      <c r="C209" s="67"/>
      <c r="D209" s="66"/>
      <c r="E209" s="66"/>
      <c r="F209" s="66"/>
      <c r="G209" s="29"/>
      <c r="H209" s="29"/>
      <c r="I209" s="29"/>
      <c r="J209" s="29"/>
      <c r="K209" s="29"/>
      <c r="L209" s="29"/>
      <c r="M209" s="29"/>
      <c r="N209" s="29"/>
      <c r="O209" s="29"/>
      <c r="P209" s="29"/>
      <c r="Q209" s="37">
        <f>SUM(K209:P209)</f>
        <v>0</v>
      </c>
      <c r="R209" s="70">
        <f t="shared" si="3"/>
        <v>0</v>
      </c>
      <c r="S209" s="37" t="str">
        <f>IF(H209="Rendida ",IF('Resultados Individuales'!R209&lt;49.5%,"Por Mejorar",IF('Resultados Individuales'!R209&lt;64.5%,"Base",IF('Resultados Individuales'!R209&lt;84.5%,"Satisfactorio","Óptimo"))),"No rendida o no válida")</f>
        <v>No rendida o no válida</v>
      </c>
    </row>
    <row r="210" spans="1:19">
      <c r="A210" s="29"/>
      <c r="B210" s="67"/>
      <c r="C210" s="67"/>
      <c r="D210" s="66"/>
      <c r="E210" s="66"/>
      <c r="F210" s="66"/>
      <c r="G210" s="29"/>
      <c r="H210" s="29"/>
      <c r="I210" s="29"/>
      <c r="J210" s="29"/>
      <c r="K210" s="29"/>
      <c r="L210" s="29"/>
      <c r="M210" s="29"/>
      <c r="N210" s="29"/>
      <c r="O210" s="29"/>
      <c r="P210" s="29"/>
      <c r="Q210" s="37">
        <f>SUM(K210:P210)</f>
        <v>0</v>
      </c>
      <c r="R210" s="70">
        <f t="shared" si="3"/>
        <v>0</v>
      </c>
      <c r="S210" s="37" t="str">
        <f>IF(H210="Rendida ",IF('Resultados Individuales'!R210&lt;49.5%,"Por Mejorar",IF('Resultados Individuales'!R210&lt;64.5%,"Base",IF('Resultados Individuales'!R210&lt;84.5%,"Satisfactorio","Óptimo"))),"No rendida o no válida")</f>
        <v>No rendida o no válida</v>
      </c>
    </row>
    <row r="211" spans="1:19">
      <c r="A211" s="29"/>
      <c r="B211" s="67"/>
      <c r="C211" s="67"/>
      <c r="D211" s="66"/>
      <c r="E211" s="66"/>
      <c r="F211" s="66"/>
      <c r="G211" s="29"/>
      <c r="H211" s="29"/>
      <c r="I211" s="29"/>
      <c r="J211" s="29"/>
      <c r="K211" s="29"/>
      <c r="L211" s="29"/>
      <c r="M211" s="29"/>
      <c r="N211" s="29"/>
      <c r="O211" s="29"/>
      <c r="P211" s="29"/>
      <c r="Q211" s="37">
        <f>SUM(K211:P211)</f>
        <v>0</v>
      </c>
      <c r="R211" s="70">
        <f t="shared" si="3"/>
        <v>0</v>
      </c>
      <c r="S211" s="37" t="str">
        <f>IF(H211="Rendida ",IF('Resultados Individuales'!R211&lt;49.5%,"Por Mejorar",IF('Resultados Individuales'!R211&lt;64.5%,"Base",IF('Resultados Individuales'!R211&lt;84.5%,"Satisfactorio","Óptimo"))),"No rendida o no válida")</f>
        <v>No rendida o no válida</v>
      </c>
    </row>
  </sheetData>
  <mergeCells count="3">
    <mergeCell ref="Q1:S2"/>
    <mergeCell ref="A1:J2"/>
    <mergeCell ref="K1:P2"/>
  </mergeCells>
  <phoneticPr fontId="13" type="noConversion"/>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814046D8-0D01-4803-92BA-E5A904CCFC14}">
          <x14:formula1>
            <xm:f>'Validación datos NO BORRAR'!$F$4:$F$7</xm:f>
          </x14:formula1>
          <xm:sqref>H4:H211</xm:sqref>
        </x14:dataValidation>
        <x14:dataValidation type="list" allowBlank="1" showInputMessage="1" showErrorMessage="1" xr:uid="{EEE5D106-6DEF-4A5D-9A4C-E1CD814D0053}">
          <x14:formula1>
            <xm:f>'Validación datos NO BORRAR'!$G$4:$G$6</xm:f>
          </x14:formula1>
          <xm:sqref>J4:J154</xm:sqref>
        </x14:dataValidation>
        <x14:dataValidation type="list" allowBlank="1" showInputMessage="1" showErrorMessage="1" xr:uid="{5981835F-D36D-4992-9119-6192405E2844}">
          <x14:formula1>
            <xm:f>'Validación datos NO BORRAR'!$H$5:$H$8</xm:f>
          </x14:formula1>
          <xm:sqref>K55:P211</xm:sqref>
        </x14:dataValidation>
        <x14:dataValidation type="list" allowBlank="1" showInputMessage="1" showErrorMessage="1" xr:uid="{7DE17E7A-19A6-4204-A280-9A358F46EFA7}">
          <x14:formula1>
            <xm:f>'Validación datos NO BORRAR'!$H$4:$H$8</xm:f>
          </x14:formula1>
          <xm:sqref>K4:P54</xm:sqref>
        </x14:dataValidation>
        <x14:dataValidation type="list" allowBlank="1" showInputMessage="1" showErrorMessage="1" xr:uid="{C80E4FF3-F04B-424A-9E02-87A32A990A2A}">
          <x14:formula1>
            <xm:f>'Validación datos NO BORRAR'!$E$4:$E$9</xm:f>
          </x14:formula1>
          <xm:sqref>G4:G211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L3"/>
  <sheetViews>
    <sheetView workbookViewId="0">
      <selection activeCell="A5" sqref="A5"/>
    </sheetView>
  </sheetViews>
  <sheetFormatPr defaultColWidth="11.42578125" defaultRowHeight="15"/>
  <cols>
    <col min="1" max="1" width="18.85546875" customWidth="1"/>
    <col min="2" max="3" width="28.140625" customWidth="1"/>
    <col min="4" max="4" width="20.42578125" customWidth="1"/>
    <col min="5" max="5" width="20.140625" customWidth="1"/>
    <col min="6" max="6" width="20.7109375" customWidth="1"/>
    <col min="7" max="7" width="14.42578125" customWidth="1"/>
    <col min="8" max="8" width="18.42578125" customWidth="1"/>
    <col min="9" max="9" width="22.42578125" customWidth="1"/>
  </cols>
  <sheetData>
    <row r="1" spans="1:12" ht="164.25" customHeight="1" thickBot="1">
      <c r="D1" s="135" t="s">
        <v>190</v>
      </c>
      <c r="E1" s="136"/>
      <c r="F1" s="136"/>
      <c r="G1" s="136"/>
      <c r="H1" s="136"/>
      <c r="I1" s="136"/>
      <c r="J1" s="132" t="s">
        <v>191</v>
      </c>
      <c r="K1" s="133"/>
      <c r="L1" s="134"/>
    </row>
    <row r="2" spans="1:12" ht="150.75" thickBot="1">
      <c r="A2" s="49" t="s">
        <v>192</v>
      </c>
      <c r="B2" s="69" t="s">
        <v>193</v>
      </c>
      <c r="C2" s="69" t="s">
        <v>194</v>
      </c>
      <c r="D2" s="60" t="s">
        <v>55</v>
      </c>
      <c r="E2" s="60" t="s">
        <v>56</v>
      </c>
      <c r="F2" s="60" t="s">
        <v>57</v>
      </c>
      <c r="G2" s="60" t="s">
        <v>58</v>
      </c>
      <c r="H2" s="71" t="s">
        <v>59</v>
      </c>
      <c r="I2" s="71" t="s">
        <v>60</v>
      </c>
      <c r="J2" s="72" t="s">
        <v>61</v>
      </c>
      <c r="K2" s="72" t="s">
        <v>195</v>
      </c>
      <c r="L2" s="72" t="s">
        <v>63</v>
      </c>
    </row>
    <row r="3" spans="1:12">
      <c r="A3" s="29">
        <v>25</v>
      </c>
      <c r="B3" s="29">
        <v>25</v>
      </c>
      <c r="C3" s="79">
        <v>1</v>
      </c>
      <c r="D3" s="29">
        <v>3</v>
      </c>
      <c r="E3" s="29">
        <v>3</v>
      </c>
      <c r="F3" s="29">
        <v>3</v>
      </c>
      <c r="G3" s="29">
        <v>3</v>
      </c>
      <c r="H3" s="29">
        <v>3</v>
      </c>
      <c r="I3" s="29">
        <v>3</v>
      </c>
      <c r="J3" s="73">
        <v>18</v>
      </c>
      <c r="K3" s="83">
        <v>0.75</v>
      </c>
      <c r="L3" s="74" t="s">
        <v>4</v>
      </c>
    </row>
  </sheetData>
  <mergeCells count="2">
    <mergeCell ref="J1:L1"/>
    <mergeCell ref="D1:I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EB831B7-BB0B-432A-A9C0-6CD005F75D2E}">
          <x14:formula1>
            <xm:f>'Validación datos NO BORRAR'!$H$5:$H$8</xm:f>
          </x14:formula1>
          <xm:sqref>D3:I203 A39:C203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7"/>
  <sheetViews>
    <sheetView topLeftCell="D1" workbookViewId="0">
      <selection activeCell="H10" sqref="H10"/>
    </sheetView>
  </sheetViews>
  <sheetFormatPr defaultColWidth="11.42578125" defaultRowHeight="15"/>
  <cols>
    <col min="5" max="5" width="71" customWidth="1"/>
    <col min="6" max="6" width="20.140625" customWidth="1"/>
    <col min="7" max="7" width="31.7109375" customWidth="1"/>
    <col min="8" max="8" width="27.28515625" customWidth="1"/>
  </cols>
  <sheetData>
    <row r="1" spans="5:8">
      <c r="H1" s="58"/>
    </row>
    <row r="2" spans="5:8" ht="64.5" customHeight="1">
      <c r="H2" s="48"/>
    </row>
    <row r="3" spans="5:8">
      <c r="E3" s="30" t="s">
        <v>196</v>
      </c>
      <c r="F3" s="31" t="s">
        <v>52</v>
      </c>
      <c r="G3" s="31" t="s">
        <v>197</v>
      </c>
      <c r="H3" s="59" t="s">
        <v>198</v>
      </c>
    </row>
    <row r="4" spans="5:8">
      <c r="E4" s="29" t="s">
        <v>78</v>
      </c>
      <c r="F4" s="32" t="s">
        <v>79</v>
      </c>
      <c r="G4" s="29" t="s">
        <v>199</v>
      </c>
      <c r="H4">
        <v>0</v>
      </c>
    </row>
    <row r="5" spans="5:8">
      <c r="E5" s="29" t="s">
        <v>168</v>
      </c>
      <c r="F5" s="32" t="s">
        <v>200</v>
      </c>
      <c r="G5" s="29" t="s">
        <v>201</v>
      </c>
      <c r="H5" s="35">
        <v>1</v>
      </c>
    </row>
    <row r="6" spans="5:8">
      <c r="E6" s="29" t="s">
        <v>202</v>
      </c>
      <c r="F6" s="32" t="s">
        <v>203</v>
      </c>
      <c r="G6" s="29" t="s">
        <v>69</v>
      </c>
      <c r="H6" s="35">
        <v>2</v>
      </c>
    </row>
    <row r="7" spans="5:8">
      <c r="E7" s="29" t="s">
        <v>68</v>
      </c>
      <c r="F7" s="29" t="s">
        <v>69</v>
      </c>
      <c r="G7" s="29"/>
      <c r="H7" s="35">
        <v>3</v>
      </c>
    </row>
    <row r="8" spans="5:8">
      <c r="E8" s="29" t="s">
        <v>204</v>
      </c>
      <c r="F8" s="29"/>
      <c r="G8" s="29"/>
      <c r="H8" s="35">
        <v>4</v>
      </c>
    </row>
    <row r="9" spans="5:8">
      <c r="E9" s="29" t="s">
        <v>205</v>
      </c>
      <c r="F9" s="29"/>
      <c r="G9" s="29"/>
      <c r="H9" s="35"/>
    </row>
    <row r="10" spans="5:8">
      <c r="E10" s="29"/>
      <c r="F10" s="29"/>
      <c r="G10" s="29"/>
      <c r="H10" s="35"/>
    </row>
    <row r="11" spans="5:8">
      <c r="E11" s="29"/>
      <c r="F11" s="29"/>
      <c r="G11" s="29"/>
      <c r="H11" s="35"/>
    </row>
    <row r="12" spans="5:8">
      <c r="E12" s="29"/>
      <c r="F12" s="29"/>
      <c r="G12" s="29"/>
      <c r="H12" s="35"/>
    </row>
    <row r="13" spans="5:8">
      <c r="E13" s="29"/>
      <c r="F13" s="29"/>
      <c r="G13" s="29"/>
      <c r="H13" s="35"/>
    </row>
    <row r="14" spans="5:8">
      <c r="E14" s="29"/>
      <c r="F14" s="29"/>
      <c r="G14" s="29"/>
      <c r="H14" s="35"/>
    </row>
    <row r="15" spans="5:8">
      <c r="E15" s="29"/>
      <c r="F15" s="29"/>
      <c r="G15" s="29"/>
      <c r="H15" s="35"/>
    </row>
    <row r="16" spans="5:8">
      <c r="E16" s="29"/>
      <c r="F16" s="29"/>
      <c r="G16" s="29"/>
      <c r="H16" s="35"/>
    </row>
    <row r="17" spans="5:8">
      <c r="E17" s="29"/>
      <c r="F17" s="29"/>
      <c r="G17" s="29"/>
      <c r="H17" s="3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206</v>
      </c>
      <c r="C1" t="s">
        <v>207</v>
      </c>
    </row>
    <row r="2" spans="1:3" ht="15.75">
      <c r="A2" s="4" t="s">
        <v>208</v>
      </c>
      <c r="C2" t="s">
        <v>209</v>
      </c>
    </row>
    <row r="3" spans="1:3" ht="15.75">
      <c r="A3" s="4" t="s">
        <v>210</v>
      </c>
    </row>
    <row r="4" spans="1:3" ht="15.75">
      <c r="A4" s="4"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9925-795A-41A3-9025-82FD1AF4A710}">
  <dimension ref="A1:L13"/>
  <sheetViews>
    <sheetView topLeftCell="A3" workbookViewId="0">
      <selection activeCell="F14" sqref="F14"/>
    </sheetView>
  </sheetViews>
  <sheetFormatPr defaultRowHeight="15"/>
  <cols>
    <col min="3" max="3" width="15.5703125" bestFit="1" customWidth="1"/>
    <col min="11" max="11" width="63.85546875" customWidth="1"/>
    <col min="12" max="12" width="84" customWidth="1"/>
  </cols>
  <sheetData>
    <row r="1" spans="1:12" ht="81.75" customHeight="1">
      <c r="A1" s="75"/>
      <c r="B1" s="146"/>
      <c r="C1" s="146"/>
      <c r="D1" s="146"/>
      <c r="E1" s="146"/>
      <c r="F1" s="146"/>
      <c r="G1" s="146"/>
      <c r="H1" s="146"/>
      <c r="I1" s="146"/>
      <c r="J1" s="146"/>
      <c r="K1" s="146"/>
      <c r="L1" s="146"/>
    </row>
    <row r="2" spans="1:12" s="78" customFormat="1">
      <c r="A2" s="77"/>
      <c r="B2" s="137" t="s">
        <v>212</v>
      </c>
      <c r="C2" s="137"/>
      <c r="D2" s="137"/>
      <c r="E2" s="137"/>
      <c r="F2" s="137"/>
      <c r="G2" s="137"/>
      <c r="H2" s="137"/>
      <c r="I2" s="137"/>
      <c r="J2" s="137"/>
      <c r="K2" s="137"/>
      <c r="L2" s="137"/>
    </row>
    <row r="3" spans="1:12" s="78" customFormat="1">
      <c r="A3" s="77"/>
      <c r="B3" s="137" t="s">
        <v>213</v>
      </c>
      <c r="C3" s="137"/>
      <c r="D3" s="137"/>
      <c r="E3" s="137"/>
      <c r="F3" s="137"/>
      <c r="G3" s="137"/>
      <c r="H3" s="137"/>
      <c r="I3" s="137"/>
      <c r="J3" s="137"/>
      <c r="K3" s="137"/>
      <c r="L3" s="137"/>
    </row>
    <row r="4" spans="1:12" s="78" customFormat="1">
      <c r="A4" s="77"/>
      <c r="B4" s="138" t="s">
        <v>214</v>
      </c>
      <c r="C4" s="138"/>
      <c r="D4" s="138"/>
      <c r="E4" s="138"/>
      <c r="F4" s="138"/>
      <c r="G4" s="138"/>
      <c r="H4" s="138"/>
      <c r="I4" s="138"/>
      <c r="J4" s="138"/>
      <c r="K4" s="138"/>
      <c r="L4" s="138"/>
    </row>
    <row r="5" spans="1:12">
      <c r="A5" s="75"/>
      <c r="B5" s="146"/>
      <c r="C5" s="146"/>
      <c r="D5" s="146"/>
      <c r="E5" s="146"/>
      <c r="F5" s="146"/>
      <c r="G5" s="146"/>
      <c r="H5" s="146"/>
      <c r="I5" s="146"/>
      <c r="J5" s="146"/>
      <c r="K5" s="146"/>
      <c r="L5" s="146"/>
    </row>
    <row r="6" spans="1:12">
      <c r="A6" s="75"/>
      <c r="B6" s="147" t="s">
        <v>215</v>
      </c>
      <c r="C6" s="147"/>
      <c r="D6" s="147"/>
      <c r="E6" s="147"/>
      <c r="F6" s="147"/>
      <c r="G6" s="147"/>
      <c r="H6" s="147"/>
      <c r="I6" s="147"/>
      <c r="J6" s="147"/>
      <c r="K6" s="147"/>
      <c r="L6" s="147"/>
    </row>
    <row r="7" spans="1:12">
      <c r="A7" s="75"/>
      <c r="B7" s="148" t="s">
        <v>216</v>
      </c>
      <c r="C7" s="148"/>
      <c r="D7" s="148"/>
      <c r="E7" s="148"/>
      <c r="F7" s="148"/>
      <c r="G7" s="148"/>
      <c r="H7" s="148"/>
      <c r="I7" s="148"/>
      <c r="J7" s="148"/>
      <c r="K7" s="148"/>
      <c r="L7" s="148"/>
    </row>
    <row r="8" spans="1:12">
      <c r="A8" s="75"/>
      <c r="B8" s="149" t="s">
        <v>217</v>
      </c>
      <c r="C8" s="150"/>
      <c r="D8" s="150"/>
      <c r="E8" s="150"/>
      <c r="F8" s="150"/>
      <c r="G8" s="150"/>
      <c r="H8" s="150"/>
      <c r="I8" s="150"/>
      <c r="J8" s="150"/>
      <c r="K8" s="150"/>
      <c r="L8" s="151"/>
    </row>
    <row r="9" spans="1:12">
      <c r="A9" s="75"/>
      <c r="B9" s="141" t="s">
        <v>218</v>
      </c>
      <c r="C9" s="142"/>
      <c r="D9" s="142"/>
      <c r="E9" s="142"/>
      <c r="F9" s="142"/>
      <c r="G9" s="142"/>
      <c r="H9" s="142"/>
      <c r="I9" s="142"/>
      <c r="J9" s="142"/>
      <c r="K9" s="142"/>
      <c r="L9" s="143"/>
    </row>
    <row r="10" spans="1:12">
      <c r="A10" s="75"/>
      <c r="B10" s="76" t="s">
        <v>219</v>
      </c>
      <c r="C10" s="84" t="s">
        <v>220</v>
      </c>
      <c r="D10" s="144" t="s">
        <v>221</v>
      </c>
      <c r="E10" s="144"/>
      <c r="F10" s="144"/>
      <c r="G10" s="144"/>
      <c r="H10" s="144"/>
      <c r="I10" s="144"/>
      <c r="J10" s="144"/>
      <c r="K10" s="145"/>
      <c r="L10" s="84" t="s">
        <v>222</v>
      </c>
    </row>
    <row r="11" spans="1:12" ht="78.75" customHeight="1">
      <c r="A11" s="75"/>
      <c r="B11" s="76" t="s">
        <v>223</v>
      </c>
      <c r="C11" s="84" t="s">
        <v>224</v>
      </c>
      <c r="D11" s="139" t="s">
        <v>225</v>
      </c>
      <c r="E11" s="139"/>
      <c r="F11" s="139"/>
      <c r="G11" s="139"/>
      <c r="H11" s="139"/>
      <c r="I11" s="139"/>
      <c r="J11" s="139"/>
      <c r="K11" s="140"/>
      <c r="L11" s="85" t="s">
        <v>226</v>
      </c>
    </row>
    <row r="12" spans="1:12" ht="55.5" customHeight="1">
      <c r="A12" s="75"/>
      <c r="B12" s="76" t="s">
        <v>227</v>
      </c>
      <c r="C12" s="84" t="s">
        <v>228</v>
      </c>
      <c r="D12" s="139" t="s">
        <v>229</v>
      </c>
      <c r="E12" s="139"/>
      <c r="F12" s="139"/>
      <c r="G12" s="139"/>
      <c r="H12" s="139"/>
      <c r="I12" s="139"/>
      <c r="J12" s="139"/>
      <c r="K12" s="140"/>
      <c r="L12" s="85" t="s">
        <v>230</v>
      </c>
    </row>
    <row r="13" spans="1:12" ht="65.25" customHeight="1">
      <c r="A13" s="75"/>
      <c r="B13" s="76" t="s">
        <v>231</v>
      </c>
      <c r="C13" s="84" t="s">
        <v>232</v>
      </c>
      <c r="D13" s="139" t="s">
        <v>233</v>
      </c>
      <c r="E13" s="139"/>
      <c r="F13" s="139"/>
      <c r="G13" s="139"/>
      <c r="H13" s="139"/>
      <c r="I13" s="139"/>
      <c r="J13" s="139"/>
      <c r="K13" s="140"/>
      <c r="L13" s="85" t="s">
        <v>234</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CENTRO DE EVALUACION PARA LA FORMACION ACADEMICA</cp:lastModifiedBy>
  <cp:revision/>
  <dcterms:created xsi:type="dcterms:W3CDTF">2024-06-12T20:22:02Z</dcterms:created>
  <dcterms:modified xsi:type="dcterms:W3CDTF">2025-07-28T19:38:21Z</dcterms:modified>
  <cp:category/>
  <cp:contentStatus/>
</cp:coreProperties>
</file>