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https://uahurtadocl-my.sharepoint.com/personal/cefau_uahurtado_cl/Documents/CEFAU+/PEDAGOGÍA EN MATEMÁTICA/REPORTES EPI/"/>
    </mc:Choice>
  </mc:AlternateContent>
  <xr:revisionPtr revIDLastSave="315" documentId="13_ncr:1_{61749259-81C7-4267-BEFC-E4A60D202441}" xr6:coauthVersionLast="47" xr6:coauthVersionMax="47" xr10:uidLastSave="{D6150D2E-B967-42AB-854D-2DB80EC23139}"/>
  <bookViews>
    <workbookView xWindow="-90" yWindow="-90" windowWidth="19380" windowHeight="10260" firstSheet="3" activeTab="3"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Hoja1" sheetId="3" state="hidden" r:id="rId5"/>
    <sheet name="ACCIONES" sheetId="7" r:id="rId6"/>
    <sheet name="Validación datos NO BORRAR" sheetId="6" r:id="rId7"/>
  </sheets>
  <definedNames>
    <definedName name="_xlnm._FilterDatabase" localSheetId="2" hidden="1">'Resultados Individuales'!$A$3:$AA$3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2" l="1"/>
  <c r="X6" i="2"/>
  <c r="X7" i="2"/>
  <c r="X9" i="2"/>
  <c r="X11" i="2"/>
  <c r="X12" i="2"/>
  <c r="X13" i="2"/>
  <c r="X15" i="2"/>
  <c r="X16" i="2"/>
  <c r="X17" i="2"/>
  <c r="X18" i="2"/>
  <c r="X19" i="2"/>
  <c r="X20" i="2"/>
  <c r="X21" i="2"/>
  <c r="W5" i="2"/>
  <c r="W6" i="2"/>
  <c r="W7" i="2"/>
  <c r="W9" i="2"/>
  <c r="W11" i="2"/>
  <c r="W12" i="2"/>
  <c r="W13" i="2"/>
  <c r="W15" i="2"/>
  <c r="W16" i="2"/>
  <c r="W17" i="2"/>
  <c r="W18" i="2"/>
  <c r="W19" i="2"/>
  <c r="W20" i="2"/>
  <c r="W21" i="2"/>
  <c r="V4" i="2"/>
  <c r="W4" i="2" s="1"/>
  <c r="X4" i="2" s="1"/>
  <c r="V5" i="2"/>
  <c r="V6" i="2"/>
  <c r="V7" i="2"/>
  <c r="V8" i="2"/>
  <c r="W8" i="2" s="1"/>
  <c r="X8" i="2" s="1"/>
  <c r="V9" i="2"/>
  <c r="V10" i="2"/>
  <c r="W10" i="2" s="1"/>
  <c r="X10" i="2" s="1"/>
  <c r="V11" i="2"/>
  <c r="V12" i="2"/>
  <c r="V13" i="2"/>
  <c r="V14" i="2"/>
  <c r="W14" i="2" s="1"/>
  <c r="X14" i="2" s="1"/>
  <c r="V15" i="2"/>
  <c r="V16" i="2"/>
  <c r="V17" i="2"/>
  <c r="V18" i="2"/>
  <c r="V19" i="2"/>
  <c r="V20" i="2"/>
  <c r="V21" i="2"/>
  <c r="V22" i="2"/>
  <c r="W22" i="2" s="1"/>
  <c r="X22" i="2" s="1"/>
  <c r="V23" i="2"/>
  <c r="W23" i="2" s="1"/>
  <c r="X23" i="2" s="1"/>
  <c r="V24" i="2"/>
  <c r="W24" i="2" s="1"/>
  <c r="X24" i="2" s="1"/>
  <c r="V25" i="2"/>
  <c r="W25" i="2" s="1"/>
  <c r="X25" i="2" s="1"/>
  <c r="V26" i="2"/>
  <c r="W26" i="2" s="1"/>
  <c r="X26" i="2" s="1"/>
  <c r="V27" i="2"/>
  <c r="W27" i="2" s="1"/>
  <c r="X27" i="2" s="1"/>
  <c r="V28" i="2"/>
  <c r="W28" i="2" s="1"/>
  <c r="X28" i="2" s="1"/>
  <c r="V3" i="2"/>
  <c r="W3" i="2" l="1"/>
  <c r="X3" i="2" s="1"/>
</calcChain>
</file>

<file path=xl/sharedStrings.xml><?xml version="1.0" encoding="utf-8"?>
<sst xmlns="http://schemas.openxmlformats.org/spreadsheetml/2006/main" count="288" uniqueCount="213">
  <si>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</si>
  <si>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</si>
  <si>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</si>
  <si>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</si>
  <si>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</si>
  <si>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</si>
  <si>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</si>
  <si>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</si>
  <si>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</si>
  <si>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</si>
  <si>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</si>
  <si>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</si>
  <si>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</si>
  <si>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</si>
  <si>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</si>
  <si>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</si>
  <si>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</si>
  <si>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</si>
  <si>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</si>
  <si>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</si>
  <si>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</si>
  <si>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</si>
  <si>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</si>
  <si>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</si>
  <si>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</si>
  <si>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</si>
  <si>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</si>
  <si>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</si>
  <si>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</si>
  <si>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</si>
  <si>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</si>
  <si>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</si>
  <si>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</si>
  <si>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</si>
  <si>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</si>
  <si>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</si>
  <si>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</si>
  <si>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</si>
  <si>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</si>
  <si>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</si>
  <si>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</si>
  <si>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</si>
  <si>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</si>
  <si>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1"/>
        <color theme="1"/>
        <rFont val="Aptos Narrow"/>
        <family val="2"/>
        <scheme val="minor"/>
      </rPr>
      <t>ACTIVIDAD 1
 (Ver rúbrica de actividad 1 en pestaña anterior)
Competencias Específicas:</t>
    </r>
    <r>
      <rPr>
        <sz val="11"/>
        <color theme="1"/>
        <rFont val="Aptos Narrow"/>
        <family val="2"/>
        <scheme val="minor"/>
      </rPr>
      <t xml:space="preserve">
- Resuelve problemas, integrando conocimientos matemáticos para la toma de decisiones en forma individual o colaborativa, relativos a conocimientos que se abordan en la enseñanza de la matemática escolar.
- Utiliza conceptos, propiedades y lenguaje matemático para elaborar argumentos sobre proposiciones relativas a los objetos de la matemática escolar y explicar sus fundamentos. 
</t>
    </r>
    <r>
      <rPr>
        <b/>
        <sz val="11"/>
        <color theme="1"/>
        <rFont val="Aptos Narrow"/>
        <family val="2"/>
        <scheme val="minor"/>
      </rPr>
      <t>Competencia transversal:</t>
    </r>
    <r>
      <rPr>
        <sz val="11"/>
        <color theme="1"/>
        <rFont val="Aptos Narrow"/>
        <family val="2"/>
        <scheme val="minor"/>
      </rPr>
      <t xml:space="preserve">
- Produce diversos textos en el ámbito disciplinar, didáctico y pedagógico para el desarrollo de sus habilidades comunicativas en escenarios de enseñanza.</t>
    </r>
    <r>
      <rPr>
        <b/>
        <sz val="11"/>
        <color theme="1"/>
        <rFont val="Aptos Narrow"/>
        <family val="2"/>
        <scheme val="minor"/>
      </rPr>
      <t xml:space="preserve">
</t>
    </r>
    <r>
      <rPr>
        <sz val="11"/>
        <color theme="1"/>
        <rFont val="Aptos Narrow"/>
        <family val="2"/>
        <scheme val="minor"/>
      </rPr>
      <t xml:space="preserve">
No contesta: 0 puntos
Nivel Bajo: 1 punto
Nivel Medio: 2 puntos
Nivel Satisfactorio: 3 puntos</t>
    </r>
  </si>
  <si>
    <r>
      <t xml:space="preserve">
ACTIVIDAD 2 
(Ver rúbrica de actividad 2 en pestaña anterior)
Competencia Específica:</t>
    </r>
    <r>
      <rPr>
        <sz val="11"/>
        <color theme="1"/>
        <rFont val="Aptos Narrow"/>
        <family val="2"/>
        <scheme val="minor"/>
      </rPr>
      <t xml:space="preserve">
- Integra elementos provenientes del currículum nacional, de las teorías del aprendizaje y de la didáctica de la matemática para diseñar y/o proponer mejoras a procesos de planificación de la enseñanza. 
</t>
    </r>
    <r>
      <rPr>
        <b/>
        <sz val="11"/>
        <color theme="1"/>
        <rFont val="Aptos Narrow"/>
        <family val="2"/>
        <scheme val="minor"/>
      </rPr>
      <t>Competencia transversal:</t>
    </r>
    <r>
      <rPr>
        <sz val="11"/>
        <color theme="1"/>
        <rFont val="Aptos Narrow"/>
        <family val="2"/>
        <scheme val="minor"/>
      </rPr>
      <t xml:space="preserve">
- Produce diversos textos en el ámbito disciplinar, didáctico y pedagógico para el desarrollo de sus habilidades comunicativas en escenarios de enseñanza. 
No contesta: 0 puntos
Nivel Bajo: 1 punto
Nivel Medio: 2 puntos
Nivel Satisfactorio: 3 puntos</t>
    </r>
  </si>
  <si>
    <r>
      <t xml:space="preserve">
ACTIVIDAD 3
(Ver rúbrica de actividad 3 en pestaña anterior)
Competencia Específica:
</t>
    </r>
    <r>
      <rPr>
        <sz val="11"/>
        <color theme="1"/>
        <rFont val="Aptos Narrow"/>
        <family val="2"/>
        <scheme val="minor"/>
      </rPr>
      <t xml:space="preserve">- Analiza el sistema educativo nacional y su desarrollo en diversos contextos, a la luz de las perspectivas que lo han configurado, para reflexionar y describir el rol que cumplirá en su quehacer profesional docente. </t>
    </r>
    <r>
      <rPr>
        <b/>
        <sz val="11"/>
        <color theme="1"/>
        <rFont val="Aptos Narrow"/>
        <family val="2"/>
        <scheme val="minor"/>
      </rPr>
      <t xml:space="preserve">
Competencia Transversal:
</t>
    </r>
    <r>
      <rPr>
        <sz val="11"/>
        <color theme="1"/>
        <rFont val="Aptos Narrow"/>
        <family val="2"/>
        <scheme val="minor"/>
      </rPr>
      <t xml:space="preserve">- Produce diversos textos en el ámbito disciplinar, didáctico y pedagógico para el desarrollo de sus habilidades comunicativas en escenarios de enseñanza.
</t>
    </r>
    <r>
      <rPr>
        <b/>
        <sz val="11"/>
        <color theme="1"/>
        <rFont val="Aptos Narrow"/>
        <family val="2"/>
        <scheme val="minor"/>
      </rPr>
      <t xml:space="preserve">
</t>
    </r>
    <r>
      <rPr>
        <sz val="11"/>
        <color theme="1"/>
        <rFont val="Aptos Narrow"/>
        <family val="2"/>
        <scheme val="minor"/>
      </rPr>
      <t>No contesta: 0 puntos
Nivel Bajo: 1 punto
Nivel Medio: 2 puntos
Nivel Satisfactorio: 3 puntos</t>
    </r>
  </si>
  <si>
    <t>Resultado General por estudiante</t>
  </si>
  <si>
    <t>RUT ESTUDIANTE</t>
  </si>
  <si>
    <t>DV</t>
  </si>
  <si>
    <t>MOBRE COMPLETO</t>
  </si>
  <si>
    <t>PRIMER APELLIDO
(Apellido paterno)</t>
  </si>
  <si>
    <t>SEGUNDO APELLIDO
(Apellido materno)</t>
  </si>
  <si>
    <t>NOMBRES</t>
  </si>
  <si>
    <t>ESTADO DE HABILITACIÓN PARA RENDIR</t>
  </si>
  <si>
    <t>ESTATUS DE RENDICIÓN</t>
  </si>
  <si>
    <t>FECHA DE RENDICIÓN</t>
  </si>
  <si>
    <t>JUSTIFICACIÓN  DE NO RENDICIÓN</t>
  </si>
  <si>
    <t xml:space="preserve">Resolución de problemas –
Integración de conceptos y 
lenguaje matemático. </t>
  </si>
  <si>
    <t>Resolución de problemas – Integración de conceptos y lenguaje matemático – Argumentación-Producción de textos</t>
  </si>
  <si>
    <t xml:space="preserve">Integración de conceptos –
Argumentación
– Toma de decisiones -
Producción de textos. </t>
  </si>
  <si>
    <t>Didáctica de la 
Matemática –
Producción de 
textos</t>
  </si>
  <si>
    <t>Teorías del 
aprendizaje –
Producción de 
textos</t>
  </si>
  <si>
    <t>Currículum 
Nacional</t>
  </si>
  <si>
    <t>Integración -
articulación -
Producción de 
textos</t>
  </si>
  <si>
    <t>Redacción y 
ortografía -
Producción de 
textos</t>
  </si>
  <si>
    <t>Análisis de la 
realidad 
educacional 
chilena -
Producción de 
textos</t>
  </si>
  <si>
    <t>Identificación de 
perspectivas de 
análisis -
Producción de 
textos</t>
  </si>
  <si>
    <t>Posicionamiento 
frente a las 
perspectivas de 
los autores -
Producción de 
textos</t>
  </si>
  <si>
    <t>PUNTAJE TOTAL ESTUDIANTE (33 pts)</t>
  </si>
  <si>
    <t>PORCENTAJE DE LOGRO</t>
  </si>
  <si>
    <t>CATEGORÍA RESULTADO GLOBAL ESTUDIANTE</t>
  </si>
  <si>
    <t>NATALY ANDREA CESPEDES ESPINOZA</t>
  </si>
  <si>
    <t>CESPEDES</t>
  </si>
  <si>
    <t>ESPINOZA</t>
  </si>
  <si>
    <t>NATALY ANDREA</t>
  </si>
  <si>
    <t>Avance curricular suficiente o adecuado para evaluar ciclo básico</t>
  </si>
  <si>
    <t xml:space="preserve">Rendida </t>
  </si>
  <si>
    <t>PABLO ALBERTO CACERES DUARTE</t>
  </si>
  <si>
    <t>CACERES</t>
  </si>
  <si>
    <t>DUARTE</t>
  </si>
  <si>
    <t>PABLO ALBERTO</t>
  </si>
  <si>
    <t>DYLAN NISSIM BITRAN MAGENDZO</t>
  </si>
  <si>
    <t>BITRAN</t>
  </si>
  <si>
    <t>MAGENDZO</t>
  </si>
  <si>
    <t>DYLAN NISSIM</t>
  </si>
  <si>
    <t>Interrupción voluntaria (no rinde EPI 2025)</t>
  </si>
  <si>
    <t>No rendida</t>
  </si>
  <si>
    <t>No aplica</t>
  </si>
  <si>
    <t>JISSETT CAROLINA GALLARDO VALDES</t>
  </si>
  <si>
    <t>GALLARDO</t>
  </si>
  <si>
    <t>VALDES</t>
  </si>
  <si>
    <t>JISSETT CAROLINA</t>
  </si>
  <si>
    <t>ANAÍS SCARLETT LUNA CÁRCAMO</t>
  </si>
  <si>
    <t>LUNA</t>
  </si>
  <si>
    <t>CÁRCAMO</t>
  </si>
  <si>
    <t>ANAÍS SCARLETT</t>
  </si>
  <si>
    <t>Avance curricular insuficiente para evaluar ciclo básico (no rinde EPI 2025)</t>
  </si>
  <si>
    <t>ALESSANDRO PATRICIO MOLINA LILLO</t>
  </si>
  <si>
    <t>MOLINA</t>
  </si>
  <si>
    <t>LILLO</t>
  </si>
  <si>
    <t>ALESSANDRO PATRICIO</t>
  </si>
  <si>
    <t>DIEGO ANDRÉS CARMONA BÓRQUEZ</t>
  </si>
  <si>
    <t>CARMONA</t>
  </si>
  <si>
    <t>BÓRQUEZ</t>
  </si>
  <si>
    <t>DIEGO ANDRÉS</t>
  </si>
  <si>
    <t>ALEXIS MANUEL RODRÍGUEZ DÍAZ</t>
  </si>
  <si>
    <t>RODRÍGUEZ</t>
  </si>
  <si>
    <t>DÍAZ</t>
  </si>
  <si>
    <t>ALEXIS MANUEL</t>
  </si>
  <si>
    <t>K</t>
  </si>
  <si>
    <t>GUSTAVO ANDRÉS ZAVALA CASTRO</t>
  </si>
  <si>
    <t>ZAVALA</t>
  </si>
  <si>
    <t>CASTRO</t>
  </si>
  <si>
    <t>GUSTAVO ANDRÉS</t>
  </si>
  <si>
    <t>MICHAEL ALEJANDRO MARTÍNEZ VALDÉS</t>
  </si>
  <si>
    <t>MARTÍNEZ</t>
  </si>
  <si>
    <t>VALDÉS</t>
  </si>
  <si>
    <t>MICHAEL ALEJANDRO</t>
  </si>
  <si>
    <t>ISAIAS EDUARDO OLIVARES CASTAÑEDA</t>
  </si>
  <si>
    <t>OLIVARES</t>
  </si>
  <si>
    <t>CASTAÑEDA</t>
  </si>
  <si>
    <t>ISAIAS EDUARDO</t>
  </si>
  <si>
    <t>FRANCISCA ALEJANDRA ARANCIBIA ROZAS</t>
  </si>
  <si>
    <t>ARANCIBIA</t>
  </si>
  <si>
    <t>ROZAS</t>
  </si>
  <si>
    <t>FRANCISCA ALEJANDRA</t>
  </si>
  <si>
    <t>GABRIEL ANTONIO CASTRO VÁSQUEZ</t>
  </si>
  <si>
    <t>VÁSQUEZ</t>
  </si>
  <si>
    <t>GABRIEL ANTONIO</t>
  </si>
  <si>
    <t>BENJAMÍN ALEXIS MELÉNDEZ ROMERO</t>
  </si>
  <si>
    <t>MELÉNDEZ</t>
  </si>
  <si>
    <t>ROMERO</t>
  </si>
  <si>
    <t>BENJAMÍN ALEXIS</t>
  </si>
  <si>
    <t>CRISTÓBAL MARCELO RAMOS MOYA</t>
  </si>
  <si>
    <t>RAMOS</t>
  </si>
  <si>
    <t>MOYA</t>
  </si>
  <si>
    <t>CRISTÓBAL MARCELO</t>
  </si>
  <si>
    <t>FERNANDA AMARA OSORIO DEL VALLE</t>
  </si>
  <si>
    <t>OSORIO</t>
  </si>
  <si>
    <t>DEL VALLE</t>
  </si>
  <si>
    <t>FERNANDA AMARA</t>
  </si>
  <si>
    <t>JAVIER IGNACIO DÍAZ SANTIBÁÑEZ</t>
  </si>
  <si>
    <t>SANTIBÁÑEZ</t>
  </si>
  <si>
    <t>JAVIER IGNACIO</t>
  </si>
  <si>
    <t xml:space="preserve">  </t>
  </si>
  <si>
    <t>SAÚL IVÁN CONTRERAS PIÑA</t>
  </si>
  <si>
    <t>CONTRERAS</t>
  </si>
  <si>
    <t>PIÑA</t>
  </si>
  <si>
    <t>SAÚL IVÁN</t>
  </si>
  <si>
    <t>EPI pendiente periodo anterior</t>
  </si>
  <si>
    <t>FRANCISCA PAZ MENESES FAÚNDEZ</t>
  </si>
  <si>
    <t>MENESES</t>
  </si>
  <si>
    <t>FAÚNDEZ</t>
  </si>
  <si>
    <t>FRANCISCA PAZ</t>
  </si>
  <si>
    <t>BYRON PATRICH ETTIEM ROMERO MALLEA</t>
  </si>
  <si>
    <t>MALLEA</t>
  </si>
  <si>
    <t>BYRON PATRICH ETTIEM</t>
  </si>
  <si>
    <t>ALEJANDRO TOMAS YANEZ POZO</t>
  </si>
  <si>
    <t>YANEZ</t>
  </si>
  <si>
    <t>POZO</t>
  </si>
  <si>
    <t>ALEJANDRO TOMAS</t>
  </si>
  <si>
    <t>BORIS WLADIMIR GUTIÉRREZ LARENAS</t>
  </si>
  <si>
    <t>GUTIÉRREZ</t>
  </si>
  <si>
    <t>LARENAS</t>
  </si>
  <si>
    <t>BORIS WLADIMIR</t>
  </si>
  <si>
    <t>CATALINA INÉS INOSTROZA ARMIJO</t>
  </si>
  <si>
    <t>INOSTROZA</t>
  </si>
  <si>
    <t>ARMIJO</t>
  </si>
  <si>
    <t>CATALINA INÉS</t>
  </si>
  <si>
    <t>SIMÓN ALEJANDRO LAVADOS ZAPATA</t>
  </si>
  <si>
    <t>LAVADOS</t>
  </si>
  <si>
    <t>ZAPATA</t>
  </si>
  <si>
    <t>SIMÓN ALEJANDRO</t>
  </si>
  <si>
    <t xml:space="preserve"> N Estudiantes habilitados para rendir</t>
  </si>
  <si>
    <t xml:space="preserve"> N Estudiantes que rindieron</t>
  </si>
  <si>
    <t xml:space="preserve">Porcentaje de cobertura EPI </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</si>
  <si>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</si>
  <si>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</si>
  <si>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</si>
  <si>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</si>
  <si>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</si>
  <si>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</si>
  <si>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</si>
  <si>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</si>
  <si>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</si>
  <si>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</si>
  <si>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</si>
  <si>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</si>
  <si>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</si>
  <si>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</si>
  <si>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</si>
  <si>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</si>
  <si>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</si>
  <si>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</si>
  <si>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</si>
  <si>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family val="2"/>
      </rPr>
      <t xml:space="preserve"> </t>
    </r>
    <r>
      <rPr>
        <i/>
        <sz val="11"/>
        <color rgb="FF0070C0"/>
        <rFont val="Aptos Narrow"/>
        <family val="2"/>
      </rPr>
      <t>de contenidos y metodologías programaciones de las actividades curriculares del ciclo básico
-implementar evaluación diagnóstica durante ciclo básico, para detectar -de manera temprana- posibles dificultades que podrían interferir en el alcance del perfil intermedio.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</si>
  <si>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</si>
  <si>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</si>
  <si>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</si>
  <si>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t>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del ciclo de profundización, particularmente en lo referido a metodologías y evaluaciones.
- incorporar, en programaciones del ciclo básico, actividades de aprendizaje y evaluaciones orientadas a favorecer las competencias más descendidas en la EPI.
- analizar comparativamente las calificaciones obtenidas en el ciclo básico con los resultados de EPI, para evaluar nudos críticos en la implementación del plan de estudio que puedan ser abordados con anticipación.</t>
  </si>
  <si>
    <t>Ejs.
- programaciones de las actividades curriculares XXXX; XXXX; XXXX</t>
  </si>
  <si>
    <t xml:space="preserve">III. </t>
  </si>
  <si>
    <t>LARGO PLAZO</t>
  </si>
  <si>
    <t>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generar instancias para la colaboración entre docentes para con el propósito de compartir mejores prácticas y desarrollar estrategias pedagógicas más coherentes y efectivas en el ciclo básico del plan de estudio</t>
  </si>
  <si>
    <t>Ejs.
- programa OFC
- programas de actividades curriculares del ciclo básico, actualizadas</t>
  </si>
  <si>
    <t>Estado de Habilitación para rendir</t>
  </si>
  <si>
    <t>JUSTIFICATIVO DE NO RENDICIÓN</t>
  </si>
  <si>
    <t>Puntajes según categorías</t>
  </si>
  <si>
    <t>Justifica</t>
  </si>
  <si>
    <t>No justifica</t>
  </si>
  <si>
    <t>Rendida no válida</t>
  </si>
  <si>
    <t>Expulsión</t>
  </si>
  <si>
    <t>Retracto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</si>
</sst>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sz val="10"/>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1"/>
      <color theme="1"/>
      <name val="Calibri"/>
      <family val="2"/>
    </font>
    <font>
      <sz val="10"/>
      <color theme="1"/>
      <name val="Calibri"/>
      <family val="2"/>
    </font>
    <font>
      <sz val="11"/>
      <color theme="1"/>
      <name val="Aptos Narrow"/>
      <family val="2"/>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amily val="2"/>
    </font>
  </fonts>
  <fills count="12">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9D9D9"/>
        <bgColor rgb="FF000000"/>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indexed="64"/>
      </bottom>
      <diagonal/>
    </border>
    <border>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1" fillId="0" borderId="0" applyFont="0" applyFill="0" applyBorder="0" applyAlignment="0" applyProtection="0"/>
  </cellStyleXfs>
  <cellXfs count="150">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6" fillId="3" borderId="8"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6" fillId="3" borderId="13" xfId="0" applyFont="1" applyFill="1" applyBorder="1" applyAlignment="1">
      <alignment horizont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2" fillId="2" borderId="36" xfId="0" applyFont="1" applyFill="1" applyBorder="1" applyAlignment="1">
      <alignment horizontal="center" vertical="center" wrapText="1"/>
    </xf>
    <xf numFmtId="1" fontId="0" fillId="0" borderId="17" xfId="0" applyNumberFormat="1" applyBorder="1"/>
    <xf numFmtId="0" fontId="9" fillId="0" borderId="1" xfId="0" applyFont="1" applyBorder="1" applyAlignment="1">
      <alignment horizontal="center" vertical="top"/>
    </xf>
    <xf numFmtId="0" fontId="9" fillId="0" borderId="1" xfId="0" applyFont="1" applyBorder="1" applyAlignment="1">
      <alignment horizontal="left" vertical="top"/>
    </xf>
    <xf numFmtId="0" fontId="1" fillId="0" borderId="17" xfId="0" applyFont="1" applyBorder="1"/>
    <xf numFmtId="0" fontId="1" fillId="0" borderId="0" xfId="0" applyFont="1" applyAlignment="1">
      <alignment wrapText="1"/>
    </xf>
    <xf numFmtId="0" fontId="0" fillId="0" borderId="28" xfId="0" applyBorder="1" applyAlignment="1">
      <alignment horizontal="center" vertical="center" wrapText="1"/>
    </xf>
    <xf numFmtId="0" fontId="5" fillId="2" borderId="0" xfId="0" applyFont="1" applyFill="1" applyAlignment="1">
      <alignment horizontal="center" vertical="center" wrapText="1"/>
    </xf>
    <xf numFmtId="0" fontId="5" fillId="8" borderId="0" xfId="0" applyFont="1" applyFill="1" applyAlignment="1">
      <alignment horizontal="center" vertical="center" wrapText="1"/>
    </xf>
    <xf numFmtId="0" fontId="0" fillId="0" borderId="0" xfId="0" applyAlignment="1">
      <alignment wrapText="1"/>
    </xf>
    <xf numFmtId="0" fontId="0" fillId="0" borderId="28" xfId="0" applyBorder="1" applyAlignment="1">
      <alignment horizontal="center" vertical="center"/>
    </xf>
    <xf numFmtId="0" fontId="5" fillId="2" borderId="36" xfId="0" applyFont="1" applyFill="1" applyBorder="1" applyAlignment="1">
      <alignment horizontal="left" vertical="center" wrapText="1"/>
    </xf>
    <xf numFmtId="0" fontId="5" fillId="2" borderId="36" xfId="0" applyFont="1" applyFill="1" applyBorder="1" applyAlignment="1">
      <alignment horizontal="center" wrapText="1"/>
    </xf>
    <xf numFmtId="0" fontId="5" fillId="8" borderId="36" xfId="0" applyFont="1" applyFill="1" applyBorder="1" applyAlignment="1">
      <alignment horizontal="center" vertical="center" wrapText="1"/>
    </xf>
    <xf numFmtId="0" fontId="5" fillId="10" borderId="36" xfId="0" applyFont="1" applyFill="1" applyBorder="1" applyAlignment="1">
      <alignment horizontal="center" vertical="center" wrapText="1"/>
    </xf>
    <xf numFmtId="1" fontId="10" fillId="0" borderId="1" xfId="0" applyNumberFormat="1" applyFont="1" applyBorder="1" applyAlignment="1">
      <alignment horizontal="center" vertical="top" wrapText="1"/>
    </xf>
    <xf numFmtId="1" fontId="9" fillId="0" borderId="1" xfId="0" applyNumberFormat="1" applyFont="1" applyBorder="1" applyAlignment="1">
      <alignment horizontal="center" vertical="top" wrapText="1"/>
    </xf>
    <xf numFmtId="0" fontId="10" fillId="0" borderId="1" xfId="0" applyFont="1" applyBorder="1" applyAlignment="1">
      <alignment horizontal="center" vertical="top" wrapText="1"/>
    </xf>
    <xf numFmtId="0" fontId="10" fillId="0" borderId="2" xfId="0" applyFont="1" applyBorder="1" applyAlignment="1">
      <alignment horizontal="center" vertical="top" wrapText="1"/>
    </xf>
    <xf numFmtId="1" fontId="9" fillId="0" borderId="2" xfId="0" applyNumberFormat="1" applyFont="1" applyBorder="1" applyAlignment="1">
      <alignment horizontal="center" vertical="top" wrapText="1"/>
    </xf>
    <xf numFmtId="0" fontId="2" fillId="6" borderId="42" xfId="0" applyFont="1" applyFill="1" applyBorder="1" applyAlignment="1">
      <alignment horizontal="center" vertical="center" wrapText="1"/>
    </xf>
    <xf numFmtId="0" fontId="2" fillId="6" borderId="4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8" borderId="43" xfId="0" applyFont="1" applyFill="1" applyBorder="1" applyAlignment="1">
      <alignment horizontal="center" vertical="center" wrapText="1"/>
    </xf>
    <xf numFmtId="0" fontId="5" fillId="10" borderId="43" xfId="0" applyFont="1" applyFill="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6" borderId="45" xfId="0" applyFont="1" applyFill="1" applyBorder="1" applyAlignment="1">
      <alignment horizontal="center" vertical="center" wrapText="1"/>
    </xf>
    <xf numFmtId="0" fontId="2" fillId="0" borderId="46" xfId="0" applyFont="1" applyBorder="1" applyAlignment="1">
      <alignment horizontal="center" vertical="center" wrapText="1"/>
    </xf>
    <xf numFmtId="0" fontId="5" fillId="2" borderId="42" xfId="0" applyFont="1" applyFill="1" applyBorder="1" applyAlignment="1">
      <alignment horizontal="left" vertical="center" wrapText="1"/>
    </xf>
    <xf numFmtId="0" fontId="5" fillId="10" borderId="44" xfId="0" applyFont="1" applyFill="1" applyBorder="1" applyAlignment="1">
      <alignment horizontal="center" vertical="center" wrapText="1"/>
    </xf>
    <xf numFmtId="0" fontId="5" fillId="2" borderId="45" xfId="0" applyFont="1" applyFill="1" applyBorder="1" applyAlignment="1">
      <alignment horizontal="center" wrapText="1"/>
    </xf>
    <xf numFmtId="0" fontId="5" fillId="10" borderId="46" xfId="0" applyFont="1" applyFill="1" applyBorder="1" applyAlignment="1">
      <alignment horizontal="center" vertical="center" wrapText="1"/>
    </xf>
    <xf numFmtId="0" fontId="5" fillId="8" borderId="42"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10" fillId="0" borderId="1" xfId="0" applyFont="1" applyBorder="1" applyAlignment="1">
      <alignment horizontal="center" vertical="top"/>
    </xf>
    <xf numFmtId="1" fontId="9" fillId="0" borderId="1" xfId="0" applyNumberFormat="1" applyFont="1" applyBorder="1" applyAlignment="1">
      <alignment horizontal="center" vertical="top"/>
    </xf>
    <xf numFmtId="0" fontId="0" fillId="0" borderId="39" xfId="0" applyBorder="1"/>
    <xf numFmtId="0" fontId="0" fillId="0" borderId="22" xfId="0" applyBorder="1"/>
    <xf numFmtId="14" fontId="0" fillId="0" borderId="40" xfId="0" applyNumberFormat="1" applyBorder="1"/>
    <xf numFmtId="0" fontId="0" fillId="0" borderId="41" xfId="0" applyBorder="1"/>
    <xf numFmtId="0" fontId="0" fillId="0" borderId="2" xfId="0" applyBorder="1"/>
    <xf numFmtId="9" fontId="0" fillId="0" borderId="2" xfId="1" applyFont="1" applyBorder="1"/>
    <xf numFmtId="0" fontId="0" fillId="0" borderId="34" xfId="0" applyBorder="1"/>
    <xf numFmtId="0" fontId="0" fillId="0" borderId="17" xfId="0" applyBorder="1" applyAlignment="1">
      <alignment wrapText="1"/>
    </xf>
    <xf numFmtId="0" fontId="0" fillId="0" borderId="35" xfId="0" applyBorder="1" applyAlignment="1">
      <alignment wrapText="1"/>
    </xf>
    <xf numFmtId="0" fontId="0" fillId="0" borderId="37" xfId="0" applyBorder="1" applyAlignment="1">
      <alignment wrapText="1"/>
    </xf>
    <xf numFmtId="0" fontId="0" fillId="0" borderId="6" xfId="0" applyBorder="1" applyAlignment="1">
      <alignment wrapText="1"/>
    </xf>
    <xf numFmtId="0" fontId="0" fillId="0" borderId="38" xfId="0" applyBorder="1" applyAlignment="1">
      <alignment wrapText="1"/>
    </xf>
    <xf numFmtId="0" fontId="0" fillId="0" borderId="38" xfId="0" applyBorder="1"/>
    <xf numFmtId="0" fontId="0" fillId="0" borderId="35" xfId="0" applyBorder="1"/>
    <xf numFmtId="0" fontId="0" fillId="0" borderId="1" xfId="0" applyBorder="1"/>
    <xf numFmtId="0" fontId="0" fillId="0" borderId="34" xfId="0" applyBorder="1" applyAlignment="1">
      <alignment wrapText="1"/>
    </xf>
    <xf numFmtId="0" fontId="12" fillId="0" borderId="0" xfId="0" applyFont="1"/>
    <xf numFmtId="0" fontId="16" fillId="11" borderId="22" xfId="0" applyFont="1" applyFill="1" applyBorder="1"/>
    <xf numFmtId="0" fontId="16" fillId="11" borderId="21" xfId="0" applyFont="1" applyFill="1" applyBorder="1"/>
    <xf numFmtId="0" fontId="15" fillId="0" borderId="21" xfId="0" applyFont="1" applyBorder="1" applyAlignment="1">
      <alignment wrapText="1"/>
    </xf>
    <xf numFmtId="9" fontId="0" fillId="0" borderId="17" xfId="0" applyNumberFormat="1" applyBorder="1"/>
    <xf numFmtId="0" fontId="0" fillId="0" borderId="17" xfId="0" applyBorder="1" applyAlignment="1">
      <alignment horizontal="center" wrapText="1"/>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28" xfId="0" applyFont="1" applyFill="1" applyBorder="1" applyAlignment="1">
      <alignment horizontal="center" vertical="center"/>
    </xf>
    <xf numFmtId="0" fontId="8"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7"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9" xfId="0" applyFont="1" applyBorder="1" applyAlignment="1">
      <alignment horizontal="center" vertical="center"/>
    </xf>
    <xf numFmtId="0" fontId="0" fillId="0" borderId="31" xfId="0" applyBorder="1" applyAlignment="1">
      <alignment horizontal="center" vertical="center"/>
    </xf>
    <xf numFmtId="0" fontId="0" fillId="0" borderId="10" xfId="0" applyBorder="1" applyAlignment="1">
      <alignment horizontal="center" vertical="center"/>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9" borderId="9" xfId="0" applyFont="1" applyFill="1" applyBorder="1" applyAlignment="1">
      <alignment horizontal="center" vertical="top" wrapText="1"/>
    </xf>
    <xf numFmtId="0" fontId="4" fillId="9" borderId="31" xfId="0" applyFont="1" applyFill="1" applyBorder="1" applyAlignment="1">
      <alignment horizontal="center" vertical="top"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2" xfId="0" applyFill="1" applyBorder="1" applyAlignment="1">
      <alignment horizontal="center" vertical="top" wrapText="1"/>
    </xf>
    <xf numFmtId="0" fontId="0" fillId="5" borderId="32" xfId="0" applyFill="1" applyBorder="1" applyAlignment="1">
      <alignment horizontal="center" vertical="top" wrapText="1"/>
    </xf>
    <xf numFmtId="0" fontId="4" fillId="7" borderId="12" xfId="0" applyFont="1" applyFill="1" applyBorder="1" applyAlignment="1">
      <alignment horizontal="center" vertical="top" wrapText="1"/>
    </xf>
    <xf numFmtId="0" fontId="4" fillId="7" borderId="32" xfId="0" applyFont="1" applyFill="1" applyBorder="1" applyAlignment="1">
      <alignment horizontal="center" vertical="top" wrapText="1"/>
    </xf>
    <xf numFmtId="0" fontId="4" fillId="7" borderId="13" xfId="0" applyFont="1" applyFill="1" applyBorder="1" applyAlignment="1">
      <alignment horizontal="center" vertical="top" wrapText="1"/>
    </xf>
    <xf numFmtId="0" fontId="4" fillId="9" borderId="12" xfId="0" applyFont="1" applyFill="1" applyBorder="1" applyAlignment="1">
      <alignment horizontal="center" vertical="top" wrapText="1"/>
    </xf>
    <xf numFmtId="0" fontId="4" fillId="9" borderId="32" xfId="0" applyFont="1" applyFill="1" applyBorder="1" applyAlignment="1">
      <alignment horizontal="center" vertical="top" wrapText="1"/>
    </xf>
    <xf numFmtId="0" fontId="15" fillId="0" borderId="37" xfId="0" applyFont="1" applyBorder="1" applyAlignment="1">
      <alignment wrapText="1"/>
    </xf>
    <xf numFmtId="0" fontId="15" fillId="0" borderId="48" xfId="0" applyFont="1" applyBorder="1" applyAlignment="1">
      <alignment wrapText="1"/>
    </xf>
    <xf numFmtId="0" fontId="12" fillId="0" borderId="47" xfId="0" applyFont="1" applyBorder="1" applyAlignment="1">
      <alignment wrapText="1"/>
    </xf>
    <xf numFmtId="0" fontId="12" fillId="0" borderId="37" xfId="0" applyFont="1" applyBorder="1" applyAlignment="1">
      <alignment wrapText="1"/>
    </xf>
    <xf numFmtId="0" fontId="12" fillId="0" borderId="48" xfId="0" applyFont="1" applyBorder="1" applyAlignment="1">
      <alignment wrapText="1"/>
    </xf>
    <xf numFmtId="0" fontId="12" fillId="0" borderId="0" xfId="0" applyFont="1" applyAlignment="1"/>
    <xf numFmtId="0" fontId="13" fillId="0" borderId="0" xfId="0" applyFont="1" applyAlignment="1"/>
    <xf numFmtId="0" fontId="14" fillId="0" borderId="0" xfId="0" applyFont="1" applyAlignment="1"/>
    <xf numFmtId="0" fontId="15" fillId="0" borderId="0" xfId="0" applyFont="1" applyAlignment="1"/>
    <xf numFmtId="0" fontId="12" fillId="0" borderId="40" xfId="0" applyFont="1" applyBorder="1" applyAlignment="1"/>
    <xf numFmtId="0" fontId="16" fillId="11" borderId="47" xfId="0" applyFont="1" applyFill="1" applyBorder="1" applyAlignment="1"/>
    <xf numFmtId="0" fontId="16" fillId="11" borderId="37" xfId="0" applyFont="1" applyFill="1" applyBorder="1" applyAlignment="1"/>
    <xf numFmtId="0" fontId="16" fillId="11" borderId="48" xfId="0" applyFont="1" applyFill="1" applyBorder="1" applyAlignment="1"/>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17</xdr:col>
      <xdr:colOff>706118</xdr:colOff>
      <xdr:row>37</xdr:row>
      <xdr:rowOff>86694</xdr:rowOff>
    </xdr:to>
    <xdr:pic>
      <xdr:nvPicPr>
        <xdr:cNvPr id="2" name="Imagen 1">
          <a:extLst>
            <a:ext uri="{FF2B5EF4-FFF2-40B4-BE49-F238E27FC236}">
              <a16:creationId xmlns:a16="http://schemas.microsoft.com/office/drawing/2014/main" id="{8CC42C4A-2BC0-646A-A786-6F0D5FF1D8B3}"/>
            </a:ext>
          </a:extLst>
        </xdr:cNvPr>
        <xdr:cNvPicPr>
          <a:picLocks noChangeAspect="1"/>
        </xdr:cNvPicPr>
      </xdr:nvPicPr>
      <xdr:blipFill>
        <a:blip xmlns:r="http://schemas.openxmlformats.org/officeDocument/2006/relationships" r:embed="rId1"/>
        <a:stretch>
          <a:fillRect/>
        </a:stretch>
      </xdr:blipFill>
      <xdr:spPr>
        <a:xfrm>
          <a:off x="4572000" y="190500"/>
          <a:ext cx="9088118" cy="6944694"/>
        </a:xfrm>
        <a:prstGeom prst="rect">
          <a:avLst/>
        </a:prstGeom>
      </xdr:spPr>
    </xdr:pic>
    <xdr:clientData/>
  </xdr:twoCellAnchor>
  <xdr:twoCellAnchor editAs="oneCell">
    <xdr:from>
      <xdr:col>6</xdr:col>
      <xdr:colOff>0</xdr:colOff>
      <xdr:row>38</xdr:row>
      <xdr:rowOff>0</xdr:rowOff>
    </xdr:from>
    <xdr:to>
      <xdr:col>17</xdr:col>
      <xdr:colOff>601329</xdr:colOff>
      <xdr:row>67</xdr:row>
      <xdr:rowOff>115087</xdr:rowOff>
    </xdr:to>
    <xdr:pic>
      <xdr:nvPicPr>
        <xdr:cNvPr id="3" name="Imagen 2">
          <a:extLst>
            <a:ext uri="{FF2B5EF4-FFF2-40B4-BE49-F238E27FC236}">
              <a16:creationId xmlns:a16="http://schemas.microsoft.com/office/drawing/2014/main" id="{F8E16DC9-C08C-3C53-399F-7A3E63719D8E}"/>
            </a:ext>
          </a:extLst>
        </xdr:cNvPr>
        <xdr:cNvPicPr>
          <a:picLocks noChangeAspect="1"/>
        </xdr:cNvPicPr>
      </xdr:nvPicPr>
      <xdr:blipFill>
        <a:blip xmlns:r="http://schemas.openxmlformats.org/officeDocument/2006/relationships" r:embed="rId2"/>
        <a:stretch>
          <a:fillRect/>
        </a:stretch>
      </xdr:blipFill>
      <xdr:spPr>
        <a:xfrm>
          <a:off x="4572000" y="7239000"/>
          <a:ext cx="8983329" cy="5639587"/>
        </a:xfrm>
        <a:prstGeom prst="rect">
          <a:avLst/>
        </a:prstGeom>
      </xdr:spPr>
    </xdr:pic>
    <xdr:clientData/>
  </xdr:twoCellAnchor>
  <xdr:twoCellAnchor editAs="oneCell">
    <xdr:from>
      <xdr:col>5</xdr:col>
      <xdr:colOff>676275</xdr:colOff>
      <xdr:row>66</xdr:row>
      <xdr:rowOff>0</xdr:rowOff>
    </xdr:from>
    <xdr:to>
      <xdr:col>17</xdr:col>
      <xdr:colOff>601341</xdr:colOff>
      <xdr:row>102</xdr:row>
      <xdr:rowOff>29536</xdr:rowOff>
    </xdr:to>
    <xdr:pic>
      <xdr:nvPicPr>
        <xdr:cNvPr id="4" name="Imagen 3">
          <a:extLst>
            <a:ext uri="{FF2B5EF4-FFF2-40B4-BE49-F238E27FC236}">
              <a16:creationId xmlns:a16="http://schemas.microsoft.com/office/drawing/2014/main" id="{6B6E68DE-E154-A0F6-93D6-A751B566D0A4}"/>
            </a:ext>
          </a:extLst>
        </xdr:cNvPr>
        <xdr:cNvPicPr>
          <a:picLocks noChangeAspect="1"/>
        </xdr:cNvPicPr>
      </xdr:nvPicPr>
      <xdr:blipFill>
        <a:blip xmlns:r="http://schemas.openxmlformats.org/officeDocument/2006/relationships" r:embed="rId3"/>
        <a:stretch>
          <a:fillRect/>
        </a:stretch>
      </xdr:blipFill>
      <xdr:spPr>
        <a:xfrm>
          <a:off x="4486275" y="12573000"/>
          <a:ext cx="9069066" cy="6887536"/>
        </a:xfrm>
        <a:prstGeom prst="rect">
          <a:avLst/>
        </a:prstGeom>
      </xdr:spPr>
    </xdr:pic>
    <xdr:clientData/>
  </xdr:twoCellAnchor>
  <xdr:twoCellAnchor editAs="oneCell">
    <xdr:from>
      <xdr:col>5</xdr:col>
      <xdr:colOff>676275</xdr:colOff>
      <xdr:row>66</xdr:row>
      <xdr:rowOff>0</xdr:rowOff>
    </xdr:from>
    <xdr:to>
      <xdr:col>17</xdr:col>
      <xdr:colOff>553709</xdr:colOff>
      <xdr:row>84</xdr:row>
      <xdr:rowOff>477</xdr:rowOff>
    </xdr:to>
    <xdr:pic>
      <xdr:nvPicPr>
        <xdr:cNvPr id="6" name="Imagen 5">
          <a:extLst>
            <a:ext uri="{FF2B5EF4-FFF2-40B4-BE49-F238E27FC236}">
              <a16:creationId xmlns:a16="http://schemas.microsoft.com/office/drawing/2014/main" id="{D825D146-C658-D84A-4474-E60880AE50B2}"/>
            </a:ext>
          </a:extLst>
        </xdr:cNvPr>
        <xdr:cNvPicPr>
          <a:picLocks noChangeAspect="1"/>
        </xdr:cNvPicPr>
      </xdr:nvPicPr>
      <xdr:blipFill>
        <a:blip xmlns:r="http://schemas.openxmlformats.org/officeDocument/2006/relationships" r:embed="rId4"/>
        <a:stretch>
          <a:fillRect/>
        </a:stretch>
      </xdr:blipFill>
      <xdr:spPr>
        <a:xfrm>
          <a:off x="4486275" y="12573000"/>
          <a:ext cx="9021434" cy="3419952"/>
        </a:xfrm>
        <a:prstGeom prst="rect">
          <a:avLst/>
        </a:prstGeom>
      </xdr:spPr>
    </xdr:pic>
    <xdr:clientData/>
  </xdr:twoCellAnchor>
  <xdr:twoCellAnchor editAs="oneCell">
    <xdr:from>
      <xdr:col>5</xdr:col>
      <xdr:colOff>695325</xdr:colOff>
      <xdr:row>95</xdr:row>
      <xdr:rowOff>76200</xdr:rowOff>
    </xdr:from>
    <xdr:to>
      <xdr:col>17</xdr:col>
      <xdr:colOff>572759</xdr:colOff>
      <xdr:row>113</xdr:row>
      <xdr:rowOff>67152</xdr:rowOff>
    </xdr:to>
    <xdr:pic>
      <xdr:nvPicPr>
        <xdr:cNvPr id="14" name="Imagen 13">
          <a:extLst>
            <a:ext uri="{FF2B5EF4-FFF2-40B4-BE49-F238E27FC236}">
              <a16:creationId xmlns:a16="http://schemas.microsoft.com/office/drawing/2014/main" id="{5D721C39-4BE5-03EC-037B-72947429A409}"/>
            </a:ext>
          </a:extLst>
        </xdr:cNvPr>
        <xdr:cNvPicPr>
          <a:picLocks noChangeAspect="1"/>
        </xdr:cNvPicPr>
      </xdr:nvPicPr>
      <xdr:blipFill>
        <a:blip xmlns:r="http://schemas.openxmlformats.org/officeDocument/2006/relationships" r:embed="rId4"/>
        <a:stretch>
          <a:fillRect/>
        </a:stretch>
      </xdr:blipFill>
      <xdr:spPr>
        <a:xfrm>
          <a:off x="4505325" y="18173700"/>
          <a:ext cx="9021434" cy="3419952"/>
        </a:xfrm>
        <a:prstGeom prst="rect">
          <a:avLst/>
        </a:prstGeom>
      </xdr:spPr>
    </xdr:pic>
    <xdr:clientData/>
  </xdr:twoCellAnchor>
  <xdr:twoCellAnchor editAs="oneCell">
    <xdr:from>
      <xdr:col>6</xdr:col>
      <xdr:colOff>0</xdr:colOff>
      <xdr:row>115</xdr:row>
      <xdr:rowOff>0</xdr:rowOff>
    </xdr:from>
    <xdr:to>
      <xdr:col>17</xdr:col>
      <xdr:colOff>629908</xdr:colOff>
      <xdr:row>146</xdr:row>
      <xdr:rowOff>172298</xdr:rowOff>
    </xdr:to>
    <xdr:pic>
      <xdr:nvPicPr>
        <xdr:cNvPr id="15" name="Imagen 14">
          <a:extLst>
            <a:ext uri="{FF2B5EF4-FFF2-40B4-BE49-F238E27FC236}">
              <a16:creationId xmlns:a16="http://schemas.microsoft.com/office/drawing/2014/main" id="{EFBADF36-7411-5B4A-4387-1B399380313B}"/>
            </a:ext>
          </a:extLst>
        </xdr:cNvPr>
        <xdr:cNvPicPr>
          <a:picLocks noChangeAspect="1"/>
        </xdr:cNvPicPr>
      </xdr:nvPicPr>
      <xdr:blipFill>
        <a:blip xmlns:r="http://schemas.openxmlformats.org/officeDocument/2006/relationships" r:embed="rId5"/>
        <a:stretch>
          <a:fillRect/>
        </a:stretch>
      </xdr:blipFill>
      <xdr:spPr>
        <a:xfrm>
          <a:off x="4572000" y="21907500"/>
          <a:ext cx="9011908" cy="6077798"/>
        </a:xfrm>
        <a:prstGeom prst="rect">
          <a:avLst/>
        </a:prstGeom>
      </xdr:spPr>
    </xdr:pic>
    <xdr:clientData/>
  </xdr:twoCellAnchor>
  <xdr:twoCellAnchor editAs="oneCell">
    <xdr:from>
      <xdr:col>6</xdr:col>
      <xdr:colOff>0</xdr:colOff>
      <xdr:row>148</xdr:row>
      <xdr:rowOff>0</xdr:rowOff>
    </xdr:from>
    <xdr:to>
      <xdr:col>17</xdr:col>
      <xdr:colOff>668013</xdr:colOff>
      <xdr:row>173</xdr:row>
      <xdr:rowOff>663</xdr:rowOff>
    </xdr:to>
    <xdr:pic>
      <xdr:nvPicPr>
        <xdr:cNvPr id="16" name="Imagen 15">
          <a:extLst>
            <a:ext uri="{FF2B5EF4-FFF2-40B4-BE49-F238E27FC236}">
              <a16:creationId xmlns:a16="http://schemas.microsoft.com/office/drawing/2014/main" id="{F00CB01C-199B-BEA1-7859-5789378D9A58}"/>
            </a:ext>
          </a:extLst>
        </xdr:cNvPr>
        <xdr:cNvPicPr>
          <a:picLocks noChangeAspect="1"/>
        </xdr:cNvPicPr>
      </xdr:nvPicPr>
      <xdr:blipFill>
        <a:blip xmlns:r="http://schemas.openxmlformats.org/officeDocument/2006/relationships" r:embed="rId6"/>
        <a:stretch>
          <a:fillRect/>
        </a:stretch>
      </xdr:blipFill>
      <xdr:spPr>
        <a:xfrm>
          <a:off x="4572000" y="28194000"/>
          <a:ext cx="9050013" cy="47536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E18" sqref="E18"/>
    </sheetView>
  </sheetViews>
  <sheetFormatPr defaultColWidth="11.42578125" defaultRowHeight="14.8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6" thickBot="1"/>
    <row r="4" spans="1:8" ht="15.6" thickBot="1">
      <c r="C4" s="90" t="s">
        <v>2</v>
      </c>
      <c r="D4" s="91"/>
      <c r="E4" s="91"/>
      <c r="F4" s="91"/>
      <c r="G4" s="92"/>
    </row>
    <row r="5" spans="1:8">
      <c r="C5" s="4" t="s">
        <v>3</v>
      </c>
      <c r="D5" s="4" t="s">
        <v>4</v>
      </c>
      <c r="E5" s="5" t="s">
        <v>5</v>
      </c>
      <c r="F5" s="4" t="s">
        <v>6</v>
      </c>
      <c r="G5" s="6" t="s">
        <v>7</v>
      </c>
    </row>
    <row r="6" spans="1:8" ht="15.6" thickBot="1">
      <c r="C6" s="7" t="s">
        <v>8</v>
      </c>
      <c r="D6" s="7" t="s">
        <v>9</v>
      </c>
      <c r="E6" s="8" t="s">
        <v>10</v>
      </c>
      <c r="F6" s="7" t="s">
        <v>11</v>
      </c>
      <c r="G6" s="9" t="s">
        <v>12</v>
      </c>
    </row>
    <row r="7" spans="1:8" ht="45" thickBot="1">
      <c r="C7" s="10" t="s">
        <v>13</v>
      </c>
      <c r="D7" s="11" t="s">
        <v>14</v>
      </c>
      <c r="E7" s="11" t="s">
        <v>15</v>
      </c>
      <c r="F7" s="11" t="s">
        <v>16</v>
      </c>
      <c r="G7" s="12" t="s">
        <v>17</v>
      </c>
    </row>
    <row r="8" spans="1:8">
      <c r="C8" s="13"/>
      <c r="D8" s="13"/>
      <c r="E8" s="13"/>
      <c r="F8" s="13"/>
      <c r="G8" s="14"/>
    </row>
    <row r="9" spans="1:8">
      <c r="A9" t="s">
        <v>18</v>
      </c>
      <c r="B9" s="15" t="s">
        <v>19</v>
      </c>
    </row>
    <row r="10" spans="1:8">
      <c r="B10" s="93" t="s">
        <v>20</v>
      </c>
      <c r="C10" s="94"/>
      <c r="D10" s="94"/>
      <c r="E10" s="94"/>
      <c r="F10" s="94"/>
      <c r="G10" s="94"/>
    </row>
    <row r="11" spans="1:8">
      <c r="B11" s="94"/>
      <c r="C11" s="94"/>
      <c r="D11" s="94"/>
      <c r="E11" s="94"/>
      <c r="F11" s="94"/>
      <c r="G11" s="94"/>
    </row>
    <row r="12" spans="1:8">
      <c r="B12" s="94"/>
      <c r="C12" s="94"/>
      <c r="D12" s="94"/>
      <c r="E12" s="94"/>
      <c r="F12" s="94"/>
      <c r="G12" s="94"/>
    </row>
    <row r="14" spans="1:8" ht="15.6" thickBot="1"/>
    <row r="15" spans="1:8" ht="15.6" thickBot="1">
      <c r="C15" s="90" t="s">
        <v>21</v>
      </c>
      <c r="D15" s="91"/>
      <c r="E15" s="91"/>
      <c r="F15" s="91"/>
      <c r="G15" s="92"/>
    </row>
    <row r="16" spans="1:8" ht="15.6" thickBot="1">
      <c r="B16" s="16"/>
      <c r="C16" s="17" t="s">
        <v>3</v>
      </c>
      <c r="D16" s="18" t="s">
        <v>4</v>
      </c>
      <c r="E16" s="19" t="s">
        <v>5</v>
      </c>
      <c r="F16" s="95" t="s">
        <v>22</v>
      </c>
      <c r="G16" s="96"/>
      <c r="H16" s="20"/>
    </row>
    <row r="17" spans="2:8" ht="15.6" thickBot="1">
      <c r="B17" s="21" t="s">
        <v>23</v>
      </c>
      <c r="C17" s="22" t="s">
        <v>24</v>
      </c>
      <c r="D17" s="23" t="s">
        <v>25</v>
      </c>
      <c r="E17" s="24" t="s">
        <v>26</v>
      </c>
      <c r="F17" s="97" t="s">
        <v>27</v>
      </c>
      <c r="G17" s="98"/>
      <c r="H17" s="20"/>
    </row>
    <row r="18" spans="2:8" ht="192" customHeight="1" thickBot="1">
      <c r="B18" s="99" t="s">
        <v>28</v>
      </c>
      <c r="C18" s="25" t="s">
        <v>29</v>
      </c>
      <c r="D18" s="25" t="s">
        <v>30</v>
      </c>
      <c r="E18" s="25" t="s">
        <v>31</v>
      </c>
      <c r="F18" s="102" t="s">
        <v>32</v>
      </c>
      <c r="G18" s="103"/>
      <c r="H18" s="26" t="s">
        <v>33</v>
      </c>
    </row>
    <row r="19" spans="2:8" ht="118.5" customHeight="1">
      <c r="B19" s="100"/>
      <c r="C19" s="104" t="s">
        <v>34</v>
      </c>
      <c r="D19" s="104"/>
      <c r="E19" s="104" t="s">
        <v>35</v>
      </c>
      <c r="F19" s="104"/>
      <c r="G19" s="105"/>
      <c r="H19" s="20"/>
    </row>
    <row r="20" spans="2:8">
      <c r="B20" s="101"/>
      <c r="C20" s="106" t="s">
        <v>36</v>
      </c>
      <c r="D20" s="106"/>
      <c r="E20" s="106"/>
      <c r="F20" s="106"/>
      <c r="G20" s="107"/>
      <c r="H20" s="20"/>
    </row>
    <row r="21" spans="2:8" ht="15" customHeight="1">
      <c r="B21" s="108" t="s">
        <v>37</v>
      </c>
      <c r="C21" s="111" t="s">
        <v>38</v>
      </c>
      <c r="D21" s="112" t="s">
        <v>39</v>
      </c>
      <c r="E21" s="112" t="s">
        <v>40</v>
      </c>
      <c r="F21" s="115" t="s">
        <v>41</v>
      </c>
      <c r="G21" s="89"/>
    </row>
    <row r="22" spans="2:8">
      <c r="B22" s="109"/>
      <c r="C22" s="109"/>
      <c r="D22" s="109"/>
      <c r="E22" s="113"/>
      <c r="F22" s="116"/>
      <c r="G22" s="89"/>
    </row>
    <row r="23" spans="2:8">
      <c r="B23" s="109"/>
      <c r="C23" s="109"/>
      <c r="D23" s="109"/>
      <c r="E23" s="113"/>
      <c r="F23" s="116"/>
      <c r="G23" s="89"/>
    </row>
    <row r="24" spans="2:8">
      <c r="B24" s="109"/>
      <c r="C24" s="109"/>
      <c r="D24" s="109"/>
      <c r="E24" s="113"/>
      <c r="F24" s="116"/>
      <c r="G24" s="89"/>
    </row>
    <row r="25" spans="2:8">
      <c r="B25" s="109"/>
      <c r="C25" s="109"/>
      <c r="D25" s="109"/>
      <c r="E25" s="113"/>
      <c r="F25" s="116"/>
      <c r="G25" s="89"/>
    </row>
    <row r="26" spans="2:8">
      <c r="B26" s="109"/>
      <c r="C26" s="109"/>
      <c r="D26" s="109"/>
      <c r="E26" s="113"/>
      <c r="F26" s="116"/>
      <c r="G26" s="89"/>
    </row>
    <row r="27" spans="2:8">
      <c r="B27" s="109"/>
      <c r="C27" s="109"/>
      <c r="D27" s="109"/>
      <c r="E27" s="113"/>
      <c r="F27" s="116"/>
      <c r="G27" s="89"/>
    </row>
    <row r="28" spans="2:8">
      <c r="B28" s="109"/>
      <c r="C28" s="109"/>
      <c r="D28" s="109"/>
      <c r="E28" s="113"/>
      <c r="F28" s="116"/>
      <c r="G28" s="89"/>
    </row>
    <row r="29" spans="2:8">
      <c r="B29" s="109"/>
      <c r="C29" s="109"/>
      <c r="D29" s="109"/>
      <c r="E29" s="113"/>
      <c r="F29" s="116"/>
      <c r="G29" s="89"/>
    </row>
    <row r="30" spans="2:8">
      <c r="B30" s="109"/>
      <c r="C30" s="109"/>
      <c r="D30" s="109"/>
      <c r="E30" s="113"/>
      <c r="F30" s="116"/>
      <c r="G30" s="89"/>
    </row>
    <row r="31" spans="2:8">
      <c r="B31" s="109"/>
      <c r="C31" s="109"/>
      <c r="D31" s="109"/>
      <c r="E31" s="113"/>
      <c r="F31" s="116"/>
      <c r="G31" s="89"/>
    </row>
    <row r="32" spans="2:8">
      <c r="B32" s="109"/>
      <c r="C32" s="109"/>
      <c r="D32" s="109"/>
      <c r="E32" s="113"/>
      <c r="F32" s="116"/>
      <c r="G32" s="89"/>
    </row>
    <row r="33" spans="2:7">
      <c r="B33" s="109"/>
      <c r="C33" s="109"/>
      <c r="D33" s="109"/>
      <c r="E33" s="113"/>
      <c r="F33" s="116"/>
      <c r="G33" s="89"/>
    </row>
    <row r="34" spans="2:7">
      <c r="B34" s="110"/>
      <c r="C34" s="110"/>
      <c r="D34" s="110"/>
      <c r="E34" s="114"/>
      <c r="F34" s="116"/>
      <c r="G34" s="89"/>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E136" zoomScale="56" workbookViewId="0">
      <selection activeCell="J182" sqref="J182"/>
    </sheetView>
  </sheetViews>
  <sheetFormatPr defaultColWidth="11.42578125" defaultRowHeight="14.8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X50"/>
  <sheetViews>
    <sheetView topLeftCell="P1" zoomScale="36" workbookViewId="0">
      <selection activeCell="W28" sqref="W28"/>
    </sheetView>
  </sheetViews>
  <sheetFormatPr defaultColWidth="9.140625" defaultRowHeight="15" customHeight="1"/>
  <cols>
    <col min="1" max="1" width="14.28515625" customWidth="1"/>
    <col min="2" max="2" width="3.28515625" bestFit="1" customWidth="1"/>
    <col min="3" max="3" width="35" customWidth="1"/>
    <col min="4" max="4" width="15.140625" bestFit="1" customWidth="1"/>
    <col min="5" max="5" width="17.140625" bestFit="1" customWidth="1"/>
    <col min="6" max="6" width="22.140625" bestFit="1" customWidth="1"/>
    <col min="7" max="7" width="66.28515625" customWidth="1"/>
    <col min="8" max="10" width="14.28515625" customWidth="1"/>
    <col min="11" max="11" width="23.140625" customWidth="1"/>
    <col min="12" max="12" width="28.42578125" customWidth="1"/>
    <col min="13" max="13" width="24.42578125" customWidth="1"/>
    <col min="14" max="14" width="14.28515625" customWidth="1"/>
    <col min="15" max="15" width="16.140625" customWidth="1"/>
    <col min="16" max="16" width="17.85546875" customWidth="1"/>
    <col min="17" max="17" width="21.42578125" customWidth="1"/>
    <col min="18" max="18" width="17.140625" customWidth="1"/>
    <col min="19" max="19" width="18.5703125" customWidth="1"/>
    <col min="20" max="20" width="19.5703125" customWidth="1"/>
    <col min="21" max="21" width="18" customWidth="1"/>
    <col min="22" max="23" width="14.28515625" customWidth="1"/>
    <col min="24" max="24" width="18" customWidth="1"/>
  </cols>
  <sheetData>
    <row r="1" spans="1:24" s="3" customFormat="1" ht="288.60000000000002" customHeight="1" thickBot="1">
      <c r="A1" s="120" t="s">
        <v>42</v>
      </c>
      <c r="B1" s="121"/>
      <c r="C1" s="121"/>
      <c r="D1" s="121"/>
      <c r="E1" s="121"/>
      <c r="F1" s="121"/>
      <c r="G1" s="121"/>
      <c r="H1" s="121"/>
      <c r="I1" s="121"/>
      <c r="J1" s="122"/>
      <c r="K1" s="128" t="s">
        <v>43</v>
      </c>
      <c r="L1" s="129"/>
      <c r="M1" s="129"/>
      <c r="N1" s="123" t="s">
        <v>44</v>
      </c>
      <c r="O1" s="124"/>
      <c r="P1" s="124"/>
      <c r="Q1" s="125"/>
      <c r="R1" s="126" t="s">
        <v>45</v>
      </c>
      <c r="S1" s="127"/>
      <c r="T1" s="127"/>
      <c r="U1" s="127"/>
      <c r="V1" s="117" t="s">
        <v>46</v>
      </c>
      <c r="W1" s="118"/>
      <c r="X1" s="119"/>
    </row>
    <row r="2" spans="1:24" s="1" customFormat="1" ht="75.75">
      <c r="A2" s="51" t="s">
        <v>47</v>
      </c>
      <c r="B2" s="52" t="s">
        <v>48</v>
      </c>
      <c r="C2" s="52" t="s">
        <v>49</v>
      </c>
      <c r="D2" s="52" t="s">
        <v>50</v>
      </c>
      <c r="E2" s="52" t="s">
        <v>51</v>
      </c>
      <c r="F2" s="52" t="s">
        <v>52</v>
      </c>
      <c r="G2" s="52" t="s">
        <v>53</v>
      </c>
      <c r="H2" s="52" t="s">
        <v>54</v>
      </c>
      <c r="I2" s="52" t="s">
        <v>55</v>
      </c>
      <c r="J2" s="58" t="s">
        <v>56</v>
      </c>
      <c r="K2" s="60" t="s">
        <v>57</v>
      </c>
      <c r="L2" s="53" t="s">
        <v>58</v>
      </c>
      <c r="M2" s="62" t="s">
        <v>59</v>
      </c>
      <c r="N2" s="64" t="s">
        <v>60</v>
      </c>
      <c r="O2" s="54" t="s">
        <v>61</v>
      </c>
      <c r="P2" s="54" t="s">
        <v>62</v>
      </c>
      <c r="Q2" s="65" t="s">
        <v>63</v>
      </c>
      <c r="R2" s="63" t="s">
        <v>64</v>
      </c>
      <c r="S2" s="55" t="s">
        <v>65</v>
      </c>
      <c r="T2" s="55" t="s">
        <v>66</v>
      </c>
      <c r="U2" s="61" t="s">
        <v>67</v>
      </c>
      <c r="V2" s="59" t="s">
        <v>68</v>
      </c>
      <c r="W2" s="56" t="s">
        <v>69</v>
      </c>
      <c r="X2" s="57" t="s">
        <v>70</v>
      </c>
    </row>
    <row r="3" spans="1:24">
      <c r="A3" s="49">
        <v>18462016</v>
      </c>
      <c r="B3" s="49">
        <v>2</v>
      </c>
      <c r="C3" s="49" t="s">
        <v>71</v>
      </c>
      <c r="D3" s="50" t="s">
        <v>72</v>
      </c>
      <c r="E3" s="50" t="s">
        <v>73</v>
      </c>
      <c r="F3" s="50" t="s">
        <v>74</v>
      </c>
      <c r="G3" s="68" t="s">
        <v>75</v>
      </c>
      <c r="H3" s="69" t="s">
        <v>76</v>
      </c>
      <c r="I3" s="70">
        <v>45768</v>
      </c>
      <c r="J3" s="69"/>
      <c r="K3" s="71">
        <v>3</v>
      </c>
      <c r="L3" s="72">
        <v>2</v>
      </c>
      <c r="M3" s="72">
        <v>2</v>
      </c>
      <c r="N3" s="72">
        <v>2</v>
      </c>
      <c r="O3" s="72">
        <v>2</v>
      </c>
      <c r="P3" s="72">
        <v>2</v>
      </c>
      <c r="Q3" s="72">
        <v>3</v>
      </c>
      <c r="R3" s="72">
        <v>3</v>
      </c>
      <c r="S3" s="72">
        <v>2</v>
      </c>
      <c r="T3" s="72">
        <v>2</v>
      </c>
      <c r="U3" s="72">
        <v>1</v>
      </c>
      <c r="V3" s="72">
        <f>SUM(K3:U3)</f>
        <v>24</v>
      </c>
      <c r="W3" s="73">
        <f>V3/33</f>
        <v>0.72727272727272729</v>
      </c>
      <c r="X3" s="72" t="str">
        <f>IF(H3="Rendida ",IF(W3&lt;49.5%,"Por Mejorar",IF(W3&lt;64.5%,"Base",IF(W3&lt;84.5%,"Satisfactorio","Óptimo"))),"No rendida o no válida")</f>
        <v>Satisfactorio</v>
      </c>
    </row>
    <row r="4" spans="1:24">
      <c r="A4" s="48">
        <v>18539040</v>
      </c>
      <c r="B4" s="48">
        <v>3</v>
      </c>
      <c r="C4" s="49" t="s">
        <v>77</v>
      </c>
      <c r="D4" s="47" t="s">
        <v>78</v>
      </c>
      <c r="E4" s="47" t="s">
        <v>79</v>
      </c>
      <c r="F4" s="47" t="s">
        <v>80</v>
      </c>
      <c r="G4" s="74" t="s">
        <v>75</v>
      </c>
      <c r="H4" s="75" t="s">
        <v>76</v>
      </c>
      <c r="I4" s="70">
        <v>45768</v>
      </c>
      <c r="J4" s="75"/>
      <c r="K4" s="76">
        <v>3</v>
      </c>
      <c r="L4" s="30">
        <v>3</v>
      </c>
      <c r="M4" s="30">
        <v>3</v>
      </c>
      <c r="N4" s="30">
        <v>2</v>
      </c>
      <c r="O4" s="30">
        <v>2</v>
      </c>
      <c r="P4" s="30">
        <v>2</v>
      </c>
      <c r="Q4" s="30">
        <v>2</v>
      </c>
      <c r="R4" s="30">
        <v>3</v>
      </c>
      <c r="S4" s="30">
        <v>2</v>
      </c>
      <c r="T4" s="30">
        <v>2</v>
      </c>
      <c r="U4" s="30">
        <v>2</v>
      </c>
      <c r="V4" s="72">
        <f t="shared" ref="V4:V28" si="0">SUM(K4:U4)</f>
        <v>26</v>
      </c>
      <c r="W4" s="73">
        <f t="shared" ref="W4:W28" si="1">V4/33</f>
        <v>0.78787878787878785</v>
      </c>
      <c r="X4" s="72" t="str">
        <f t="shared" ref="X4:X28" si="2">IF(H4="Rendida ",IF(W4&lt;49.5%,"Por Mejorar",IF(W4&lt;64.5%,"Base",IF(W4&lt;84.5%,"Satisfactorio","Óptimo"))),"No rendida o no válida")</f>
        <v>Satisfactorio</v>
      </c>
    </row>
    <row r="5" spans="1:24" hidden="1">
      <c r="A5" s="48">
        <v>19438481</v>
      </c>
      <c r="B5" s="48">
        <v>5</v>
      </c>
      <c r="C5" s="49" t="s">
        <v>81</v>
      </c>
      <c r="D5" s="47" t="s">
        <v>82</v>
      </c>
      <c r="E5" s="47" t="s">
        <v>83</v>
      </c>
      <c r="F5" s="47" t="s">
        <v>84</v>
      </c>
      <c r="G5" s="74" t="s">
        <v>85</v>
      </c>
      <c r="H5" s="75" t="s">
        <v>86</v>
      </c>
      <c r="I5" s="77"/>
      <c r="J5" s="75" t="s">
        <v>87</v>
      </c>
      <c r="K5" s="76"/>
      <c r="L5" s="30"/>
      <c r="M5" s="30"/>
      <c r="N5" s="30"/>
      <c r="O5" s="30"/>
      <c r="P5" s="30"/>
      <c r="Q5" s="30"/>
      <c r="R5" s="30"/>
      <c r="S5" s="30"/>
      <c r="T5" s="30"/>
      <c r="U5" s="30"/>
      <c r="V5" s="72">
        <f t="shared" si="0"/>
        <v>0</v>
      </c>
      <c r="W5" s="73">
        <f t="shared" si="1"/>
        <v>0</v>
      </c>
      <c r="X5" s="72" t="str">
        <f t="shared" si="2"/>
        <v>No rendida o no válida</v>
      </c>
    </row>
    <row r="6" spans="1:24" hidden="1">
      <c r="A6" s="48">
        <v>20138854</v>
      </c>
      <c r="B6" s="48">
        <v>6</v>
      </c>
      <c r="C6" s="49" t="s">
        <v>88</v>
      </c>
      <c r="D6" s="47" t="s">
        <v>89</v>
      </c>
      <c r="E6" s="47" t="s">
        <v>90</v>
      </c>
      <c r="F6" s="47" t="s">
        <v>91</v>
      </c>
      <c r="G6" s="74" t="s">
        <v>85</v>
      </c>
      <c r="H6" s="75" t="s">
        <v>86</v>
      </c>
      <c r="I6" s="77"/>
      <c r="J6" s="75" t="s">
        <v>87</v>
      </c>
      <c r="K6" s="76"/>
      <c r="L6" s="30"/>
      <c r="M6" s="30"/>
      <c r="N6" s="30"/>
      <c r="O6" s="30"/>
      <c r="P6" s="30"/>
      <c r="Q6" s="30"/>
      <c r="R6" s="30"/>
      <c r="S6" s="30"/>
      <c r="T6" s="30"/>
      <c r="U6" s="30"/>
      <c r="V6" s="72">
        <f t="shared" si="0"/>
        <v>0</v>
      </c>
      <c r="W6" s="73">
        <f t="shared" si="1"/>
        <v>0</v>
      </c>
      <c r="X6" s="72" t="str">
        <f t="shared" si="2"/>
        <v>No rendida o no válida</v>
      </c>
    </row>
    <row r="7" spans="1:24" hidden="1">
      <c r="A7" s="48">
        <v>20615900</v>
      </c>
      <c r="B7" s="48">
        <v>6</v>
      </c>
      <c r="C7" s="49" t="s">
        <v>92</v>
      </c>
      <c r="D7" s="47" t="s">
        <v>93</v>
      </c>
      <c r="E7" s="47" t="s">
        <v>94</v>
      </c>
      <c r="F7" s="47" t="s">
        <v>95</v>
      </c>
      <c r="G7" s="74" t="s">
        <v>96</v>
      </c>
      <c r="H7" s="75" t="s">
        <v>86</v>
      </c>
      <c r="I7" s="78"/>
      <c r="J7" s="75"/>
      <c r="K7" s="76"/>
      <c r="L7" s="30"/>
      <c r="M7" s="30"/>
      <c r="N7" s="30"/>
      <c r="O7" s="30"/>
      <c r="P7" s="30"/>
      <c r="Q7" s="30"/>
      <c r="R7" s="30"/>
      <c r="S7" s="30"/>
      <c r="T7" s="30"/>
      <c r="U7" s="30"/>
      <c r="V7" s="72">
        <f t="shared" si="0"/>
        <v>0</v>
      </c>
      <c r="W7" s="73">
        <f t="shared" si="1"/>
        <v>0</v>
      </c>
      <c r="X7" s="72" t="str">
        <f t="shared" si="2"/>
        <v>No rendida o no válida</v>
      </c>
    </row>
    <row r="8" spans="1:24">
      <c r="A8" s="48">
        <v>20728661</v>
      </c>
      <c r="B8" s="48">
        <v>3</v>
      </c>
      <c r="C8" s="49" t="s">
        <v>97</v>
      </c>
      <c r="D8" s="47" t="s">
        <v>98</v>
      </c>
      <c r="E8" s="47" t="s">
        <v>99</v>
      </c>
      <c r="F8" s="47" t="s">
        <v>100</v>
      </c>
      <c r="G8" s="74" t="s">
        <v>75</v>
      </c>
      <c r="H8" s="75" t="s">
        <v>76</v>
      </c>
      <c r="I8" s="70">
        <v>45768</v>
      </c>
      <c r="J8" s="75"/>
      <c r="K8" s="76">
        <v>3</v>
      </c>
      <c r="L8" s="30">
        <v>3</v>
      </c>
      <c r="M8" s="30">
        <v>2</v>
      </c>
      <c r="N8" s="30">
        <v>1</v>
      </c>
      <c r="O8" s="30">
        <v>1</v>
      </c>
      <c r="P8" s="30">
        <v>1</v>
      </c>
      <c r="Q8" s="30">
        <v>2</v>
      </c>
      <c r="R8" s="30">
        <v>2</v>
      </c>
      <c r="S8" s="30">
        <v>3</v>
      </c>
      <c r="T8" s="30">
        <v>3</v>
      </c>
      <c r="U8" s="30">
        <v>3</v>
      </c>
      <c r="V8" s="72">
        <f t="shared" si="0"/>
        <v>24</v>
      </c>
      <c r="W8" s="73">
        <f t="shared" si="1"/>
        <v>0.72727272727272729</v>
      </c>
      <c r="X8" s="72" t="str">
        <f t="shared" si="2"/>
        <v>Satisfactorio</v>
      </c>
    </row>
    <row r="9" spans="1:24" hidden="1">
      <c r="A9" s="48">
        <v>20791418</v>
      </c>
      <c r="B9" s="48">
        <v>5</v>
      </c>
      <c r="C9" s="49" t="s">
        <v>101</v>
      </c>
      <c r="D9" s="47" t="s">
        <v>102</v>
      </c>
      <c r="E9" s="47" t="s">
        <v>103</v>
      </c>
      <c r="F9" s="47" t="s">
        <v>104</v>
      </c>
      <c r="G9" s="74" t="s">
        <v>96</v>
      </c>
      <c r="H9" s="75" t="s">
        <v>86</v>
      </c>
      <c r="I9" s="79"/>
      <c r="J9" s="75"/>
      <c r="K9" s="76"/>
      <c r="L9" s="30"/>
      <c r="M9" s="30"/>
      <c r="N9" s="30"/>
      <c r="O9" s="30"/>
      <c r="P9" s="30"/>
      <c r="Q9" s="30"/>
      <c r="R9" s="30"/>
      <c r="S9" s="30"/>
      <c r="T9" s="30"/>
      <c r="U9" s="30"/>
      <c r="V9" s="72">
        <f t="shared" si="0"/>
        <v>0</v>
      </c>
      <c r="W9" s="73">
        <f t="shared" si="1"/>
        <v>0</v>
      </c>
      <c r="X9" s="72" t="str">
        <f t="shared" si="2"/>
        <v>No rendida o no válida</v>
      </c>
    </row>
    <row r="10" spans="1:24">
      <c r="A10" s="48">
        <v>20834450</v>
      </c>
      <c r="B10" s="48">
        <v>1</v>
      </c>
      <c r="C10" s="49" t="s">
        <v>105</v>
      </c>
      <c r="D10" s="47" t="s">
        <v>106</v>
      </c>
      <c r="E10" s="47" t="s">
        <v>107</v>
      </c>
      <c r="F10" s="47" t="s">
        <v>108</v>
      </c>
      <c r="G10" s="74" t="s">
        <v>75</v>
      </c>
      <c r="H10" s="75" t="s">
        <v>76</v>
      </c>
      <c r="I10" s="70">
        <v>45768</v>
      </c>
      <c r="J10" s="75"/>
      <c r="K10" s="76">
        <v>3</v>
      </c>
      <c r="L10" s="30">
        <v>3</v>
      </c>
      <c r="M10" s="30">
        <v>0</v>
      </c>
      <c r="N10" s="30">
        <v>1</v>
      </c>
      <c r="O10" s="30">
        <v>1</v>
      </c>
      <c r="P10" s="30">
        <v>1</v>
      </c>
      <c r="Q10" s="30">
        <v>1</v>
      </c>
      <c r="R10" s="30">
        <v>1</v>
      </c>
      <c r="S10" s="30">
        <v>2</v>
      </c>
      <c r="T10" s="30">
        <v>2</v>
      </c>
      <c r="U10" s="30">
        <v>1</v>
      </c>
      <c r="V10" s="72">
        <f t="shared" si="0"/>
        <v>16</v>
      </c>
      <c r="W10" s="73">
        <f t="shared" si="1"/>
        <v>0.48484848484848486</v>
      </c>
      <c r="X10" s="72" t="str">
        <f t="shared" si="2"/>
        <v>Por Mejorar</v>
      </c>
    </row>
    <row r="11" spans="1:24" hidden="1">
      <c r="A11" s="48">
        <v>20943329</v>
      </c>
      <c r="B11" s="46" t="s">
        <v>109</v>
      </c>
      <c r="C11" s="49" t="s">
        <v>110</v>
      </c>
      <c r="D11" s="47" t="s">
        <v>111</v>
      </c>
      <c r="E11" s="47" t="s">
        <v>112</v>
      </c>
      <c r="F11" s="47" t="s">
        <v>113</v>
      </c>
      <c r="G11" s="74" t="s">
        <v>96</v>
      </c>
      <c r="H11" s="75" t="s">
        <v>86</v>
      </c>
      <c r="I11" s="79"/>
      <c r="J11" s="75"/>
      <c r="K11" s="76"/>
      <c r="L11" s="30"/>
      <c r="M11" s="30"/>
      <c r="N11" s="30"/>
      <c r="O11" s="30"/>
      <c r="P11" s="30"/>
      <c r="Q11" s="30"/>
      <c r="R11" s="30"/>
      <c r="S11" s="30"/>
      <c r="T11" s="30"/>
      <c r="U11" s="30"/>
      <c r="V11" s="72">
        <f t="shared" si="0"/>
        <v>0</v>
      </c>
      <c r="W11" s="73">
        <f t="shared" si="1"/>
        <v>0</v>
      </c>
      <c r="X11" s="72" t="str">
        <f t="shared" si="2"/>
        <v>No rendida o no válida</v>
      </c>
    </row>
    <row r="12" spans="1:24" hidden="1">
      <c r="A12" s="48">
        <v>21066164</v>
      </c>
      <c r="B12" s="48">
        <v>6</v>
      </c>
      <c r="C12" s="49" t="s">
        <v>114</v>
      </c>
      <c r="D12" s="47" t="s">
        <v>115</v>
      </c>
      <c r="E12" s="47" t="s">
        <v>116</v>
      </c>
      <c r="F12" s="47" t="s">
        <v>117</v>
      </c>
      <c r="G12" s="74" t="s">
        <v>96</v>
      </c>
      <c r="H12" s="75" t="s">
        <v>86</v>
      </c>
      <c r="I12" s="79"/>
      <c r="J12" s="75"/>
      <c r="K12" s="76"/>
      <c r="L12" s="30"/>
      <c r="M12" s="30"/>
      <c r="N12" s="30"/>
      <c r="O12" s="30"/>
      <c r="P12" s="30"/>
      <c r="Q12" s="30"/>
      <c r="R12" s="30"/>
      <c r="S12" s="30"/>
      <c r="T12" s="30"/>
      <c r="U12" s="30"/>
      <c r="V12" s="72">
        <f t="shared" si="0"/>
        <v>0</v>
      </c>
      <c r="W12" s="73">
        <f t="shared" si="1"/>
        <v>0</v>
      </c>
      <c r="X12" s="72" t="str">
        <f t="shared" si="2"/>
        <v>No rendida o no válida</v>
      </c>
    </row>
    <row r="13" spans="1:24" hidden="1">
      <c r="A13" s="48">
        <v>21540776</v>
      </c>
      <c r="B13" s="48">
        <v>4</v>
      </c>
      <c r="C13" s="49" t="s">
        <v>118</v>
      </c>
      <c r="D13" s="47" t="s">
        <v>119</v>
      </c>
      <c r="E13" s="47" t="s">
        <v>120</v>
      </c>
      <c r="F13" s="47" t="s">
        <v>121</v>
      </c>
      <c r="G13" s="74" t="s">
        <v>96</v>
      </c>
      <c r="H13" s="75" t="s">
        <v>86</v>
      </c>
      <c r="I13" s="79"/>
      <c r="J13" s="75"/>
      <c r="K13" s="76"/>
      <c r="L13" s="30"/>
      <c r="M13" s="30"/>
      <c r="N13" s="30"/>
      <c r="O13" s="30"/>
      <c r="P13" s="30"/>
      <c r="Q13" s="30"/>
      <c r="R13" s="30"/>
      <c r="S13" s="30"/>
      <c r="T13" s="30"/>
      <c r="U13" s="30"/>
      <c r="V13" s="72">
        <f t="shared" si="0"/>
        <v>0</v>
      </c>
      <c r="W13" s="73">
        <f t="shared" si="1"/>
        <v>0</v>
      </c>
      <c r="X13" s="72" t="str">
        <f t="shared" si="2"/>
        <v>No rendida o no válida</v>
      </c>
    </row>
    <row r="14" spans="1:24">
      <c r="A14" s="48">
        <v>21572495</v>
      </c>
      <c r="B14" s="48">
        <v>6</v>
      </c>
      <c r="C14" s="49" t="s">
        <v>122</v>
      </c>
      <c r="D14" s="47" t="s">
        <v>123</v>
      </c>
      <c r="E14" s="47" t="s">
        <v>124</v>
      </c>
      <c r="F14" s="47" t="s">
        <v>125</v>
      </c>
      <c r="G14" s="74" t="s">
        <v>75</v>
      </c>
      <c r="H14" s="75" t="s">
        <v>76</v>
      </c>
      <c r="I14" s="70">
        <v>45768</v>
      </c>
      <c r="J14" s="75"/>
      <c r="K14" s="76">
        <v>3</v>
      </c>
      <c r="L14" s="30">
        <v>3</v>
      </c>
      <c r="M14" s="30">
        <v>2</v>
      </c>
      <c r="N14" s="30">
        <v>1</v>
      </c>
      <c r="O14" s="30">
        <v>1</v>
      </c>
      <c r="P14" s="30">
        <v>1</v>
      </c>
      <c r="Q14" s="30">
        <v>1</v>
      </c>
      <c r="R14" s="30">
        <v>3</v>
      </c>
      <c r="S14" s="30">
        <v>2</v>
      </c>
      <c r="T14" s="30">
        <v>2</v>
      </c>
      <c r="U14" s="30">
        <v>2</v>
      </c>
      <c r="V14" s="72">
        <f t="shared" si="0"/>
        <v>21</v>
      </c>
      <c r="W14" s="73">
        <f t="shared" si="1"/>
        <v>0.63636363636363635</v>
      </c>
      <c r="X14" s="72" t="str">
        <f t="shared" si="2"/>
        <v>Base</v>
      </c>
    </row>
    <row r="15" spans="1:24" hidden="1">
      <c r="A15" s="48">
        <v>21589677</v>
      </c>
      <c r="B15" s="48">
        <v>3</v>
      </c>
      <c r="C15" s="49" t="s">
        <v>126</v>
      </c>
      <c r="D15" s="47" t="s">
        <v>112</v>
      </c>
      <c r="E15" s="47" t="s">
        <v>127</v>
      </c>
      <c r="F15" s="47" t="s">
        <v>128</v>
      </c>
      <c r="G15" s="74" t="s">
        <v>96</v>
      </c>
      <c r="H15" s="75" t="s">
        <v>86</v>
      </c>
      <c r="I15" s="79"/>
      <c r="J15" s="75" t="s">
        <v>87</v>
      </c>
      <c r="K15" s="76"/>
      <c r="L15" s="30"/>
      <c r="M15" s="30"/>
      <c r="N15" s="30"/>
      <c r="O15" s="30"/>
      <c r="P15" s="30"/>
      <c r="Q15" s="30"/>
      <c r="R15" s="30"/>
      <c r="S15" s="30"/>
      <c r="T15" s="30"/>
      <c r="U15" s="30"/>
      <c r="V15" s="72">
        <f t="shared" si="0"/>
        <v>0</v>
      </c>
      <c r="W15" s="73">
        <f t="shared" si="1"/>
        <v>0</v>
      </c>
      <c r="X15" s="72" t="str">
        <f t="shared" si="2"/>
        <v>No rendida o no válida</v>
      </c>
    </row>
    <row r="16" spans="1:24" hidden="1">
      <c r="A16" s="48">
        <v>21620780</v>
      </c>
      <c r="B16" s="48">
        <v>7</v>
      </c>
      <c r="C16" s="49" t="s">
        <v>129</v>
      </c>
      <c r="D16" s="47" t="s">
        <v>130</v>
      </c>
      <c r="E16" s="47" t="s">
        <v>131</v>
      </c>
      <c r="F16" s="47" t="s">
        <v>132</v>
      </c>
      <c r="G16" s="74" t="s">
        <v>85</v>
      </c>
      <c r="H16" s="27" t="s">
        <v>86</v>
      </c>
      <c r="I16" s="80"/>
      <c r="J16" s="27"/>
      <c r="K16" s="81"/>
      <c r="L16" s="82"/>
      <c r="M16" s="82"/>
      <c r="N16" s="82"/>
      <c r="O16" s="82"/>
      <c r="P16" s="82"/>
      <c r="Q16" s="82"/>
      <c r="R16" s="82"/>
      <c r="S16" s="82"/>
      <c r="T16" s="82"/>
      <c r="U16" s="82"/>
      <c r="V16" s="72">
        <f t="shared" si="0"/>
        <v>0</v>
      </c>
      <c r="W16" s="73">
        <f t="shared" si="1"/>
        <v>0</v>
      </c>
      <c r="X16" s="72" t="str">
        <f t="shared" si="2"/>
        <v>No rendida o no válida</v>
      </c>
    </row>
    <row r="17" spans="1:24" hidden="1">
      <c r="A17" s="48">
        <v>21636615</v>
      </c>
      <c r="B17" s="48">
        <v>8</v>
      </c>
      <c r="C17" s="49" t="s">
        <v>133</v>
      </c>
      <c r="D17" s="47" t="s">
        <v>134</v>
      </c>
      <c r="E17" s="47" t="s">
        <v>135</v>
      </c>
      <c r="F17" s="47" t="s">
        <v>136</v>
      </c>
      <c r="G17" s="74" t="s">
        <v>96</v>
      </c>
      <c r="H17" s="75" t="s">
        <v>86</v>
      </c>
      <c r="I17" s="79"/>
      <c r="J17" s="75"/>
      <c r="K17" s="76"/>
      <c r="L17" s="30"/>
      <c r="M17" s="30"/>
      <c r="N17" s="30"/>
      <c r="O17" s="30"/>
      <c r="P17" s="30"/>
      <c r="Q17" s="30"/>
      <c r="R17" s="30"/>
      <c r="S17" s="30"/>
      <c r="T17" s="30"/>
      <c r="U17" s="30"/>
      <c r="V17" s="72">
        <f t="shared" si="0"/>
        <v>0</v>
      </c>
      <c r="W17" s="73">
        <f t="shared" si="1"/>
        <v>0</v>
      </c>
      <c r="X17" s="72" t="str">
        <f t="shared" si="2"/>
        <v>No rendida o no válida</v>
      </c>
    </row>
    <row r="18" spans="1:24" hidden="1">
      <c r="A18" s="48">
        <v>21666037</v>
      </c>
      <c r="B18" s="48">
        <v>4</v>
      </c>
      <c r="C18" s="49" t="s">
        <v>137</v>
      </c>
      <c r="D18" s="47" t="s">
        <v>138</v>
      </c>
      <c r="E18" s="47" t="s">
        <v>139</v>
      </c>
      <c r="F18" s="47" t="s">
        <v>140</v>
      </c>
      <c r="G18" s="74" t="s">
        <v>85</v>
      </c>
      <c r="H18" s="75" t="s">
        <v>86</v>
      </c>
      <c r="I18" s="79"/>
      <c r="J18" s="75" t="s">
        <v>87</v>
      </c>
      <c r="K18" s="76"/>
      <c r="L18" s="30"/>
      <c r="M18" s="30"/>
      <c r="N18" s="30"/>
      <c r="O18" s="30"/>
      <c r="P18" s="30"/>
      <c r="Q18" s="30"/>
      <c r="R18" s="30"/>
      <c r="S18" s="30"/>
      <c r="T18" s="30"/>
      <c r="U18" s="30"/>
      <c r="V18" s="72">
        <f t="shared" si="0"/>
        <v>0</v>
      </c>
      <c r="W18" s="73">
        <f t="shared" si="1"/>
        <v>0</v>
      </c>
      <c r="X18" s="72" t="str">
        <f t="shared" si="2"/>
        <v>No rendida o no válida</v>
      </c>
    </row>
    <row r="19" spans="1:24" hidden="1">
      <c r="A19" s="48">
        <v>21764696</v>
      </c>
      <c r="B19" s="48">
        <v>0</v>
      </c>
      <c r="C19" s="49" t="s">
        <v>141</v>
      </c>
      <c r="D19" s="47" t="s">
        <v>107</v>
      </c>
      <c r="E19" s="47" t="s">
        <v>142</v>
      </c>
      <c r="F19" s="47" t="s">
        <v>143</v>
      </c>
      <c r="G19" s="74" t="s">
        <v>96</v>
      </c>
      <c r="H19" s="75" t="s">
        <v>86</v>
      </c>
      <c r="I19" s="79"/>
      <c r="J19" s="75"/>
      <c r="K19" s="76"/>
      <c r="L19" s="30"/>
      <c r="M19" s="30"/>
      <c r="N19" s="30"/>
      <c r="O19" s="30"/>
      <c r="P19" s="30"/>
      <c r="Q19" s="30"/>
      <c r="R19" s="30"/>
      <c r="S19" s="30"/>
      <c r="T19" s="30"/>
      <c r="U19" s="30"/>
      <c r="V19" s="72">
        <f t="shared" si="0"/>
        <v>0</v>
      </c>
      <c r="W19" s="73">
        <f t="shared" si="1"/>
        <v>0</v>
      </c>
      <c r="X19" s="72" t="str">
        <f t="shared" si="2"/>
        <v>No rendida o no válida</v>
      </c>
    </row>
    <row r="20" spans="1:24" hidden="1">
      <c r="A20" s="33"/>
      <c r="B20" s="33"/>
      <c r="C20" s="49" t="s">
        <v>144</v>
      </c>
      <c r="D20" s="34"/>
      <c r="E20" s="34"/>
      <c r="F20" s="34"/>
      <c r="G20" s="74"/>
      <c r="H20" s="75"/>
      <c r="I20" s="79"/>
      <c r="J20" s="75"/>
      <c r="K20" s="76"/>
      <c r="L20" s="30"/>
      <c r="M20" s="30"/>
      <c r="N20" s="30"/>
      <c r="O20" s="30"/>
      <c r="P20" s="30"/>
      <c r="Q20" s="30"/>
      <c r="R20" s="30"/>
      <c r="S20" s="30"/>
      <c r="T20" s="30"/>
      <c r="U20" s="30"/>
      <c r="V20" s="72">
        <f t="shared" si="0"/>
        <v>0</v>
      </c>
      <c r="W20" s="73">
        <f t="shared" si="1"/>
        <v>0</v>
      </c>
      <c r="X20" s="72" t="str">
        <f t="shared" si="2"/>
        <v>No rendida o no válida</v>
      </c>
    </row>
    <row r="21" spans="1:24" hidden="1">
      <c r="A21" s="33"/>
      <c r="B21" s="33"/>
      <c r="C21" s="49" t="s">
        <v>144</v>
      </c>
      <c r="D21" s="34"/>
      <c r="E21" s="34"/>
      <c r="F21" s="34"/>
      <c r="G21" s="83"/>
      <c r="H21" s="75"/>
      <c r="I21" s="79"/>
      <c r="J21" s="75"/>
      <c r="K21" s="76"/>
      <c r="L21" s="30"/>
      <c r="M21" s="30"/>
      <c r="N21" s="30"/>
      <c r="O21" s="30"/>
      <c r="P21" s="30"/>
      <c r="Q21" s="30"/>
      <c r="R21" s="30"/>
      <c r="S21" s="30"/>
      <c r="T21" s="30"/>
      <c r="U21" s="30"/>
      <c r="V21" s="72">
        <f t="shared" si="0"/>
        <v>0</v>
      </c>
      <c r="W21" s="73">
        <f t="shared" si="1"/>
        <v>0</v>
      </c>
      <c r="X21" s="72" t="str">
        <f t="shared" si="2"/>
        <v>No rendida o no válida</v>
      </c>
    </row>
    <row r="22" spans="1:24">
      <c r="A22" s="48">
        <v>20641204</v>
      </c>
      <c r="B22" s="48">
        <v>6</v>
      </c>
      <c r="C22" s="49" t="s">
        <v>145</v>
      </c>
      <c r="D22" s="47" t="s">
        <v>146</v>
      </c>
      <c r="E22" s="47" t="s">
        <v>147</v>
      </c>
      <c r="F22" s="47" t="s">
        <v>148</v>
      </c>
      <c r="G22" s="74" t="s">
        <v>149</v>
      </c>
      <c r="H22" s="75" t="s">
        <v>76</v>
      </c>
      <c r="I22" s="70">
        <v>45768</v>
      </c>
      <c r="J22" s="75"/>
      <c r="K22" s="76">
        <v>3</v>
      </c>
      <c r="L22" s="30">
        <v>2</v>
      </c>
      <c r="M22" s="30">
        <v>1</v>
      </c>
      <c r="N22" s="30">
        <v>1</v>
      </c>
      <c r="O22" s="30">
        <v>2</v>
      </c>
      <c r="P22" s="30">
        <v>1</v>
      </c>
      <c r="Q22" s="30">
        <v>1</v>
      </c>
      <c r="R22" s="30">
        <v>2</v>
      </c>
      <c r="S22" s="30">
        <v>1</v>
      </c>
      <c r="T22" s="30">
        <v>1</v>
      </c>
      <c r="U22" s="30">
        <v>1</v>
      </c>
      <c r="V22" s="72">
        <f t="shared" si="0"/>
        <v>16</v>
      </c>
      <c r="W22" s="73">
        <f t="shared" si="1"/>
        <v>0.48484848484848486</v>
      </c>
      <c r="X22" s="72" t="str">
        <f t="shared" si="2"/>
        <v>Por Mejorar</v>
      </c>
    </row>
    <row r="23" spans="1:24">
      <c r="A23" s="48">
        <v>21093255</v>
      </c>
      <c r="B23" s="48">
        <v>0</v>
      </c>
      <c r="C23" s="49" t="s">
        <v>150</v>
      </c>
      <c r="D23" s="47" t="s">
        <v>151</v>
      </c>
      <c r="E23" s="47" t="s">
        <v>152</v>
      </c>
      <c r="F23" s="47" t="s">
        <v>153</v>
      </c>
      <c r="G23" s="74" t="s">
        <v>149</v>
      </c>
      <c r="H23" s="75" t="s">
        <v>76</v>
      </c>
      <c r="I23" s="70">
        <v>45768</v>
      </c>
      <c r="J23" s="75"/>
      <c r="K23" s="76">
        <v>3</v>
      </c>
      <c r="L23" s="30">
        <v>3</v>
      </c>
      <c r="M23" s="30">
        <v>2</v>
      </c>
      <c r="N23" s="30">
        <v>3</v>
      </c>
      <c r="O23" s="30">
        <v>2</v>
      </c>
      <c r="P23" s="30">
        <v>2</v>
      </c>
      <c r="Q23" s="30">
        <v>1</v>
      </c>
      <c r="R23" s="30">
        <v>1</v>
      </c>
      <c r="S23" s="30">
        <v>2</v>
      </c>
      <c r="T23" s="30">
        <v>1</v>
      </c>
      <c r="U23" s="30">
        <v>1</v>
      </c>
      <c r="V23" s="72">
        <f t="shared" si="0"/>
        <v>21</v>
      </c>
      <c r="W23" s="73">
        <f t="shared" si="1"/>
        <v>0.63636363636363635</v>
      </c>
      <c r="X23" s="72" t="str">
        <f t="shared" si="2"/>
        <v>Base</v>
      </c>
    </row>
    <row r="24" spans="1:24">
      <c r="A24" s="66">
        <v>21055711</v>
      </c>
      <c r="B24" s="66">
        <v>3</v>
      </c>
      <c r="C24" s="49" t="s">
        <v>154</v>
      </c>
      <c r="D24" s="67" t="s">
        <v>131</v>
      </c>
      <c r="E24" s="67" t="s">
        <v>155</v>
      </c>
      <c r="F24" s="67" t="s">
        <v>156</v>
      </c>
      <c r="G24" s="74" t="s">
        <v>149</v>
      </c>
      <c r="H24" s="75" t="s">
        <v>76</v>
      </c>
      <c r="I24" s="70">
        <v>45768</v>
      </c>
      <c r="J24" s="27"/>
      <c r="K24" s="81">
        <v>3</v>
      </c>
      <c r="L24" s="82">
        <v>3</v>
      </c>
      <c r="M24" s="82">
        <v>1</v>
      </c>
      <c r="N24" s="82">
        <v>1</v>
      </c>
      <c r="O24" s="82">
        <v>1</v>
      </c>
      <c r="P24" s="82">
        <v>1</v>
      </c>
      <c r="Q24" s="82">
        <v>1</v>
      </c>
      <c r="R24" s="82">
        <v>0</v>
      </c>
      <c r="S24" s="82">
        <v>0</v>
      </c>
      <c r="T24" s="82">
        <v>0</v>
      </c>
      <c r="U24" s="82">
        <v>0</v>
      </c>
      <c r="V24" s="72">
        <f t="shared" si="0"/>
        <v>11</v>
      </c>
      <c r="W24" s="73">
        <f t="shared" si="1"/>
        <v>0.33333333333333331</v>
      </c>
      <c r="X24" s="72" t="str">
        <f t="shared" si="2"/>
        <v>Por Mejorar</v>
      </c>
    </row>
    <row r="25" spans="1:24">
      <c r="A25" s="48">
        <v>20846841</v>
      </c>
      <c r="B25" s="48">
        <v>3</v>
      </c>
      <c r="C25" s="49" t="s">
        <v>157</v>
      </c>
      <c r="D25" s="47" t="s">
        <v>158</v>
      </c>
      <c r="E25" s="47" t="s">
        <v>159</v>
      </c>
      <c r="F25" s="47" t="s">
        <v>160</v>
      </c>
      <c r="G25" s="74" t="s">
        <v>149</v>
      </c>
      <c r="H25" s="75" t="s">
        <v>76</v>
      </c>
      <c r="I25" s="70">
        <v>45768</v>
      </c>
      <c r="J25" s="75"/>
      <c r="K25" s="76">
        <v>1</v>
      </c>
      <c r="L25" s="30">
        <v>2</v>
      </c>
      <c r="M25" s="30">
        <v>0</v>
      </c>
      <c r="N25" s="30">
        <v>1</v>
      </c>
      <c r="O25" s="30">
        <v>2</v>
      </c>
      <c r="P25" s="30">
        <v>1</v>
      </c>
      <c r="Q25" s="30">
        <v>2</v>
      </c>
      <c r="R25" s="30">
        <v>2</v>
      </c>
      <c r="S25" s="30">
        <v>2</v>
      </c>
      <c r="T25" s="30">
        <v>2</v>
      </c>
      <c r="U25" s="30">
        <v>1</v>
      </c>
      <c r="V25" s="72">
        <f t="shared" si="0"/>
        <v>16</v>
      </c>
      <c r="W25" s="73">
        <f t="shared" si="1"/>
        <v>0.48484848484848486</v>
      </c>
      <c r="X25" s="72" t="str">
        <f t="shared" si="2"/>
        <v>Por Mejorar</v>
      </c>
    </row>
    <row r="26" spans="1:24">
      <c r="A26" s="48">
        <v>20762696</v>
      </c>
      <c r="B26" s="48">
        <v>1</v>
      </c>
      <c r="C26" s="49" t="s">
        <v>161</v>
      </c>
      <c r="D26" s="47" t="s">
        <v>162</v>
      </c>
      <c r="E26" s="47" t="s">
        <v>163</v>
      </c>
      <c r="F26" s="47" t="s">
        <v>164</v>
      </c>
      <c r="G26" s="74" t="s">
        <v>149</v>
      </c>
      <c r="H26" s="75" t="s">
        <v>76</v>
      </c>
      <c r="I26" s="70">
        <v>45768</v>
      </c>
      <c r="J26" s="75"/>
      <c r="K26" s="76">
        <v>2</v>
      </c>
      <c r="L26" s="30">
        <v>1</v>
      </c>
      <c r="M26" s="30">
        <v>1</v>
      </c>
      <c r="N26" s="30">
        <v>1</v>
      </c>
      <c r="O26" s="30">
        <v>1</v>
      </c>
      <c r="P26" s="30">
        <v>1</v>
      </c>
      <c r="Q26" s="30">
        <v>1</v>
      </c>
      <c r="R26" s="30">
        <v>2</v>
      </c>
      <c r="S26" s="30">
        <v>3</v>
      </c>
      <c r="T26" s="30">
        <v>3</v>
      </c>
      <c r="U26" s="30">
        <v>3</v>
      </c>
      <c r="V26" s="72">
        <f t="shared" si="0"/>
        <v>19</v>
      </c>
      <c r="W26" s="73">
        <f t="shared" si="1"/>
        <v>0.5757575757575758</v>
      </c>
      <c r="X26" s="72" t="str">
        <f t="shared" si="2"/>
        <v>Base</v>
      </c>
    </row>
    <row r="27" spans="1:24">
      <c r="A27" s="48">
        <v>21173784</v>
      </c>
      <c r="B27" s="48">
        <v>0</v>
      </c>
      <c r="C27" s="49" t="s">
        <v>165</v>
      </c>
      <c r="D27" s="47" t="s">
        <v>166</v>
      </c>
      <c r="E27" s="47" t="s">
        <v>167</v>
      </c>
      <c r="F27" s="47" t="s">
        <v>168</v>
      </c>
      <c r="G27" s="74" t="s">
        <v>149</v>
      </c>
      <c r="H27" s="75" t="s">
        <v>76</v>
      </c>
      <c r="I27" s="70">
        <v>45768</v>
      </c>
      <c r="J27" s="75"/>
      <c r="K27" s="76">
        <v>3</v>
      </c>
      <c r="L27" s="30">
        <v>3</v>
      </c>
      <c r="M27" s="30">
        <v>0</v>
      </c>
      <c r="N27" s="30">
        <v>1</v>
      </c>
      <c r="O27" s="30">
        <v>1</v>
      </c>
      <c r="P27" s="30">
        <v>1</v>
      </c>
      <c r="Q27" s="30">
        <v>1</v>
      </c>
      <c r="R27" s="30">
        <v>1</v>
      </c>
      <c r="S27" s="30">
        <v>2</v>
      </c>
      <c r="T27" s="30">
        <v>1</v>
      </c>
      <c r="U27" s="30">
        <v>1</v>
      </c>
      <c r="V27" s="72">
        <f t="shared" si="0"/>
        <v>15</v>
      </c>
      <c r="W27" s="73">
        <f t="shared" si="1"/>
        <v>0.45454545454545453</v>
      </c>
      <c r="X27" s="72" t="str">
        <f t="shared" si="2"/>
        <v>Por Mejorar</v>
      </c>
    </row>
    <row r="28" spans="1:24">
      <c r="A28" s="48">
        <v>21261036</v>
      </c>
      <c r="B28" s="48">
        <v>4</v>
      </c>
      <c r="C28" s="49" t="s">
        <v>169</v>
      </c>
      <c r="D28" s="47" t="s">
        <v>170</v>
      </c>
      <c r="E28" s="47" t="s">
        <v>171</v>
      </c>
      <c r="F28" s="47" t="s">
        <v>172</v>
      </c>
      <c r="G28" s="74" t="s">
        <v>149</v>
      </c>
      <c r="H28" s="75" t="s">
        <v>76</v>
      </c>
      <c r="I28" s="70">
        <v>45768</v>
      </c>
      <c r="J28" s="75"/>
      <c r="K28" s="76">
        <v>2</v>
      </c>
      <c r="L28" s="30">
        <v>2</v>
      </c>
      <c r="M28" s="30">
        <v>2</v>
      </c>
      <c r="N28" s="30">
        <v>1</v>
      </c>
      <c r="O28" s="30">
        <v>1</v>
      </c>
      <c r="P28" s="30">
        <v>1</v>
      </c>
      <c r="Q28" s="30">
        <v>1</v>
      </c>
      <c r="R28" s="30">
        <v>1</v>
      </c>
      <c r="S28" s="30">
        <v>1</v>
      </c>
      <c r="T28" s="30">
        <v>1</v>
      </c>
      <c r="U28" s="30">
        <v>2</v>
      </c>
      <c r="V28" s="72">
        <f t="shared" si="0"/>
        <v>15</v>
      </c>
      <c r="W28" s="73">
        <f t="shared" si="1"/>
        <v>0.45454545454545453</v>
      </c>
      <c r="X28" s="72" t="str">
        <f t="shared" si="2"/>
        <v>Por Mejorar</v>
      </c>
    </row>
    <row r="29" spans="1:24">
      <c r="A29" s="33"/>
      <c r="B29" s="33"/>
      <c r="C29" s="33"/>
      <c r="D29" s="34"/>
      <c r="E29" s="34"/>
      <c r="F29" s="34"/>
      <c r="G29" s="83"/>
      <c r="H29" s="75"/>
      <c r="I29" s="79"/>
      <c r="J29" s="75"/>
      <c r="K29" s="76"/>
      <c r="L29" s="30"/>
      <c r="M29" s="30"/>
      <c r="N29" s="30"/>
      <c r="O29" s="30"/>
      <c r="P29" s="30"/>
      <c r="Q29" s="30"/>
      <c r="R29" s="30"/>
      <c r="S29" s="30"/>
      <c r="T29" s="30"/>
      <c r="U29" s="30"/>
      <c r="V29" s="30"/>
      <c r="W29" s="30"/>
      <c r="X29" s="30"/>
    </row>
    <row r="30" spans="1:24">
      <c r="A30" s="33"/>
      <c r="B30" s="33"/>
      <c r="C30" s="33"/>
      <c r="D30" s="34"/>
      <c r="E30" s="34"/>
      <c r="F30" s="34"/>
      <c r="G30" s="83"/>
      <c r="H30" s="75"/>
      <c r="I30" s="79"/>
      <c r="J30" s="75"/>
      <c r="K30" s="76"/>
      <c r="L30" s="30"/>
      <c r="M30" s="30"/>
      <c r="N30" s="30"/>
      <c r="O30" s="30"/>
      <c r="P30" s="30"/>
      <c r="Q30" s="30"/>
      <c r="R30" s="30"/>
      <c r="S30" s="30"/>
      <c r="T30" s="30"/>
      <c r="U30" s="30"/>
      <c r="V30" s="30"/>
      <c r="W30" s="30"/>
      <c r="X30" s="30"/>
    </row>
    <row r="31" spans="1:24">
      <c r="A31" s="33"/>
      <c r="B31" s="33"/>
      <c r="C31" s="33"/>
      <c r="D31" s="34"/>
      <c r="E31" s="34"/>
      <c r="F31" s="34"/>
      <c r="G31" s="83"/>
      <c r="H31" s="75"/>
      <c r="I31" s="79"/>
      <c r="J31" s="75"/>
      <c r="K31" s="76"/>
      <c r="L31" s="30"/>
      <c r="M31" s="30"/>
      <c r="N31" s="30"/>
      <c r="O31" s="30"/>
      <c r="P31" s="30"/>
      <c r="Q31" s="30"/>
      <c r="R31" s="30"/>
      <c r="S31" s="30"/>
      <c r="T31" s="30"/>
      <c r="U31" s="30"/>
      <c r="V31" s="30"/>
      <c r="W31" s="30"/>
      <c r="X31" s="30"/>
    </row>
    <row r="32" spans="1:24">
      <c r="A32" s="33"/>
      <c r="B32" s="33"/>
      <c r="C32" s="33"/>
      <c r="D32" s="34"/>
      <c r="E32" s="34"/>
      <c r="F32" s="34"/>
      <c r="G32" s="83"/>
      <c r="H32" s="75"/>
      <c r="I32" s="79"/>
      <c r="J32" s="75"/>
      <c r="K32" s="76"/>
      <c r="L32" s="30"/>
      <c r="M32" s="30"/>
      <c r="N32" s="30"/>
      <c r="O32" s="30"/>
      <c r="P32" s="30"/>
      <c r="Q32" s="30"/>
      <c r="R32" s="30"/>
      <c r="S32" s="30"/>
      <c r="T32" s="30"/>
      <c r="U32" s="30"/>
      <c r="V32" s="30"/>
      <c r="W32" s="30"/>
      <c r="X32" s="30"/>
    </row>
    <row r="33" spans="1:24">
      <c r="A33" s="33"/>
      <c r="B33" s="33"/>
      <c r="C33" s="33"/>
      <c r="D33" s="34"/>
      <c r="E33" s="34"/>
      <c r="F33" s="34"/>
      <c r="G33" s="83"/>
      <c r="H33" s="75"/>
      <c r="I33" s="79"/>
      <c r="J33" s="75"/>
      <c r="K33" s="76"/>
      <c r="L33" s="30"/>
      <c r="M33" s="30"/>
      <c r="N33" s="30"/>
      <c r="O33" s="30"/>
      <c r="P33" s="30"/>
      <c r="Q33" s="30"/>
      <c r="R33" s="30"/>
      <c r="S33" s="30"/>
      <c r="T33" s="30"/>
      <c r="U33" s="30"/>
      <c r="V33" s="30"/>
      <c r="W33" s="30"/>
      <c r="X33" s="30"/>
    </row>
    <row r="34" spans="1:24">
      <c r="A34" s="33"/>
      <c r="B34" s="33"/>
      <c r="C34" s="33"/>
      <c r="D34" s="34"/>
      <c r="E34" s="34"/>
      <c r="F34" s="34"/>
      <c r="G34" s="83"/>
      <c r="H34" s="75"/>
      <c r="I34" s="79"/>
      <c r="J34" s="75"/>
      <c r="K34" s="76"/>
      <c r="L34" s="30"/>
      <c r="M34" s="30"/>
      <c r="N34" s="30"/>
      <c r="O34" s="30"/>
      <c r="P34" s="30"/>
      <c r="Q34" s="30"/>
      <c r="R34" s="30"/>
      <c r="S34" s="30"/>
      <c r="T34" s="30"/>
      <c r="U34" s="30"/>
      <c r="V34" s="30"/>
      <c r="W34" s="30"/>
      <c r="X34" s="30"/>
    </row>
    <row r="35" spans="1:24">
      <c r="A35" s="33"/>
      <c r="B35" s="33"/>
      <c r="C35" s="33"/>
      <c r="D35" s="34"/>
      <c r="E35" s="34"/>
      <c r="F35" s="34"/>
      <c r="G35" s="83"/>
      <c r="H35" s="75"/>
      <c r="I35" s="79"/>
      <c r="J35" s="75"/>
      <c r="K35" s="76"/>
      <c r="L35" s="30"/>
      <c r="M35" s="30"/>
      <c r="N35" s="30"/>
      <c r="O35" s="30"/>
      <c r="P35" s="30"/>
      <c r="Q35" s="30"/>
      <c r="R35" s="30"/>
      <c r="S35" s="30"/>
      <c r="T35" s="30"/>
      <c r="U35" s="30"/>
      <c r="V35" s="30"/>
      <c r="W35" s="30"/>
      <c r="X35" s="30"/>
    </row>
    <row r="36" spans="1:24">
      <c r="A36" s="33"/>
      <c r="B36" s="33"/>
      <c r="C36" s="33"/>
      <c r="D36" s="34"/>
      <c r="E36" s="34"/>
      <c r="F36" s="34"/>
      <c r="G36" s="83"/>
      <c r="H36" s="75"/>
      <c r="I36" s="79"/>
      <c r="J36" s="75"/>
      <c r="K36" s="76"/>
      <c r="L36" s="30"/>
      <c r="M36" s="30"/>
      <c r="N36" s="30"/>
      <c r="O36" s="30"/>
      <c r="P36" s="30"/>
      <c r="Q36" s="30"/>
      <c r="R36" s="30"/>
      <c r="S36" s="30"/>
      <c r="T36" s="30"/>
      <c r="U36" s="30"/>
      <c r="V36" s="30"/>
      <c r="W36" s="30"/>
      <c r="X36" s="30"/>
    </row>
    <row r="37" spans="1:24">
      <c r="A37" s="33"/>
      <c r="B37" s="33"/>
      <c r="C37" s="33"/>
      <c r="D37" s="34"/>
      <c r="E37" s="34"/>
      <c r="F37" s="34"/>
      <c r="G37" s="83"/>
      <c r="H37" s="75"/>
      <c r="I37" s="79"/>
      <c r="J37" s="75"/>
      <c r="K37" s="76"/>
      <c r="L37" s="30"/>
      <c r="M37" s="30"/>
      <c r="N37" s="30"/>
      <c r="O37" s="30"/>
      <c r="P37" s="30"/>
      <c r="Q37" s="30"/>
      <c r="R37" s="30"/>
      <c r="S37" s="30"/>
      <c r="T37" s="30"/>
      <c r="U37" s="30"/>
      <c r="V37" s="30"/>
      <c r="W37" s="30"/>
      <c r="X37" s="30"/>
    </row>
    <row r="38" spans="1:24">
      <c r="A38" s="33"/>
      <c r="B38" s="33"/>
      <c r="C38" s="33"/>
      <c r="D38" s="34"/>
      <c r="E38" s="34"/>
      <c r="F38" s="34"/>
      <c r="G38" s="83"/>
      <c r="H38" s="75"/>
      <c r="I38" s="79"/>
      <c r="J38" s="75"/>
      <c r="K38" s="76"/>
      <c r="L38" s="30"/>
      <c r="M38" s="30"/>
      <c r="N38" s="30"/>
      <c r="O38" s="30"/>
      <c r="P38" s="30"/>
      <c r="Q38" s="30"/>
      <c r="R38" s="30"/>
      <c r="S38" s="30"/>
      <c r="T38" s="30"/>
      <c r="U38" s="30"/>
      <c r="V38" s="30"/>
      <c r="W38" s="30"/>
      <c r="X38" s="30"/>
    </row>
    <row r="39" spans="1:24">
      <c r="A39" s="33"/>
      <c r="B39" s="33"/>
      <c r="C39" s="33"/>
      <c r="D39" s="34"/>
      <c r="E39" s="34"/>
      <c r="F39" s="34"/>
      <c r="G39" s="74"/>
      <c r="H39" s="27"/>
      <c r="I39" s="80"/>
      <c r="J39" s="27"/>
      <c r="K39" s="81"/>
      <c r="L39" s="82"/>
      <c r="M39" s="82"/>
      <c r="N39" s="82"/>
      <c r="O39" s="82"/>
      <c r="P39" s="82"/>
      <c r="Q39" s="82"/>
      <c r="R39" s="82"/>
      <c r="S39" s="82"/>
      <c r="T39" s="82"/>
      <c r="U39" s="82"/>
      <c r="V39" s="82"/>
      <c r="W39" s="82"/>
      <c r="X39" s="82"/>
    </row>
    <row r="40" spans="1:24">
      <c r="A40" s="33"/>
      <c r="B40" s="33"/>
      <c r="C40" s="33"/>
      <c r="D40" s="34"/>
      <c r="E40" s="34"/>
      <c r="F40" s="34"/>
      <c r="G40" s="83"/>
      <c r="H40" s="75"/>
      <c r="I40" s="79"/>
      <c r="J40" s="75"/>
      <c r="K40" s="76"/>
      <c r="L40" s="30"/>
      <c r="M40" s="30"/>
      <c r="N40" s="30"/>
      <c r="O40" s="30"/>
      <c r="P40" s="30"/>
      <c r="Q40" s="30"/>
      <c r="R40" s="30"/>
      <c r="S40" s="30"/>
      <c r="T40" s="30"/>
      <c r="U40" s="30"/>
      <c r="V40" s="30"/>
      <c r="W40" s="30"/>
      <c r="X40" s="30"/>
    </row>
    <row r="41" spans="1:24">
      <c r="A41" s="33"/>
      <c r="B41" s="33"/>
      <c r="C41" s="33"/>
      <c r="D41" s="34"/>
      <c r="E41" s="34"/>
      <c r="F41" s="34"/>
      <c r="G41" s="83"/>
      <c r="H41" s="75"/>
      <c r="I41" s="79"/>
      <c r="J41" s="75"/>
      <c r="K41" s="76"/>
      <c r="L41" s="30"/>
      <c r="M41" s="30"/>
      <c r="N41" s="30"/>
      <c r="O41" s="30"/>
      <c r="P41" s="30"/>
      <c r="Q41" s="30"/>
      <c r="R41" s="30"/>
      <c r="S41" s="30"/>
      <c r="T41" s="30"/>
      <c r="U41" s="30"/>
      <c r="V41" s="30"/>
      <c r="W41" s="30"/>
      <c r="X41" s="30"/>
    </row>
    <row r="42" spans="1:24">
      <c r="A42" s="33"/>
      <c r="B42" s="33"/>
      <c r="C42" s="33"/>
      <c r="D42" s="34"/>
      <c r="E42" s="34"/>
      <c r="F42" s="34"/>
      <c r="G42" s="83"/>
      <c r="H42" s="75"/>
      <c r="I42" s="79"/>
      <c r="J42" s="75"/>
      <c r="K42" s="76"/>
      <c r="L42" s="30"/>
      <c r="M42" s="30"/>
      <c r="N42" s="30"/>
      <c r="O42" s="30"/>
      <c r="P42" s="30"/>
      <c r="Q42" s="30"/>
      <c r="R42" s="30"/>
      <c r="S42" s="30"/>
      <c r="T42" s="30"/>
      <c r="U42" s="30"/>
      <c r="V42" s="30"/>
      <c r="W42" s="30"/>
      <c r="X42" s="30"/>
    </row>
    <row r="43" spans="1:24">
      <c r="A43" s="33"/>
      <c r="B43" s="33"/>
      <c r="C43" s="33"/>
      <c r="D43" s="34"/>
      <c r="E43" s="34"/>
      <c r="F43" s="34"/>
      <c r="G43" s="83"/>
      <c r="H43" s="75"/>
      <c r="I43" s="79"/>
      <c r="J43" s="75"/>
      <c r="K43" s="76"/>
      <c r="L43" s="30"/>
      <c r="M43" s="30"/>
      <c r="N43" s="30"/>
      <c r="O43" s="30"/>
      <c r="P43" s="30"/>
      <c r="Q43" s="30"/>
      <c r="R43" s="30"/>
      <c r="S43" s="30"/>
      <c r="T43" s="30"/>
      <c r="U43" s="30"/>
      <c r="V43" s="30"/>
      <c r="W43" s="30"/>
      <c r="X43" s="30"/>
    </row>
    <row r="44" spans="1:24">
      <c r="A44" s="33"/>
      <c r="B44" s="33"/>
      <c r="C44" s="33"/>
      <c r="D44" s="34"/>
      <c r="E44" s="34"/>
      <c r="F44" s="34"/>
      <c r="G44" s="83"/>
      <c r="H44" s="75"/>
      <c r="I44" s="79"/>
      <c r="J44" s="75"/>
      <c r="K44" s="76"/>
      <c r="L44" s="30"/>
      <c r="M44" s="30"/>
      <c r="N44" s="30"/>
      <c r="O44" s="30"/>
      <c r="P44" s="30"/>
      <c r="Q44" s="30"/>
      <c r="R44" s="30"/>
      <c r="S44" s="30"/>
      <c r="T44" s="30"/>
      <c r="U44" s="30"/>
      <c r="V44" s="30"/>
      <c r="W44" s="30"/>
      <c r="X44" s="30"/>
    </row>
    <row r="45" spans="1:24">
      <c r="A45" s="33"/>
      <c r="B45" s="33"/>
      <c r="C45" s="33"/>
      <c r="D45" s="34"/>
      <c r="E45" s="34"/>
      <c r="F45" s="34"/>
      <c r="G45" s="83"/>
      <c r="H45" s="75"/>
      <c r="I45" s="79"/>
      <c r="J45" s="75"/>
      <c r="K45" s="76"/>
      <c r="L45" s="30"/>
      <c r="M45" s="30"/>
      <c r="N45" s="30"/>
      <c r="O45" s="30"/>
      <c r="P45" s="30"/>
      <c r="Q45" s="30"/>
      <c r="R45" s="30"/>
      <c r="S45" s="30"/>
      <c r="T45" s="30"/>
      <c r="U45" s="30"/>
      <c r="V45" s="30"/>
      <c r="W45" s="30"/>
      <c r="X45" s="30"/>
    </row>
    <row r="46" spans="1:24">
      <c r="A46" s="33"/>
      <c r="B46" s="33"/>
      <c r="C46" s="33"/>
      <c r="D46" s="34"/>
      <c r="E46" s="34"/>
      <c r="F46" s="34"/>
      <c r="G46" s="83"/>
      <c r="H46" s="75"/>
      <c r="I46" s="79"/>
      <c r="J46" s="75"/>
      <c r="K46" s="76"/>
      <c r="L46" s="30"/>
      <c r="M46" s="30"/>
      <c r="N46" s="30"/>
      <c r="O46" s="30"/>
      <c r="P46" s="30"/>
      <c r="Q46" s="30"/>
      <c r="R46" s="30"/>
      <c r="S46" s="30"/>
      <c r="T46" s="30"/>
      <c r="U46" s="30"/>
      <c r="V46" s="30"/>
      <c r="W46" s="30"/>
      <c r="X46" s="30"/>
    </row>
    <row r="47" spans="1:24">
      <c r="A47" s="33"/>
      <c r="B47" s="33"/>
      <c r="C47" s="33"/>
      <c r="D47" s="34"/>
      <c r="E47" s="34"/>
      <c r="F47" s="34"/>
      <c r="G47" s="74"/>
      <c r="H47" s="27"/>
      <c r="I47" s="80"/>
      <c r="J47" s="27"/>
      <c r="K47" s="81"/>
      <c r="L47" s="82"/>
      <c r="M47" s="82"/>
      <c r="N47" s="82"/>
      <c r="O47" s="82"/>
      <c r="P47" s="82"/>
      <c r="Q47" s="82"/>
      <c r="R47" s="82"/>
      <c r="S47" s="82"/>
      <c r="T47" s="82"/>
      <c r="U47" s="82"/>
      <c r="V47" s="82"/>
      <c r="W47" s="82"/>
      <c r="X47" s="82"/>
    </row>
    <row r="48" spans="1:24">
      <c r="A48" s="33"/>
      <c r="B48" s="33"/>
      <c r="C48" s="33"/>
      <c r="D48" s="34"/>
      <c r="E48" s="34"/>
      <c r="F48" s="34"/>
      <c r="G48" s="83"/>
      <c r="H48" s="75"/>
      <c r="I48" s="79"/>
      <c r="J48" s="75"/>
      <c r="K48" s="76"/>
      <c r="L48" s="30"/>
      <c r="M48" s="30"/>
      <c r="N48" s="30"/>
      <c r="O48" s="30"/>
      <c r="P48" s="30"/>
      <c r="Q48" s="30"/>
      <c r="R48" s="30"/>
      <c r="S48" s="30"/>
      <c r="T48" s="30"/>
      <c r="U48" s="30"/>
      <c r="V48" s="30"/>
      <c r="W48" s="30"/>
      <c r="X48" s="30"/>
    </row>
    <row r="49" spans="1:24">
      <c r="A49" s="33"/>
      <c r="B49" s="33"/>
      <c r="C49" s="33"/>
      <c r="D49" s="34"/>
      <c r="E49" s="34"/>
      <c r="F49" s="34"/>
      <c r="G49" s="83"/>
      <c r="H49" s="75"/>
      <c r="I49" s="79"/>
      <c r="J49" s="75"/>
      <c r="K49" s="76"/>
      <c r="L49" s="30"/>
      <c r="M49" s="30"/>
      <c r="N49" s="30"/>
      <c r="O49" s="30"/>
      <c r="P49" s="30"/>
      <c r="Q49" s="30"/>
      <c r="R49" s="30"/>
      <c r="S49" s="30"/>
      <c r="T49" s="30"/>
      <c r="U49" s="30"/>
      <c r="V49" s="30"/>
      <c r="W49" s="30"/>
      <c r="X49" s="30"/>
    </row>
    <row r="50" spans="1:24">
      <c r="A50" s="33"/>
      <c r="B50" s="33"/>
      <c r="C50" s="33"/>
      <c r="D50" s="34"/>
      <c r="E50" s="34"/>
      <c r="F50" s="34"/>
      <c r="G50" s="83"/>
      <c r="H50" s="75"/>
      <c r="I50" s="79"/>
      <c r="J50" s="75"/>
      <c r="K50" s="76"/>
      <c r="L50" s="30"/>
      <c r="M50" s="30"/>
      <c r="N50" s="30"/>
      <c r="O50" s="30"/>
      <c r="P50" s="30"/>
      <c r="Q50" s="30"/>
      <c r="R50" s="30"/>
      <c r="S50" s="30"/>
      <c r="T50" s="30"/>
      <c r="U50" s="30"/>
      <c r="V50" s="30"/>
      <c r="W50" s="30"/>
      <c r="X50" s="30"/>
    </row>
  </sheetData>
  <mergeCells count="5">
    <mergeCell ref="V1:X1"/>
    <mergeCell ref="A1:J1"/>
    <mergeCell ref="N1:Q1"/>
    <mergeCell ref="R1:U1"/>
    <mergeCell ref="K1:M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BORRAR'!$E$2:$E$7</xm:f>
          </x14:formula1>
          <xm:sqref>G3:G50</xm:sqref>
        </x14:dataValidation>
        <x14:dataValidation type="list" allowBlank="1" showInputMessage="1" showErrorMessage="1" xr:uid="{814046D8-0D01-4803-92BA-E5A904CCFC14}">
          <x14:formula1>
            <xm:f>'Validación datos NO BORRAR'!$F$2:$F$5</xm:f>
          </x14:formula1>
          <xm:sqref>H3:H50</xm:sqref>
        </x14:dataValidation>
        <x14:dataValidation type="list" allowBlank="1" showInputMessage="1" showErrorMessage="1" xr:uid="{EEE5D106-6DEF-4A5D-9A4C-E1CD814D0053}">
          <x14:formula1>
            <xm:f>'Validación datos NO BORRAR'!$G$2:$G$4</xm:f>
          </x14:formula1>
          <xm:sqref>J3:J50</xm:sqref>
        </x14:dataValidation>
        <x14:dataValidation type="list" allowBlank="1" showInputMessage="1" showErrorMessage="1" xr:uid="{718AF777-73DD-4896-9041-50C29E81F611}">
          <x14:formula1>
            <xm:f>Hoja1!$A$1:$A$4</xm:f>
          </x14:formula1>
          <xm:sqref>K41:U50</xm:sqref>
        </x14:dataValidation>
        <x14:dataValidation type="list" allowBlank="1" showInputMessage="1" showErrorMessage="1" xr:uid="{5981835F-D36D-4992-9119-6192405E2844}">
          <x14:formula1>
            <xm:f>'Validación datos NO BORRAR'!$H$2:$H$5</xm:f>
          </x14:formula1>
          <xm:sqref>K3:U40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N150"/>
  <sheetViews>
    <sheetView tabSelected="1" topLeftCell="A2" workbookViewId="0">
      <selection activeCell="B2" sqref="B2"/>
    </sheetView>
  </sheetViews>
  <sheetFormatPr defaultColWidth="11.42578125" defaultRowHeight="14.85"/>
  <cols>
    <col min="1" max="1" width="18.85546875" customWidth="1"/>
    <col min="2" max="3" width="28.140625" customWidth="1"/>
    <col min="4" max="4" width="23.140625" customWidth="1"/>
    <col min="5" max="5" width="28.42578125" customWidth="1"/>
    <col min="6" max="6" width="24.42578125" customWidth="1"/>
    <col min="7" max="7" width="14.28515625" customWidth="1"/>
    <col min="8" max="8" width="16.140625" customWidth="1"/>
    <col min="9" max="9" width="17.85546875" customWidth="1"/>
    <col min="10" max="10" width="21.42578125" customWidth="1"/>
    <col min="11" max="11" width="17.140625" customWidth="1"/>
    <col min="12" max="12" width="18.5703125" customWidth="1"/>
    <col min="13" max="13" width="19.5703125" customWidth="1"/>
    <col min="14" max="14" width="18" customWidth="1"/>
  </cols>
  <sheetData>
    <row r="1" spans="1:14">
      <c r="D1" s="128" t="s">
        <v>43</v>
      </c>
      <c r="E1" s="129"/>
      <c r="F1" s="129"/>
      <c r="G1" s="123" t="s">
        <v>44</v>
      </c>
      <c r="H1" s="124"/>
      <c r="I1" s="124"/>
      <c r="J1" s="125"/>
      <c r="K1" s="126" t="s">
        <v>45</v>
      </c>
      <c r="L1" s="127"/>
      <c r="M1" s="127"/>
      <c r="N1" s="127"/>
    </row>
    <row r="2" spans="1:14" ht="197.25" customHeight="1" thickBot="1">
      <c r="D2" s="130"/>
      <c r="E2" s="131"/>
      <c r="F2" s="131"/>
      <c r="G2" s="132"/>
      <c r="H2" s="133"/>
      <c r="I2" s="133"/>
      <c r="J2" s="134"/>
      <c r="K2" s="135"/>
      <c r="L2" s="136"/>
      <c r="M2" s="136"/>
      <c r="N2" s="136"/>
    </row>
    <row r="3" spans="1:14" ht="105.75" customHeight="1">
      <c r="A3" s="37" t="s">
        <v>173</v>
      </c>
      <c r="B3" s="41" t="s">
        <v>174</v>
      </c>
      <c r="C3" s="41" t="s">
        <v>175</v>
      </c>
      <c r="D3" s="42" t="s">
        <v>57</v>
      </c>
      <c r="E3" s="38" t="s">
        <v>58</v>
      </c>
      <c r="F3" s="43" t="s">
        <v>59</v>
      </c>
      <c r="G3" s="44" t="s">
        <v>60</v>
      </c>
      <c r="H3" s="44" t="s">
        <v>61</v>
      </c>
      <c r="I3" s="44" t="s">
        <v>62</v>
      </c>
      <c r="J3" s="39" t="s">
        <v>63</v>
      </c>
      <c r="K3" s="45" t="s">
        <v>64</v>
      </c>
      <c r="L3" s="45" t="s">
        <v>65</v>
      </c>
      <c r="M3" s="45" t="s">
        <v>66</v>
      </c>
      <c r="N3" s="45" t="s">
        <v>67</v>
      </c>
    </row>
    <row r="4" spans="1:14">
      <c r="A4" s="27">
        <v>12</v>
      </c>
      <c r="B4" s="27">
        <v>12</v>
      </c>
      <c r="C4" s="88">
        <v>1</v>
      </c>
      <c r="D4" s="35">
        <v>2</v>
      </c>
      <c r="E4" s="35">
        <v>3</v>
      </c>
      <c r="F4" s="35">
        <v>1</v>
      </c>
      <c r="G4" s="35">
        <v>1</v>
      </c>
      <c r="H4" s="35">
        <v>1</v>
      </c>
      <c r="I4" s="35">
        <v>1</v>
      </c>
      <c r="J4" s="35">
        <v>1</v>
      </c>
      <c r="K4" s="35">
        <v>2</v>
      </c>
      <c r="L4" s="35">
        <v>2</v>
      </c>
      <c r="M4" s="35">
        <v>2</v>
      </c>
      <c r="N4" s="35">
        <v>1</v>
      </c>
    </row>
    <row r="5" spans="1:14">
      <c r="D5" s="36"/>
      <c r="E5" s="36"/>
      <c r="F5" s="36"/>
      <c r="G5" s="36"/>
      <c r="H5" s="36"/>
      <c r="I5" s="36"/>
      <c r="J5" s="36"/>
      <c r="K5" s="36"/>
      <c r="L5" s="36"/>
      <c r="M5" s="36"/>
      <c r="N5" s="36"/>
    </row>
    <row r="6" spans="1:14">
      <c r="D6" s="36"/>
      <c r="E6" s="36"/>
      <c r="F6" s="36"/>
      <c r="G6" s="36"/>
      <c r="H6" s="36"/>
      <c r="I6" s="36"/>
      <c r="J6" s="36"/>
      <c r="K6" s="36"/>
      <c r="L6" s="36"/>
      <c r="M6" s="36"/>
      <c r="N6" s="36"/>
    </row>
    <row r="7" spans="1:14">
      <c r="D7" s="40"/>
      <c r="E7" s="36"/>
      <c r="F7" s="36"/>
      <c r="G7" s="36"/>
      <c r="H7" s="36"/>
      <c r="I7" s="36"/>
      <c r="J7" s="36"/>
      <c r="K7" s="36"/>
      <c r="L7" s="36"/>
      <c r="M7" s="36"/>
      <c r="N7" s="36"/>
    </row>
    <row r="8" spans="1:14">
      <c r="D8" s="40"/>
      <c r="E8" s="36"/>
      <c r="F8" s="36"/>
      <c r="G8" s="36"/>
      <c r="H8" s="36"/>
      <c r="I8" s="36"/>
      <c r="J8" s="36"/>
      <c r="K8" s="36"/>
      <c r="L8" s="36"/>
      <c r="M8" s="36"/>
      <c r="N8" s="36"/>
    </row>
    <row r="9" spans="1:14">
      <c r="D9" s="40"/>
      <c r="E9" s="36"/>
      <c r="F9" s="36"/>
      <c r="G9" s="36"/>
      <c r="H9" s="36"/>
      <c r="I9" s="36"/>
      <c r="J9" s="36"/>
      <c r="K9" s="36"/>
      <c r="L9" s="36"/>
      <c r="M9" s="36"/>
      <c r="N9" s="36"/>
    </row>
    <row r="10" spans="1:14">
      <c r="D10" s="40"/>
      <c r="E10" s="36"/>
      <c r="F10" s="36"/>
      <c r="G10" s="36"/>
      <c r="H10" s="36"/>
      <c r="I10" s="36"/>
      <c r="J10" s="36"/>
      <c r="K10" s="36"/>
      <c r="L10" s="36"/>
      <c r="M10" s="36"/>
      <c r="N10" s="36"/>
    </row>
    <row r="11" spans="1:14">
      <c r="D11" s="40"/>
      <c r="E11" s="36"/>
      <c r="F11" s="36"/>
      <c r="G11" s="36"/>
      <c r="H11" s="36"/>
      <c r="I11" s="36"/>
      <c r="J11" s="36"/>
      <c r="K11" s="36"/>
      <c r="L11" s="36"/>
      <c r="M11" s="36"/>
      <c r="N11" s="36"/>
    </row>
    <row r="12" spans="1:14">
      <c r="D12" s="40"/>
      <c r="E12" s="36"/>
      <c r="F12" s="36"/>
      <c r="G12" s="36"/>
      <c r="H12" s="36"/>
      <c r="I12" s="36"/>
      <c r="J12" s="36"/>
      <c r="K12" s="36"/>
      <c r="L12" s="36"/>
      <c r="M12" s="36"/>
      <c r="N12" s="36"/>
    </row>
    <row r="13" spans="1:14">
      <c r="D13" s="40"/>
      <c r="E13" s="36"/>
      <c r="F13" s="36"/>
      <c r="G13" s="36"/>
      <c r="H13" s="36"/>
      <c r="I13" s="36"/>
      <c r="J13" s="36"/>
      <c r="K13" s="36"/>
      <c r="L13" s="36"/>
      <c r="M13" s="36"/>
      <c r="N13" s="36"/>
    </row>
    <row r="14" spans="1:14">
      <c r="D14" s="40"/>
      <c r="E14" s="36"/>
      <c r="F14" s="36"/>
      <c r="G14" s="36"/>
      <c r="H14" s="36"/>
      <c r="I14" s="36"/>
      <c r="J14" s="36"/>
      <c r="K14" s="36"/>
      <c r="L14" s="36"/>
      <c r="M14" s="36"/>
      <c r="N14" s="36"/>
    </row>
    <row r="15" spans="1:14">
      <c r="D15" s="40"/>
      <c r="E15" s="36"/>
      <c r="F15" s="36"/>
      <c r="G15" s="36"/>
      <c r="H15" s="36"/>
      <c r="I15" s="36"/>
      <c r="J15" s="36"/>
      <c r="K15" s="36"/>
      <c r="L15" s="36"/>
      <c r="M15" s="36"/>
      <c r="N15" s="36"/>
    </row>
    <row r="16" spans="1:14">
      <c r="D16" s="40"/>
      <c r="E16" s="36"/>
      <c r="F16" s="36"/>
      <c r="G16" s="36"/>
      <c r="H16" s="36"/>
      <c r="I16" s="36"/>
      <c r="J16" s="36"/>
      <c r="K16" s="36"/>
      <c r="L16" s="36"/>
      <c r="M16" s="36"/>
      <c r="N16" s="36"/>
    </row>
    <row r="18" spans="4:14">
      <c r="D18" s="40"/>
      <c r="E18" s="36"/>
      <c r="F18" s="36"/>
      <c r="G18" s="36"/>
      <c r="H18" s="36"/>
      <c r="I18" s="36"/>
      <c r="J18" s="36"/>
      <c r="K18" s="36"/>
      <c r="L18" s="36"/>
      <c r="M18" s="36"/>
      <c r="N18" s="36"/>
    </row>
    <row r="19" spans="4:14">
      <c r="D19" s="40"/>
      <c r="E19" s="36"/>
      <c r="F19" s="36"/>
      <c r="G19" s="36"/>
      <c r="H19" s="36"/>
      <c r="I19" s="36"/>
      <c r="J19" s="36"/>
      <c r="K19" s="36"/>
      <c r="L19" s="36"/>
      <c r="M19" s="36"/>
      <c r="N19" s="36"/>
    </row>
    <row r="20" spans="4:14">
      <c r="D20" s="40"/>
      <c r="E20" s="36"/>
      <c r="F20" s="36"/>
      <c r="G20" s="36"/>
      <c r="H20" s="36"/>
      <c r="I20" s="36"/>
      <c r="J20" s="36"/>
      <c r="K20" s="36"/>
      <c r="L20" s="36"/>
      <c r="M20" s="36"/>
      <c r="N20" s="36"/>
    </row>
    <row r="21" spans="4:14">
      <c r="D21" s="40"/>
      <c r="E21" s="36"/>
      <c r="F21" s="36"/>
      <c r="G21" s="36"/>
      <c r="H21" s="36"/>
      <c r="I21" s="36"/>
      <c r="J21" s="36"/>
      <c r="K21" s="36"/>
      <c r="L21" s="36"/>
      <c r="M21" s="36"/>
      <c r="N21" s="36"/>
    </row>
    <row r="22" spans="4:14">
      <c r="D22" s="40"/>
      <c r="E22" s="36"/>
      <c r="F22" s="36"/>
      <c r="G22" s="36"/>
      <c r="H22" s="36"/>
      <c r="I22" s="36"/>
      <c r="J22" s="36"/>
      <c r="K22" s="36"/>
      <c r="L22" s="36"/>
      <c r="M22" s="36"/>
      <c r="N22" s="36"/>
    </row>
    <row r="23" spans="4:14">
      <c r="D23" s="40"/>
      <c r="E23" s="36"/>
      <c r="F23" s="36"/>
      <c r="G23" s="36"/>
      <c r="H23" s="36"/>
      <c r="I23" s="36"/>
      <c r="J23" s="36"/>
      <c r="K23" s="36"/>
      <c r="L23" s="36"/>
      <c r="M23" s="36"/>
      <c r="N23" s="36"/>
    </row>
    <row r="24" spans="4:14">
      <c r="D24" s="40"/>
      <c r="E24" s="36"/>
      <c r="F24" s="36"/>
      <c r="G24" s="36"/>
      <c r="H24" s="36"/>
      <c r="I24" s="36"/>
      <c r="J24" s="36"/>
      <c r="K24" s="36"/>
      <c r="L24" s="36"/>
      <c r="M24" s="36"/>
      <c r="N24" s="36"/>
    </row>
    <row r="27" spans="4:14">
      <c r="D27" s="40"/>
      <c r="E27" s="36"/>
      <c r="F27" s="36"/>
      <c r="G27" s="36"/>
      <c r="H27" s="36"/>
      <c r="I27" s="36"/>
      <c r="J27" s="36"/>
      <c r="K27" s="36"/>
      <c r="L27" s="36"/>
      <c r="M27" s="36"/>
      <c r="N27" s="36"/>
    </row>
    <row r="28" spans="4:14">
      <c r="D28" s="40"/>
      <c r="E28" s="36"/>
      <c r="F28" s="36"/>
      <c r="G28" s="36"/>
      <c r="H28" s="36"/>
      <c r="I28" s="36"/>
      <c r="J28" s="36"/>
      <c r="K28" s="36"/>
      <c r="L28" s="36"/>
      <c r="M28" s="36"/>
      <c r="N28" s="36"/>
    </row>
    <row r="29" spans="4:14">
      <c r="D29" s="40"/>
      <c r="E29" s="36"/>
      <c r="F29" s="36"/>
      <c r="G29" s="36"/>
      <c r="H29" s="36"/>
      <c r="I29" s="36"/>
      <c r="J29" s="36"/>
      <c r="K29" s="36"/>
      <c r="L29" s="36"/>
      <c r="M29" s="36"/>
      <c r="N29" s="36"/>
    </row>
    <row r="30" spans="4:14">
      <c r="D30" s="40"/>
      <c r="E30" s="36"/>
      <c r="F30" s="36"/>
      <c r="G30" s="36"/>
      <c r="H30" s="36"/>
      <c r="I30" s="36"/>
      <c r="J30" s="36"/>
      <c r="K30" s="36"/>
      <c r="L30" s="36"/>
      <c r="M30" s="36"/>
      <c r="N30" s="36"/>
    </row>
    <row r="31" spans="4:14">
      <c r="D31" s="40"/>
      <c r="E31" s="36"/>
      <c r="F31" s="36"/>
      <c r="G31" s="36"/>
      <c r="H31" s="36"/>
      <c r="I31" s="36"/>
      <c r="J31" s="36"/>
      <c r="K31" s="36"/>
      <c r="L31" s="36"/>
      <c r="M31" s="36"/>
      <c r="N31" s="36"/>
    </row>
    <row r="32" spans="4:14">
      <c r="D32" s="40"/>
      <c r="E32" s="36"/>
      <c r="F32" s="36"/>
      <c r="G32" s="36"/>
      <c r="H32" s="36"/>
      <c r="I32" s="36"/>
      <c r="J32" s="36"/>
      <c r="K32" s="36"/>
      <c r="L32" s="36"/>
      <c r="M32" s="36"/>
      <c r="N32" s="36"/>
    </row>
    <row r="33" spans="4:14">
      <c r="D33" s="40"/>
      <c r="E33" s="36"/>
      <c r="F33" s="36"/>
      <c r="G33" s="36"/>
      <c r="H33" s="36"/>
      <c r="I33" s="36"/>
      <c r="J33" s="36"/>
      <c r="K33" s="36"/>
      <c r="L33" s="36"/>
      <c r="M33" s="36"/>
      <c r="N33" s="36"/>
    </row>
    <row r="34" spans="4:14">
      <c r="D34" s="40"/>
      <c r="E34" s="36"/>
      <c r="F34" s="36"/>
      <c r="G34" s="36"/>
      <c r="H34" s="36"/>
      <c r="I34" s="36"/>
      <c r="J34" s="36"/>
      <c r="K34" s="36"/>
      <c r="L34" s="36"/>
      <c r="M34" s="36"/>
      <c r="N34" s="36"/>
    </row>
    <row r="35" spans="4:14">
      <c r="D35" s="40"/>
      <c r="E35" s="36"/>
      <c r="F35" s="36"/>
      <c r="G35" s="36"/>
      <c r="H35" s="36"/>
      <c r="I35" s="36"/>
      <c r="J35" s="36"/>
      <c r="K35" s="36"/>
      <c r="L35" s="36"/>
      <c r="M35" s="36"/>
      <c r="N35" s="36"/>
    </row>
    <row r="36" spans="4:14">
      <c r="D36" s="40"/>
      <c r="E36" s="36"/>
      <c r="F36" s="36"/>
      <c r="G36" s="36"/>
      <c r="H36" s="36"/>
      <c r="I36" s="36"/>
      <c r="J36" s="36"/>
      <c r="K36" s="36"/>
      <c r="L36" s="36"/>
      <c r="M36" s="36"/>
      <c r="N36" s="36"/>
    </row>
    <row r="37" spans="4:14">
      <c r="D37" s="40"/>
      <c r="E37" s="36"/>
      <c r="F37" s="36"/>
      <c r="G37" s="36"/>
      <c r="H37" s="36"/>
      <c r="I37" s="36"/>
      <c r="J37" s="36"/>
      <c r="K37" s="36"/>
      <c r="L37" s="36"/>
      <c r="M37" s="36"/>
      <c r="N37" s="36"/>
    </row>
    <row r="38" spans="4:14">
      <c r="D38" s="40"/>
      <c r="E38" s="36"/>
      <c r="F38" s="36"/>
      <c r="G38" s="36"/>
      <c r="H38" s="36"/>
      <c r="I38" s="36"/>
      <c r="J38" s="36"/>
      <c r="K38" s="36"/>
      <c r="L38" s="36"/>
      <c r="M38" s="36"/>
      <c r="N38" s="36"/>
    </row>
    <row r="39" spans="4:14">
      <c r="D39" s="40"/>
      <c r="E39" s="36"/>
      <c r="F39" s="36"/>
      <c r="G39" s="36"/>
      <c r="H39" s="36"/>
      <c r="I39" s="36"/>
      <c r="J39" s="36"/>
      <c r="K39" s="36"/>
      <c r="L39" s="36"/>
      <c r="M39" s="36"/>
      <c r="N39" s="36"/>
    </row>
    <row r="41" spans="4:14">
      <c r="D41" s="40"/>
      <c r="E41" s="36"/>
      <c r="F41" s="36"/>
      <c r="G41" s="36"/>
      <c r="H41" s="36"/>
      <c r="I41" s="36"/>
      <c r="J41" s="36"/>
      <c r="K41" s="36"/>
      <c r="L41" s="36"/>
      <c r="M41" s="36"/>
      <c r="N41" s="36"/>
    </row>
    <row r="42" spans="4:14">
      <c r="D42" s="40"/>
      <c r="E42" s="36"/>
      <c r="F42" s="36"/>
      <c r="G42" s="36"/>
      <c r="H42" s="36"/>
      <c r="I42" s="36"/>
      <c r="J42" s="36"/>
      <c r="K42" s="36"/>
      <c r="L42" s="36"/>
      <c r="M42" s="36"/>
      <c r="N42" s="36"/>
    </row>
    <row r="43" spans="4:14">
      <c r="D43" s="40"/>
      <c r="E43" s="36"/>
      <c r="F43" s="36"/>
      <c r="G43" s="36"/>
      <c r="H43" s="36"/>
      <c r="I43" s="36"/>
      <c r="J43" s="36"/>
      <c r="K43" s="36"/>
      <c r="L43" s="36"/>
      <c r="M43" s="36"/>
      <c r="N43" s="36"/>
    </row>
    <row r="44" spans="4:14">
      <c r="D44" s="40"/>
      <c r="E44" s="36"/>
      <c r="F44" s="36"/>
      <c r="G44" s="36"/>
      <c r="H44" s="36"/>
      <c r="I44" s="36"/>
      <c r="J44" s="36"/>
      <c r="K44" s="36"/>
      <c r="L44" s="36"/>
      <c r="M44" s="36"/>
      <c r="N44" s="36"/>
    </row>
    <row r="45" spans="4:14">
      <c r="D45" s="40"/>
      <c r="E45" s="36"/>
      <c r="F45" s="36"/>
      <c r="G45" s="36"/>
      <c r="H45" s="36"/>
      <c r="I45" s="36"/>
      <c r="J45" s="36"/>
      <c r="K45" s="36"/>
      <c r="L45" s="36"/>
      <c r="M45" s="36"/>
      <c r="N45" s="36"/>
    </row>
    <row r="46" spans="4:14">
      <c r="D46" s="40"/>
      <c r="E46" s="36"/>
      <c r="F46" s="36"/>
      <c r="G46" s="36"/>
      <c r="H46" s="36"/>
      <c r="I46" s="36"/>
      <c r="J46" s="36"/>
      <c r="K46" s="36"/>
      <c r="L46" s="36"/>
      <c r="M46" s="36"/>
      <c r="N46" s="36"/>
    </row>
    <row r="47" spans="4:14">
      <c r="D47" s="40"/>
      <c r="E47" s="36"/>
      <c r="F47" s="36"/>
      <c r="G47" s="36"/>
      <c r="H47" s="36"/>
      <c r="I47" s="36"/>
      <c r="J47" s="36"/>
      <c r="K47" s="36"/>
      <c r="L47" s="36"/>
      <c r="M47" s="36"/>
      <c r="N47" s="36"/>
    </row>
    <row r="49" spans="4:14">
      <c r="D49" s="40"/>
      <c r="E49" s="36"/>
      <c r="F49" s="36"/>
      <c r="G49" s="36"/>
      <c r="H49" s="36"/>
      <c r="I49" s="36"/>
      <c r="J49" s="36"/>
      <c r="K49" s="36"/>
      <c r="L49" s="36"/>
      <c r="M49" s="36"/>
      <c r="N49" s="36"/>
    </row>
    <row r="50" spans="4:14">
      <c r="D50" s="40"/>
      <c r="E50" s="36"/>
      <c r="F50" s="36"/>
      <c r="G50" s="36"/>
      <c r="H50" s="36"/>
      <c r="I50" s="36"/>
      <c r="J50" s="36"/>
      <c r="K50" s="36"/>
      <c r="L50" s="36"/>
      <c r="M50" s="36"/>
      <c r="N50" s="36"/>
    </row>
    <row r="51" spans="4:14">
      <c r="D51" s="40"/>
      <c r="E51" s="36"/>
      <c r="F51" s="36"/>
      <c r="G51" s="36"/>
      <c r="H51" s="36"/>
      <c r="I51" s="36"/>
      <c r="J51" s="36"/>
      <c r="K51" s="36"/>
      <c r="L51" s="36"/>
      <c r="M51" s="36"/>
      <c r="N51" s="36"/>
    </row>
    <row r="52" spans="4:14">
      <c r="D52" s="40"/>
      <c r="E52" s="36"/>
      <c r="F52" s="36"/>
      <c r="G52" s="36"/>
      <c r="H52" s="36"/>
      <c r="I52" s="36"/>
      <c r="J52" s="36"/>
      <c r="K52" s="36"/>
      <c r="L52" s="36"/>
      <c r="M52" s="36"/>
      <c r="N52" s="36"/>
    </row>
    <row r="53" spans="4:14">
      <c r="D53" s="40"/>
      <c r="E53" s="36"/>
      <c r="F53" s="36"/>
      <c r="G53" s="36"/>
      <c r="H53" s="36"/>
      <c r="I53" s="36"/>
      <c r="J53" s="36"/>
      <c r="K53" s="36"/>
      <c r="L53" s="36"/>
      <c r="M53" s="36"/>
      <c r="N53" s="36"/>
    </row>
    <row r="54" spans="4:14">
      <c r="D54" s="40"/>
      <c r="E54" s="36"/>
      <c r="F54" s="36"/>
      <c r="G54" s="36"/>
      <c r="H54" s="36"/>
      <c r="I54" s="36"/>
      <c r="J54" s="36"/>
      <c r="K54" s="36"/>
      <c r="L54" s="36"/>
      <c r="M54" s="36"/>
      <c r="N54" s="36"/>
    </row>
    <row r="57" spans="4:14">
      <c r="D57" s="40"/>
      <c r="E57" s="36"/>
      <c r="F57" s="36"/>
      <c r="G57" s="36"/>
      <c r="H57" s="36"/>
      <c r="I57" s="36"/>
      <c r="J57" s="36"/>
      <c r="K57" s="36"/>
      <c r="L57" s="36"/>
      <c r="M57" s="36"/>
      <c r="N57" s="36"/>
    </row>
    <row r="58" spans="4:14">
      <c r="D58" s="40"/>
      <c r="E58" s="36"/>
      <c r="F58" s="36"/>
      <c r="G58" s="36"/>
      <c r="H58" s="36"/>
      <c r="I58" s="36"/>
      <c r="J58" s="36"/>
      <c r="K58" s="36"/>
      <c r="L58" s="36"/>
      <c r="M58" s="36"/>
      <c r="N58" s="36"/>
    </row>
    <row r="59" spans="4:14">
      <c r="D59" s="40"/>
      <c r="E59" s="36"/>
      <c r="F59" s="36"/>
      <c r="G59" s="36"/>
      <c r="H59" s="36"/>
      <c r="I59" s="36"/>
      <c r="J59" s="36"/>
      <c r="K59" s="36"/>
      <c r="L59" s="36"/>
      <c r="M59" s="36"/>
      <c r="N59" s="36"/>
    </row>
    <row r="60" spans="4:14">
      <c r="D60" s="40"/>
      <c r="E60" s="36"/>
      <c r="F60" s="36"/>
      <c r="G60" s="36"/>
      <c r="H60" s="36"/>
      <c r="I60" s="36"/>
      <c r="J60" s="36"/>
      <c r="K60" s="36"/>
      <c r="L60" s="36"/>
      <c r="M60" s="36"/>
      <c r="N60" s="36"/>
    </row>
    <row r="61" spans="4:14">
      <c r="D61" s="40"/>
      <c r="E61" s="36"/>
      <c r="F61" s="36"/>
      <c r="G61" s="36"/>
      <c r="H61" s="36"/>
      <c r="I61" s="36"/>
      <c r="J61" s="36"/>
      <c r="K61" s="36"/>
      <c r="L61" s="36"/>
      <c r="M61" s="36"/>
      <c r="N61" s="36"/>
    </row>
    <row r="62" spans="4:14">
      <c r="D62" s="40"/>
      <c r="E62" s="36"/>
      <c r="F62" s="36"/>
      <c r="G62" s="36"/>
      <c r="H62" s="36"/>
      <c r="I62" s="36"/>
      <c r="J62" s="36"/>
      <c r="K62" s="36"/>
      <c r="L62" s="36"/>
      <c r="M62" s="36"/>
      <c r="N62" s="36"/>
    </row>
    <row r="63" spans="4:14">
      <c r="D63" s="40"/>
      <c r="E63" s="36"/>
      <c r="F63" s="36"/>
      <c r="G63" s="36"/>
      <c r="H63" s="36"/>
      <c r="I63" s="36"/>
      <c r="J63" s="36"/>
      <c r="K63" s="36"/>
      <c r="L63" s="36"/>
      <c r="M63" s="36"/>
      <c r="N63" s="36"/>
    </row>
    <row r="64" spans="4:14">
      <c r="D64" s="40"/>
      <c r="E64" s="36"/>
      <c r="F64" s="36"/>
      <c r="G64" s="36"/>
      <c r="H64" s="36"/>
      <c r="I64" s="36"/>
      <c r="J64" s="36"/>
      <c r="K64" s="36"/>
      <c r="L64" s="36"/>
      <c r="M64" s="36"/>
      <c r="N64" s="36"/>
    </row>
    <row r="65" spans="4:14">
      <c r="D65" s="40"/>
      <c r="E65" s="36"/>
      <c r="F65" s="36"/>
      <c r="G65" s="36"/>
      <c r="H65" s="36"/>
      <c r="I65" s="36"/>
      <c r="J65" s="36"/>
      <c r="K65" s="36"/>
      <c r="L65" s="36"/>
      <c r="M65" s="36"/>
      <c r="N65" s="36"/>
    </row>
    <row r="66" spans="4:14">
      <c r="D66" s="40"/>
      <c r="E66" s="36"/>
      <c r="F66" s="36"/>
      <c r="G66" s="36"/>
      <c r="H66" s="36"/>
      <c r="I66" s="36"/>
      <c r="J66" s="36"/>
      <c r="K66" s="36"/>
      <c r="L66" s="36"/>
      <c r="M66" s="36"/>
      <c r="N66" s="36"/>
    </row>
    <row r="67" spans="4:14">
      <c r="D67" s="40"/>
      <c r="E67" s="36"/>
      <c r="F67" s="36"/>
      <c r="G67" s="36"/>
      <c r="H67" s="36"/>
      <c r="I67" s="36"/>
      <c r="J67" s="36"/>
      <c r="K67" s="36"/>
      <c r="L67" s="36"/>
      <c r="M67" s="36"/>
      <c r="N67" s="36"/>
    </row>
    <row r="68" spans="4:14">
      <c r="D68" s="40"/>
      <c r="E68" s="36"/>
      <c r="F68" s="36"/>
      <c r="G68" s="36"/>
      <c r="H68" s="36"/>
      <c r="I68" s="36"/>
      <c r="J68" s="36"/>
      <c r="K68" s="36"/>
      <c r="L68" s="36"/>
      <c r="M68" s="36"/>
      <c r="N68" s="36"/>
    </row>
    <row r="70" spans="4:14">
      <c r="D70" s="40"/>
      <c r="E70" s="36"/>
      <c r="F70" s="36"/>
      <c r="G70" s="36"/>
      <c r="H70" s="36"/>
      <c r="I70" s="36"/>
      <c r="J70" s="36"/>
      <c r="K70" s="36"/>
      <c r="L70" s="36"/>
      <c r="M70" s="36"/>
      <c r="N70" s="36"/>
    </row>
    <row r="71" spans="4:14">
      <c r="D71" s="40"/>
      <c r="E71" s="36"/>
      <c r="F71" s="36"/>
      <c r="G71" s="36"/>
      <c r="H71" s="36"/>
      <c r="I71" s="36"/>
      <c r="J71" s="36"/>
      <c r="K71" s="36"/>
      <c r="L71" s="36"/>
      <c r="M71" s="36"/>
      <c r="N71" s="36"/>
    </row>
    <row r="72" spans="4:14">
      <c r="D72" s="36"/>
      <c r="E72" s="36"/>
      <c r="F72" s="36"/>
      <c r="G72" s="36"/>
      <c r="H72" s="36"/>
      <c r="I72" s="36"/>
      <c r="J72" s="36"/>
      <c r="K72" s="36"/>
      <c r="L72" s="36"/>
      <c r="M72" s="36"/>
      <c r="N72" s="36"/>
    </row>
    <row r="73" spans="4:14">
      <c r="D73" s="36"/>
      <c r="E73" s="36"/>
      <c r="F73" s="36"/>
      <c r="G73" s="36"/>
      <c r="H73" s="36"/>
      <c r="I73" s="36"/>
      <c r="J73" s="36"/>
      <c r="K73" s="36"/>
      <c r="L73" s="36"/>
      <c r="M73" s="36"/>
      <c r="N73" s="36"/>
    </row>
    <row r="74" spans="4:14">
      <c r="D74" s="36"/>
      <c r="E74" s="36"/>
      <c r="F74" s="36"/>
      <c r="G74" s="36"/>
      <c r="H74" s="36"/>
      <c r="I74" s="36"/>
      <c r="J74" s="36"/>
      <c r="K74" s="36"/>
      <c r="L74" s="36"/>
      <c r="M74" s="36"/>
      <c r="N74" s="36"/>
    </row>
    <row r="75" spans="4:14">
      <c r="D75" s="36"/>
      <c r="E75" s="36"/>
      <c r="F75" s="36"/>
      <c r="G75" s="36"/>
      <c r="H75" s="36"/>
      <c r="I75" s="36"/>
      <c r="J75" s="36"/>
      <c r="K75" s="36"/>
      <c r="L75" s="36"/>
      <c r="M75" s="36"/>
      <c r="N75" s="36"/>
    </row>
    <row r="78" spans="4:14">
      <c r="D78" s="36"/>
      <c r="E78" s="36"/>
      <c r="F78" s="36"/>
      <c r="G78" s="36"/>
      <c r="H78" s="36"/>
      <c r="I78" s="36"/>
      <c r="J78" s="36"/>
      <c r="K78" s="36"/>
      <c r="L78" s="36"/>
      <c r="M78" s="36"/>
      <c r="N78" s="36"/>
    </row>
    <row r="79" spans="4:14">
      <c r="D79" s="36"/>
      <c r="E79" s="36"/>
      <c r="F79" s="36"/>
      <c r="G79" s="36"/>
      <c r="H79" s="36"/>
      <c r="I79" s="36"/>
      <c r="J79" s="36"/>
      <c r="K79" s="36"/>
      <c r="L79" s="36"/>
      <c r="M79" s="36"/>
      <c r="N79" s="36"/>
    </row>
    <row r="80" spans="4:14">
      <c r="D80" s="36"/>
      <c r="E80" s="36"/>
      <c r="F80" s="36"/>
      <c r="G80" s="36"/>
      <c r="H80" s="36"/>
      <c r="I80" s="36"/>
      <c r="J80" s="36"/>
      <c r="K80" s="36"/>
      <c r="L80" s="36"/>
      <c r="M80" s="36"/>
      <c r="N80" s="36"/>
    </row>
    <row r="81" spans="4:14">
      <c r="D81" s="36"/>
      <c r="E81" s="36"/>
      <c r="F81" s="36"/>
      <c r="G81" s="36"/>
      <c r="H81" s="36"/>
      <c r="I81" s="36"/>
      <c r="J81" s="36"/>
      <c r="K81" s="36"/>
      <c r="L81" s="36"/>
      <c r="M81" s="36"/>
      <c r="N81" s="36"/>
    </row>
    <row r="82" spans="4:14">
      <c r="D82" s="36"/>
      <c r="E82" s="36"/>
      <c r="F82" s="36"/>
      <c r="G82" s="36"/>
      <c r="H82" s="36"/>
      <c r="I82" s="36"/>
      <c r="J82" s="36"/>
      <c r="K82" s="36"/>
      <c r="L82" s="36"/>
      <c r="M82" s="36"/>
      <c r="N82" s="36"/>
    </row>
    <row r="83" spans="4:14">
      <c r="D83" s="36"/>
      <c r="E83" s="36"/>
      <c r="F83" s="36"/>
      <c r="G83" s="36"/>
      <c r="H83" s="36"/>
      <c r="I83" s="36"/>
      <c r="J83" s="36"/>
      <c r="K83" s="36"/>
      <c r="L83" s="36"/>
      <c r="M83" s="36"/>
      <c r="N83" s="36"/>
    </row>
    <row r="84" spans="4:14">
      <c r="D84" s="36"/>
      <c r="E84" s="36"/>
      <c r="F84" s="36"/>
      <c r="G84" s="36"/>
      <c r="H84" s="36"/>
      <c r="I84" s="36"/>
      <c r="J84" s="36"/>
      <c r="K84" s="36"/>
      <c r="L84" s="36"/>
      <c r="M84" s="36"/>
      <c r="N84" s="36"/>
    </row>
    <row r="85" spans="4:14">
      <c r="D85" s="36"/>
      <c r="E85" s="36"/>
      <c r="F85" s="36"/>
      <c r="G85" s="36"/>
      <c r="H85" s="36"/>
      <c r="I85" s="36"/>
      <c r="J85" s="36"/>
      <c r="K85" s="36"/>
      <c r="L85" s="36"/>
      <c r="M85" s="36"/>
      <c r="N85" s="36"/>
    </row>
    <row r="86" spans="4:14">
      <c r="D86" s="36"/>
      <c r="E86" s="36"/>
      <c r="F86" s="36"/>
      <c r="G86" s="36"/>
      <c r="H86" s="36"/>
      <c r="I86" s="36"/>
      <c r="J86" s="36"/>
      <c r="K86" s="36"/>
      <c r="L86" s="36"/>
      <c r="M86" s="36"/>
      <c r="N86" s="36"/>
    </row>
    <row r="88" spans="4:14">
      <c r="D88" s="36"/>
      <c r="E88" s="36"/>
      <c r="F88" s="36"/>
      <c r="G88" s="36"/>
      <c r="H88" s="36"/>
      <c r="I88" s="36"/>
      <c r="J88" s="36"/>
      <c r="K88" s="36"/>
      <c r="L88" s="36"/>
      <c r="M88" s="36"/>
      <c r="N88" s="36"/>
    </row>
    <row r="89" spans="4:14">
      <c r="D89" s="36"/>
      <c r="E89" s="36"/>
      <c r="F89" s="36"/>
      <c r="G89" s="36"/>
      <c r="H89" s="36"/>
      <c r="I89" s="36"/>
      <c r="J89" s="36"/>
      <c r="K89" s="36"/>
      <c r="L89" s="36"/>
      <c r="M89" s="36"/>
      <c r="N89" s="36"/>
    </row>
    <row r="91" spans="4:14">
      <c r="D91" s="36"/>
      <c r="E91" s="36"/>
      <c r="F91" s="36"/>
      <c r="G91" s="36"/>
      <c r="H91" s="36"/>
      <c r="I91" s="36"/>
      <c r="J91" s="36"/>
      <c r="K91" s="36"/>
      <c r="L91" s="36"/>
      <c r="M91" s="36"/>
      <c r="N91" s="36"/>
    </row>
    <row r="92" spans="4:14">
      <c r="D92" s="36"/>
      <c r="E92" s="36"/>
      <c r="F92" s="36"/>
      <c r="G92" s="36"/>
      <c r="H92" s="36"/>
      <c r="I92" s="36"/>
      <c r="J92" s="36"/>
      <c r="K92" s="36"/>
      <c r="L92" s="36"/>
      <c r="M92" s="36"/>
      <c r="N92" s="36"/>
    </row>
    <row r="93" spans="4:14">
      <c r="D93" s="36"/>
      <c r="E93" s="36"/>
      <c r="F93" s="36"/>
      <c r="G93" s="36"/>
      <c r="H93" s="36"/>
      <c r="I93" s="36"/>
      <c r="J93" s="36"/>
      <c r="K93" s="36"/>
      <c r="L93" s="36"/>
      <c r="M93" s="36"/>
      <c r="N93" s="36"/>
    </row>
    <row r="94" spans="4:14">
      <c r="D94" s="36"/>
      <c r="E94" s="36"/>
      <c r="F94" s="36"/>
      <c r="G94" s="36"/>
      <c r="H94" s="36"/>
      <c r="I94" s="36"/>
      <c r="J94" s="36"/>
      <c r="K94" s="36"/>
      <c r="L94" s="36"/>
      <c r="M94" s="36"/>
      <c r="N94" s="36"/>
    </row>
    <row r="95" spans="4:14">
      <c r="D95" s="36"/>
      <c r="E95" s="36"/>
      <c r="F95" s="36"/>
      <c r="G95" s="36"/>
      <c r="H95" s="36"/>
      <c r="I95" s="36"/>
      <c r="J95" s="36"/>
      <c r="K95" s="36"/>
      <c r="L95" s="36"/>
      <c r="M95" s="36"/>
      <c r="N95" s="36"/>
    </row>
    <row r="96" spans="4:14">
      <c r="D96" s="36"/>
      <c r="E96" s="36"/>
      <c r="F96" s="36"/>
      <c r="G96" s="36"/>
      <c r="H96" s="36"/>
      <c r="I96" s="36"/>
      <c r="J96" s="36"/>
      <c r="K96" s="36"/>
      <c r="L96" s="36"/>
      <c r="M96" s="36"/>
      <c r="N96" s="36"/>
    </row>
    <row r="97" spans="4:14">
      <c r="D97" s="36"/>
      <c r="E97" s="36"/>
      <c r="F97" s="36"/>
      <c r="G97" s="36"/>
      <c r="H97" s="36"/>
      <c r="I97" s="36"/>
      <c r="J97" s="36"/>
      <c r="K97" s="36"/>
      <c r="L97" s="36"/>
      <c r="M97" s="36"/>
      <c r="N97" s="36"/>
    </row>
    <row r="98" spans="4:14">
      <c r="D98" s="36"/>
      <c r="E98" s="36"/>
      <c r="F98" s="36"/>
      <c r="G98" s="36"/>
      <c r="H98" s="36"/>
      <c r="I98" s="36"/>
      <c r="J98" s="36"/>
      <c r="K98" s="36"/>
      <c r="L98" s="36"/>
      <c r="M98" s="36"/>
      <c r="N98" s="36"/>
    </row>
    <row r="99" spans="4:14">
      <c r="D99" s="36"/>
      <c r="E99" s="36"/>
      <c r="F99" s="36"/>
      <c r="G99" s="36"/>
      <c r="H99" s="36"/>
      <c r="I99" s="36"/>
      <c r="J99" s="36"/>
      <c r="K99" s="36"/>
      <c r="L99" s="36"/>
      <c r="M99" s="36"/>
      <c r="N99" s="36"/>
    </row>
    <row r="100" spans="4:14">
      <c r="D100" s="36"/>
      <c r="E100" s="36"/>
      <c r="F100" s="36"/>
      <c r="G100" s="36"/>
      <c r="H100" s="36"/>
      <c r="I100" s="36"/>
      <c r="J100" s="36"/>
      <c r="K100" s="36"/>
      <c r="L100" s="36"/>
      <c r="M100" s="36"/>
      <c r="N100" s="36"/>
    </row>
    <row r="101" spans="4:14">
      <c r="D101" s="36"/>
      <c r="E101" s="36"/>
      <c r="F101" s="36"/>
      <c r="G101" s="36"/>
      <c r="H101" s="36"/>
      <c r="I101" s="36"/>
      <c r="J101" s="36"/>
      <c r="K101" s="36"/>
      <c r="L101" s="36"/>
      <c r="M101" s="36"/>
      <c r="N101" s="36"/>
    </row>
    <row r="103" spans="4:14">
      <c r="D103" s="36"/>
      <c r="E103" s="36"/>
      <c r="F103" s="36"/>
      <c r="G103" s="36"/>
      <c r="H103" s="36"/>
      <c r="I103" s="36"/>
      <c r="J103" s="36"/>
      <c r="K103" s="36"/>
      <c r="L103" s="36"/>
      <c r="M103" s="36"/>
      <c r="N103" s="36"/>
    </row>
    <row r="104" spans="4:14">
      <c r="D104" s="36"/>
      <c r="E104" s="36"/>
      <c r="F104" s="36"/>
      <c r="G104" s="36"/>
      <c r="H104" s="36"/>
      <c r="I104" s="36"/>
      <c r="J104" s="36"/>
      <c r="K104" s="36"/>
      <c r="L104" s="36"/>
      <c r="M104" s="36"/>
      <c r="N104" s="36"/>
    </row>
    <row r="105" spans="4:14">
      <c r="D105" s="36"/>
      <c r="E105" s="36"/>
      <c r="F105" s="36"/>
      <c r="G105" s="36"/>
      <c r="H105" s="36"/>
      <c r="I105" s="36"/>
      <c r="J105" s="36"/>
      <c r="K105" s="36"/>
      <c r="L105" s="36"/>
      <c r="M105" s="36"/>
      <c r="N105" s="36"/>
    </row>
    <row r="106" spans="4:14">
      <c r="D106" s="36"/>
      <c r="E106" s="36"/>
      <c r="F106" s="36"/>
      <c r="G106" s="36"/>
      <c r="H106" s="36"/>
      <c r="I106" s="36"/>
      <c r="J106" s="36"/>
      <c r="K106" s="36"/>
      <c r="L106" s="36"/>
      <c r="M106" s="36"/>
      <c r="N106" s="36"/>
    </row>
    <row r="107" spans="4:14">
      <c r="D107" s="36"/>
      <c r="E107" s="36"/>
      <c r="F107" s="36"/>
      <c r="G107" s="36"/>
      <c r="H107" s="36"/>
      <c r="I107" s="36"/>
      <c r="J107" s="36"/>
      <c r="K107" s="36"/>
      <c r="L107" s="36"/>
      <c r="M107" s="36"/>
      <c r="N107" s="36"/>
    </row>
    <row r="108" spans="4:14">
      <c r="D108" s="36"/>
      <c r="E108" s="36"/>
      <c r="F108" s="36"/>
      <c r="G108" s="36"/>
      <c r="H108" s="36"/>
      <c r="I108" s="36"/>
      <c r="J108" s="36"/>
      <c r="K108" s="36"/>
      <c r="L108" s="36"/>
      <c r="M108" s="36"/>
      <c r="N108" s="36"/>
    </row>
    <row r="110" spans="4:14">
      <c r="D110" s="36"/>
      <c r="E110" s="36"/>
      <c r="F110" s="36"/>
      <c r="G110" s="36"/>
      <c r="H110" s="36"/>
      <c r="I110" s="36"/>
      <c r="J110" s="36"/>
      <c r="K110" s="36"/>
      <c r="L110" s="36"/>
      <c r="M110" s="36"/>
      <c r="N110" s="36"/>
    </row>
    <row r="111" spans="4:14">
      <c r="D111" s="36"/>
      <c r="E111" s="36"/>
      <c r="F111" s="36"/>
      <c r="G111" s="36"/>
      <c r="H111" s="36"/>
      <c r="I111" s="36"/>
      <c r="J111" s="36"/>
      <c r="K111" s="36"/>
      <c r="L111" s="36"/>
      <c r="M111" s="36"/>
      <c r="N111" s="36"/>
    </row>
    <row r="112" spans="4:14">
      <c r="D112" s="36"/>
      <c r="E112" s="36"/>
      <c r="F112" s="36"/>
      <c r="G112" s="36"/>
      <c r="H112" s="36"/>
      <c r="I112" s="36"/>
      <c r="J112" s="36"/>
      <c r="K112" s="36"/>
      <c r="L112" s="36"/>
      <c r="M112" s="36"/>
      <c r="N112" s="36"/>
    </row>
    <row r="114" spans="4:14">
      <c r="D114" s="36"/>
      <c r="E114" s="36"/>
      <c r="F114" s="36"/>
      <c r="G114" s="36"/>
      <c r="H114" s="36"/>
      <c r="I114" s="36"/>
      <c r="J114" s="36"/>
      <c r="K114" s="36"/>
      <c r="L114" s="36"/>
      <c r="M114" s="36"/>
      <c r="N114" s="36"/>
    </row>
    <row r="116" spans="4:14">
      <c r="D116" s="36"/>
      <c r="E116" s="36"/>
      <c r="F116" s="36"/>
      <c r="G116" s="36"/>
      <c r="H116" s="36"/>
      <c r="I116" s="36"/>
      <c r="J116" s="36"/>
      <c r="K116" s="36"/>
      <c r="L116" s="36"/>
      <c r="M116" s="36"/>
      <c r="N116" s="36"/>
    </row>
    <row r="118" spans="4:14">
      <c r="D118" s="36"/>
      <c r="E118" s="36"/>
      <c r="F118" s="36"/>
      <c r="G118" s="36"/>
      <c r="H118" s="36"/>
      <c r="I118" s="36"/>
      <c r="J118" s="36"/>
      <c r="K118" s="36"/>
      <c r="L118" s="36"/>
      <c r="M118" s="36"/>
      <c r="N118" s="36"/>
    </row>
    <row r="120" spans="4:14">
      <c r="D120" s="36"/>
      <c r="E120" s="36"/>
      <c r="F120" s="36"/>
      <c r="G120" s="36"/>
      <c r="H120" s="36"/>
      <c r="I120" s="36"/>
      <c r="J120" s="36"/>
      <c r="K120" s="36"/>
      <c r="L120" s="36"/>
      <c r="M120" s="36"/>
      <c r="N120" s="36"/>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sheetData>
  <mergeCells count="3">
    <mergeCell ref="D1:F2"/>
    <mergeCell ref="G1:J2"/>
    <mergeCell ref="K1:N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6F4156B-A8E3-4401-8281-B64061C18050}">
          <x14:formula1>
            <xm:f>'Validación datos NO BORRAR'!$H$2:$H$5</xm:f>
          </x14:formula1>
          <xm:sqref>D4:N41</xm:sqref>
        </x14:dataValidation>
        <x14:dataValidation type="list" allowBlank="1" showInputMessage="1" showErrorMessage="1" xr:uid="{64943126-4CEE-4448-9197-276716265CBF}">
          <x14:formula1>
            <xm:f>Hoja1!$A$1:$A$4</xm:f>
          </x14:formula1>
          <xm:sqref>D42:N102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85"/>
  <cols>
    <col min="1" max="1" width="17.5703125" bestFit="1" customWidth="1"/>
  </cols>
  <sheetData>
    <row r="1" spans="1:3" ht="15.95">
      <c r="A1" s="2" t="s">
        <v>176</v>
      </c>
      <c r="C1" t="s">
        <v>177</v>
      </c>
    </row>
    <row r="2" spans="1:3" ht="15.95">
      <c r="A2" s="2" t="s">
        <v>178</v>
      </c>
      <c r="C2" t="s">
        <v>179</v>
      </c>
    </row>
    <row r="3" spans="1:3" ht="15.95">
      <c r="A3" s="2" t="s">
        <v>180</v>
      </c>
    </row>
    <row r="4" spans="1:3" ht="15.95">
      <c r="A4" s="2" t="s">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2A98-6D84-425B-BFB7-E57032310C3E}">
  <dimension ref="A1:L13"/>
  <sheetViews>
    <sheetView topLeftCell="A11" workbookViewId="0">
      <selection activeCell="Q11" sqref="Q11"/>
    </sheetView>
  </sheetViews>
  <sheetFormatPr defaultRowHeight="15"/>
  <cols>
    <col min="3" max="3" width="15.5703125" bestFit="1" customWidth="1"/>
    <col min="11" max="11" width="54.5703125" customWidth="1"/>
    <col min="12" max="12" width="70.7109375" customWidth="1"/>
  </cols>
  <sheetData>
    <row r="1" spans="1:12">
      <c r="A1" s="84"/>
      <c r="B1" s="142"/>
      <c r="C1" s="142"/>
      <c r="D1" s="142"/>
      <c r="E1" s="142"/>
      <c r="F1" s="142"/>
      <c r="G1" s="142"/>
      <c r="H1" s="142"/>
      <c r="I1" s="142"/>
      <c r="J1" s="142"/>
      <c r="K1" s="142"/>
      <c r="L1" s="142"/>
    </row>
    <row r="2" spans="1:12">
      <c r="A2" s="84"/>
      <c r="B2" s="143" t="s">
        <v>182</v>
      </c>
      <c r="C2" s="143"/>
      <c r="D2" s="143"/>
      <c r="E2" s="143"/>
      <c r="F2" s="143"/>
      <c r="G2" s="143"/>
      <c r="H2" s="143"/>
      <c r="I2" s="143"/>
      <c r="J2" s="143"/>
      <c r="K2" s="143"/>
      <c r="L2" s="143"/>
    </row>
    <row r="3" spans="1:12">
      <c r="A3" s="84"/>
      <c r="B3" s="143" t="s">
        <v>183</v>
      </c>
      <c r="C3" s="143"/>
      <c r="D3" s="143"/>
      <c r="E3" s="143"/>
      <c r="F3" s="143"/>
      <c r="G3" s="143"/>
      <c r="H3" s="143"/>
      <c r="I3" s="143"/>
      <c r="J3" s="143"/>
      <c r="K3" s="143"/>
      <c r="L3" s="143"/>
    </row>
    <row r="4" spans="1:12">
      <c r="A4" s="84"/>
      <c r="B4" s="144" t="s">
        <v>184</v>
      </c>
      <c r="C4" s="144"/>
      <c r="D4" s="144"/>
      <c r="E4" s="144"/>
      <c r="F4" s="144"/>
      <c r="G4" s="144"/>
      <c r="H4" s="144"/>
      <c r="I4" s="144"/>
      <c r="J4" s="144"/>
      <c r="K4" s="144"/>
      <c r="L4" s="144"/>
    </row>
    <row r="5" spans="1:12">
      <c r="A5" s="84"/>
      <c r="B5" s="142"/>
      <c r="C5" s="142"/>
      <c r="D5" s="142"/>
      <c r="E5" s="142"/>
      <c r="F5" s="142"/>
      <c r="G5" s="142"/>
      <c r="H5" s="142"/>
      <c r="I5" s="142"/>
      <c r="J5" s="142"/>
      <c r="K5" s="142"/>
      <c r="L5" s="142"/>
    </row>
    <row r="6" spans="1:12">
      <c r="A6" s="84"/>
      <c r="B6" s="145" t="s">
        <v>185</v>
      </c>
      <c r="C6" s="145"/>
      <c r="D6" s="145"/>
      <c r="E6" s="145"/>
      <c r="F6" s="145"/>
      <c r="G6" s="145"/>
      <c r="H6" s="145"/>
      <c r="I6" s="145"/>
      <c r="J6" s="145"/>
      <c r="K6" s="145"/>
      <c r="L6" s="145"/>
    </row>
    <row r="7" spans="1:12">
      <c r="A7" s="84"/>
      <c r="B7" s="146" t="s">
        <v>186</v>
      </c>
      <c r="C7" s="146"/>
      <c r="D7" s="146"/>
      <c r="E7" s="146"/>
      <c r="F7" s="146"/>
      <c r="G7" s="146"/>
      <c r="H7" s="146"/>
      <c r="I7" s="146"/>
      <c r="J7" s="146"/>
      <c r="K7" s="146"/>
      <c r="L7" s="146"/>
    </row>
    <row r="8" spans="1:12">
      <c r="A8" s="84"/>
      <c r="B8" s="147" t="s">
        <v>187</v>
      </c>
      <c r="C8" s="148"/>
      <c r="D8" s="148"/>
      <c r="E8" s="148"/>
      <c r="F8" s="148"/>
      <c r="G8" s="148"/>
      <c r="H8" s="148"/>
      <c r="I8" s="148"/>
      <c r="J8" s="148"/>
      <c r="K8" s="148"/>
      <c r="L8" s="149"/>
    </row>
    <row r="9" spans="1:12">
      <c r="A9" s="84"/>
      <c r="B9" s="139" t="s">
        <v>188</v>
      </c>
      <c r="C9" s="140"/>
      <c r="D9" s="140"/>
      <c r="E9" s="140"/>
      <c r="F9" s="140"/>
      <c r="G9" s="140"/>
      <c r="H9" s="140"/>
      <c r="I9" s="140"/>
      <c r="J9" s="140"/>
      <c r="K9" s="140"/>
      <c r="L9" s="141"/>
    </row>
    <row r="10" spans="1:12">
      <c r="A10" s="84"/>
      <c r="B10" s="85" t="s">
        <v>189</v>
      </c>
      <c r="C10" s="86" t="s">
        <v>190</v>
      </c>
      <c r="D10" s="148" t="s">
        <v>191</v>
      </c>
      <c r="E10" s="148"/>
      <c r="F10" s="148"/>
      <c r="G10" s="148"/>
      <c r="H10" s="148"/>
      <c r="I10" s="148"/>
      <c r="J10" s="148"/>
      <c r="K10" s="149"/>
      <c r="L10" s="86" t="s">
        <v>192</v>
      </c>
    </row>
    <row r="11" spans="1:12" ht="245.25">
      <c r="A11" s="84"/>
      <c r="B11" s="85" t="s">
        <v>193</v>
      </c>
      <c r="C11" s="86" t="s">
        <v>194</v>
      </c>
      <c r="D11" s="137" t="s">
        <v>195</v>
      </c>
      <c r="E11" s="137"/>
      <c r="F11" s="137"/>
      <c r="G11" s="137"/>
      <c r="H11" s="137"/>
      <c r="I11" s="137"/>
      <c r="J11" s="137"/>
      <c r="K11" s="138"/>
      <c r="L11" s="87" t="s">
        <v>196</v>
      </c>
    </row>
    <row r="12" spans="1:12" ht="159">
      <c r="A12" s="84"/>
      <c r="B12" s="85" t="s">
        <v>197</v>
      </c>
      <c r="C12" s="86" t="s">
        <v>198</v>
      </c>
      <c r="D12" s="137" t="s">
        <v>199</v>
      </c>
      <c r="E12" s="137"/>
      <c r="F12" s="137"/>
      <c r="G12" s="137"/>
      <c r="H12" s="137"/>
      <c r="I12" s="137"/>
      <c r="J12" s="137"/>
      <c r="K12" s="138"/>
      <c r="L12" s="87" t="s">
        <v>200</v>
      </c>
    </row>
    <row r="13" spans="1:12" ht="216.75">
      <c r="A13" s="84"/>
      <c r="B13" s="85" t="s">
        <v>201</v>
      </c>
      <c r="C13" s="86" t="s">
        <v>202</v>
      </c>
      <c r="D13" s="137" t="s">
        <v>203</v>
      </c>
      <c r="E13" s="137"/>
      <c r="F13" s="137"/>
      <c r="G13" s="137"/>
      <c r="H13" s="137"/>
      <c r="I13" s="137"/>
      <c r="J13" s="137"/>
      <c r="K13" s="138"/>
      <c r="L13" s="87" t="s">
        <v>204</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1:H15"/>
  <sheetViews>
    <sheetView workbookViewId="0">
      <selection activeCell="G2" sqref="G2"/>
    </sheetView>
  </sheetViews>
  <sheetFormatPr defaultColWidth="11.42578125" defaultRowHeight="14.85"/>
  <cols>
    <col min="5" max="5" width="71" customWidth="1"/>
    <col min="6" max="6" width="20.140625" customWidth="1"/>
    <col min="7" max="7" width="31.7109375" customWidth="1"/>
    <col min="8" max="8" width="16.28515625" customWidth="1"/>
  </cols>
  <sheetData>
    <row r="1" spans="5:8" ht="27">
      <c r="E1" s="28" t="s">
        <v>205</v>
      </c>
      <c r="F1" s="29" t="s">
        <v>54</v>
      </c>
      <c r="G1" s="29" t="s">
        <v>206</v>
      </c>
      <c r="H1" s="31" t="s">
        <v>207</v>
      </c>
    </row>
    <row r="2" spans="5:8">
      <c r="E2" s="27" t="s">
        <v>75</v>
      </c>
      <c r="F2" s="30" t="s">
        <v>76</v>
      </c>
      <c r="G2" s="27" t="s">
        <v>208</v>
      </c>
      <c r="H2" s="32">
        <v>0</v>
      </c>
    </row>
    <row r="3" spans="5:8">
      <c r="E3" s="27" t="s">
        <v>96</v>
      </c>
      <c r="F3" s="30" t="s">
        <v>86</v>
      </c>
      <c r="G3" s="27" t="s">
        <v>209</v>
      </c>
      <c r="H3" s="32">
        <v>1</v>
      </c>
    </row>
    <row r="4" spans="5:8">
      <c r="E4" s="27" t="s">
        <v>149</v>
      </c>
      <c r="F4" s="30" t="s">
        <v>210</v>
      </c>
      <c r="G4" s="27" t="s">
        <v>87</v>
      </c>
      <c r="H4" s="32">
        <v>2</v>
      </c>
    </row>
    <row r="5" spans="5:8">
      <c r="E5" s="27" t="s">
        <v>85</v>
      </c>
      <c r="F5" s="27" t="s">
        <v>87</v>
      </c>
      <c r="G5" s="27"/>
      <c r="H5" s="32">
        <v>3</v>
      </c>
    </row>
    <row r="6" spans="5:8">
      <c r="E6" s="27" t="s">
        <v>211</v>
      </c>
      <c r="F6" s="27"/>
      <c r="G6" s="27"/>
      <c r="H6" s="32"/>
    </row>
    <row r="7" spans="5:8">
      <c r="E7" s="27" t="s">
        <v>212</v>
      </c>
      <c r="F7" s="27"/>
      <c r="G7" s="27"/>
      <c r="H7" s="32"/>
    </row>
    <row r="8" spans="5:8">
      <c r="E8" s="27"/>
      <c r="F8" s="27"/>
      <c r="G8" s="27"/>
      <c r="H8" s="32"/>
    </row>
    <row r="9" spans="5:8">
      <c r="E9" s="27"/>
      <c r="F9" s="27"/>
      <c r="G9" s="27"/>
      <c r="H9" s="32"/>
    </row>
    <row r="10" spans="5:8">
      <c r="E10" s="27"/>
      <c r="F10" s="27"/>
      <c r="G10" s="27"/>
      <c r="H10" s="32"/>
    </row>
    <row r="11" spans="5:8">
      <c r="E11" s="27"/>
      <c r="F11" s="27"/>
      <c r="G11" s="27"/>
      <c r="H11" s="32"/>
    </row>
    <row r="12" spans="5:8">
      <c r="E12" s="27"/>
      <c r="F12" s="27"/>
      <c r="G12" s="27"/>
      <c r="H12" s="32"/>
    </row>
    <row r="13" spans="5:8">
      <c r="E13" s="27"/>
      <c r="F13" s="27"/>
      <c r="G13" s="27"/>
      <c r="H13" s="32"/>
    </row>
    <row r="14" spans="5:8">
      <c r="E14" s="27"/>
      <c r="F14" s="27"/>
      <c r="G14" s="27"/>
      <c r="H14" s="32"/>
    </row>
    <row r="15" spans="5:8">
      <c r="E15" s="27"/>
      <c r="F15" s="27"/>
      <c r="G15" s="27"/>
      <c r="H15"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2025-10-06T19:45:40Z</dcterms:modified>
  <cp:category/>
  <cp:contentStatus/>
</cp:coreProperties>
</file>