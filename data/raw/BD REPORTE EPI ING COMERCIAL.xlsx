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mc:AlternateContent xmlns:mc="http://schemas.openxmlformats.org/markup-compatibility/2006">
    <mc:Choice Requires="x15">
      <x15ac:absPath xmlns:x15ac="http://schemas.microsoft.com/office/spreadsheetml/2010/11/ac" url="C:\Users\vubal\Dropbox\UAH 2025\EPI 2025\Formatos excel result por carrera\FEN\"/>
    </mc:Choice>
  </mc:AlternateContent>
  <xr:revisionPtr revIDLastSave="0" documentId="8_{AE8AEC94-449A-4A8D-B06B-2ADC88484D3F}" xr6:coauthVersionLast="47" xr6:coauthVersionMax="47" xr10:uidLastSave="{00000000-0000-0000-0000-000000000000}"/>
  <bookViews>
    <workbookView xWindow="-120" yWindow="-120" windowWidth="29040" windowHeight="15840" tabRatio="672" firstSheet="2" activeTab="2" xr2:uid="{00000000-000D-0000-FFFF-FFFF00000000}"/>
  </bookViews>
  <sheets>
    <sheet name="Rúbrica Resultados Globales" sheetId="1" r:id="rId1"/>
    <sheet name="Rúbrica situación evaluativa " sheetId="5" r:id="rId2"/>
    <sheet name="Resultados Individuales" sheetId="2" r:id="rId3"/>
    <sheet name="Resultados Grupales " sheetId="4" r:id="rId4"/>
    <sheet name="Validación datos NO BORRAR" sheetId="6" r:id="rId5"/>
    <sheet name="Hoja1" sheetId="3" state="hidden" r:id="rId6"/>
    <sheet name="Acciones a realizar" sheetId="9" r:id="rId7"/>
  </sheets>
  <definedNames>
    <definedName name="_xlnm._FilterDatabase" localSheetId="2" hidden="1">'Resultados Individuales'!$A$3:$T$3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 i="2" l="1"/>
  <c r="S5" i="2" s="1"/>
  <c r="R6" i="2"/>
  <c r="S6" i="2" s="1"/>
  <c r="R7" i="2"/>
  <c r="S7" i="2" s="1"/>
  <c r="R8" i="2"/>
  <c r="S8" i="2" s="1"/>
  <c r="R9" i="2"/>
  <c r="S9" i="2" s="1"/>
  <c r="R10" i="2"/>
  <c r="S10" i="2" s="1"/>
  <c r="R11" i="2"/>
  <c r="S11" i="2" s="1"/>
  <c r="R12" i="2"/>
  <c r="S12" i="2" s="1"/>
  <c r="R13" i="2"/>
  <c r="S13" i="2" s="1"/>
  <c r="R14" i="2"/>
  <c r="S14" i="2" s="1"/>
  <c r="R15" i="2"/>
  <c r="S15" i="2" s="1"/>
  <c r="R16" i="2"/>
  <c r="S16" i="2" s="1"/>
  <c r="R17" i="2"/>
  <c r="S17" i="2" s="1"/>
  <c r="R18" i="2"/>
  <c r="S18" i="2" s="1"/>
  <c r="R19" i="2"/>
  <c r="S19" i="2" s="1"/>
  <c r="R20" i="2"/>
  <c r="S20" i="2" s="1"/>
  <c r="R21" i="2"/>
  <c r="S21" i="2" s="1"/>
  <c r="R22" i="2"/>
  <c r="S22" i="2" s="1"/>
  <c r="R23" i="2"/>
  <c r="S23" i="2" s="1"/>
  <c r="R24" i="2"/>
  <c r="S24" i="2" s="1"/>
  <c r="R25" i="2"/>
  <c r="S25" i="2" s="1"/>
  <c r="R26" i="2"/>
  <c r="S26" i="2" s="1"/>
  <c r="R27" i="2"/>
  <c r="S27" i="2" s="1"/>
  <c r="R28" i="2"/>
  <c r="S28" i="2" s="1"/>
  <c r="R29" i="2"/>
  <c r="S29" i="2" s="1"/>
  <c r="R30" i="2"/>
  <c r="S30" i="2" s="1"/>
  <c r="R31" i="2"/>
  <c r="S31" i="2" s="1"/>
  <c r="R32" i="2"/>
  <c r="S32" i="2" s="1"/>
  <c r="R33" i="2"/>
  <c r="S33" i="2" s="1"/>
  <c r="R34" i="2"/>
  <c r="S34" i="2" s="1"/>
  <c r="R35" i="2"/>
  <c r="S35" i="2" s="1"/>
  <c r="R36" i="2"/>
  <c r="S36" i="2" s="1"/>
  <c r="R37" i="2"/>
  <c r="S37" i="2" s="1"/>
  <c r="R38" i="2"/>
  <c r="S38" i="2" s="1"/>
  <c r="R39" i="2"/>
  <c r="S39" i="2" s="1"/>
  <c r="R40" i="2"/>
  <c r="S40" i="2" s="1"/>
  <c r="R41" i="2"/>
  <c r="S41" i="2" s="1"/>
  <c r="R42" i="2"/>
  <c r="S42" i="2" s="1"/>
  <c r="R43" i="2"/>
  <c r="S43" i="2" s="1"/>
  <c r="R44" i="2"/>
  <c r="S44" i="2" s="1"/>
  <c r="R45" i="2"/>
  <c r="S45" i="2" s="1"/>
  <c r="R46" i="2"/>
  <c r="S46" i="2" s="1"/>
  <c r="R47" i="2"/>
  <c r="S47" i="2" s="1"/>
  <c r="R48" i="2"/>
  <c r="S48" i="2" s="1"/>
  <c r="R49" i="2"/>
  <c r="S49" i="2" s="1"/>
  <c r="R50" i="2"/>
  <c r="S50" i="2" s="1"/>
  <c r="R51" i="2"/>
  <c r="S51" i="2" s="1"/>
  <c r="R52" i="2"/>
  <c r="S52" i="2" s="1"/>
  <c r="R53" i="2"/>
  <c r="S53" i="2" s="1"/>
  <c r="R54" i="2"/>
  <c r="S54" i="2" s="1"/>
  <c r="R55" i="2"/>
  <c r="S55" i="2" s="1"/>
  <c r="R56" i="2"/>
  <c r="S56" i="2" s="1"/>
  <c r="R57" i="2"/>
  <c r="S57" i="2" s="1"/>
  <c r="R58" i="2"/>
  <c r="S58" i="2" s="1"/>
  <c r="R59" i="2"/>
  <c r="S59" i="2" s="1"/>
  <c r="R60" i="2"/>
  <c r="S60" i="2" s="1"/>
  <c r="R61" i="2"/>
  <c r="S61" i="2" s="1"/>
  <c r="R62" i="2"/>
  <c r="S62" i="2" s="1"/>
  <c r="R63" i="2"/>
  <c r="S63" i="2" s="1"/>
  <c r="R64" i="2"/>
  <c r="S64" i="2" s="1"/>
  <c r="R65" i="2"/>
  <c r="S65" i="2" s="1"/>
  <c r="R66" i="2"/>
  <c r="S66" i="2" s="1"/>
  <c r="R67" i="2"/>
  <c r="S67" i="2" s="1"/>
  <c r="R68" i="2"/>
  <c r="S68" i="2" s="1"/>
  <c r="R69" i="2"/>
  <c r="S69" i="2" s="1"/>
  <c r="R70" i="2"/>
  <c r="S70" i="2" s="1"/>
  <c r="R71" i="2"/>
  <c r="S71" i="2" s="1"/>
  <c r="R72" i="2"/>
  <c r="S72" i="2" s="1"/>
  <c r="R73" i="2"/>
  <c r="S73" i="2" s="1"/>
  <c r="R74" i="2"/>
  <c r="S74" i="2" s="1"/>
  <c r="R75" i="2"/>
  <c r="S75" i="2" s="1"/>
  <c r="R76" i="2"/>
  <c r="S76" i="2" s="1"/>
  <c r="R77" i="2"/>
  <c r="S77" i="2" s="1"/>
  <c r="R78" i="2"/>
  <c r="S78" i="2" s="1"/>
  <c r="R79" i="2"/>
  <c r="S79" i="2" s="1"/>
  <c r="R80" i="2"/>
  <c r="S80" i="2" s="1"/>
  <c r="R81" i="2"/>
  <c r="S81" i="2" s="1"/>
  <c r="R82" i="2"/>
  <c r="S82" i="2" s="1"/>
  <c r="R83" i="2"/>
  <c r="S83" i="2" s="1"/>
  <c r="R84" i="2"/>
  <c r="S84" i="2" s="1"/>
  <c r="R85" i="2"/>
  <c r="S85" i="2" s="1"/>
  <c r="R86" i="2"/>
  <c r="S86" i="2" s="1"/>
  <c r="R87" i="2"/>
  <c r="S87" i="2" s="1"/>
  <c r="R88" i="2"/>
  <c r="S88" i="2" s="1"/>
  <c r="R89" i="2"/>
  <c r="S89" i="2" s="1"/>
  <c r="R90" i="2"/>
  <c r="S90" i="2" s="1"/>
  <c r="R91" i="2"/>
  <c r="S91" i="2" s="1"/>
  <c r="R92" i="2"/>
  <c r="S92" i="2" s="1"/>
  <c r="R93" i="2"/>
  <c r="S93" i="2" s="1"/>
  <c r="R94" i="2"/>
  <c r="S94" i="2" s="1"/>
  <c r="R95" i="2"/>
  <c r="S95" i="2" s="1"/>
  <c r="R96" i="2"/>
  <c r="S96" i="2" s="1"/>
  <c r="R97" i="2"/>
  <c r="S97" i="2" s="1"/>
  <c r="R98" i="2"/>
  <c r="S98" i="2" s="1"/>
  <c r="R99" i="2"/>
  <c r="S99" i="2" s="1"/>
  <c r="R100" i="2"/>
  <c r="S100" i="2" s="1"/>
  <c r="R101" i="2"/>
  <c r="S101" i="2" s="1"/>
  <c r="R102" i="2"/>
  <c r="S102" i="2" s="1"/>
  <c r="K4" i="4"/>
  <c r="R4" i="2"/>
  <c r="S4" i="2" s="1"/>
  <c r="T4" i="2" s="1"/>
  <c r="T88" i="2" l="1"/>
  <c r="T72" i="2"/>
  <c r="T56" i="2"/>
  <c r="T40" i="2"/>
  <c r="T24" i="2"/>
  <c r="T8" i="2"/>
  <c r="T87" i="2"/>
  <c r="T71" i="2"/>
  <c r="T55" i="2"/>
  <c r="T39" i="2"/>
  <c r="T23" i="2"/>
  <c r="T7" i="2"/>
  <c r="T95" i="2"/>
  <c r="T79" i="2"/>
  <c r="T63" i="2"/>
  <c r="T47" i="2"/>
  <c r="T31" i="2"/>
  <c r="T15" i="2"/>
  <c r="T102" i="2"/>
  <c r="T86" i="2"/>
  <c r="T70" i="2"/>
  <c r="T54" i="2"/>
  <c r="T38" i="2"/>
  <c r="T22" i="2"/>
  <c r="T6" i="2"/>
  <c r="T78" i="2"/>
  <c r="T46" i="2"/>
  <c r="T30" i="2"/>
  <c r="T14" i="2"/>
  <c r="T101" i="2"/>
  <c r="T85" i="2"/>
  <c r="T69" i="2"/>
  <c r="T53" i="2"/>
  <c r="T37" i="2"/>
  <c r="T21" i="2"/>
  <c r="T5" i="2"/>
  <c r="T94" i="2"/>
  <c r="T62" i="2"/>
  <c r="T93" i="2"/>
  <c r="T77" i="2"/>
  <c r="T61" i="2"/>
  <c r="T45" i="2"/>
  <c r="T29" i="2"/>
  <c r="T13" i="2"/>
  <c r="T28" i="2"/>
  <c r="T12" i="2"/>
  <c r="T92" i="2"/>
  <c r="T44" i="2"/>
  <c r="T75" i="2"/>
  <c r="T59" i="2"/>
  <c r="T43" i="2"/>
  <c r="T27" i="2"/>
  <c r="T11" i="2"/>
  <c r="T98" i="2"/>
  <c r="T82" i="2"/>
  <c r="T66" i="2"/>
  <c r="T50" i="2"/>
  <c r="T34" i="2"/>
  <c r="T76" i="2"/>
  <c r="T60" i="2"/>
  <c r="T91" i="2"/>
  <c r="T90" i="2"/>
  <c r="T74" i="2"/>
  <c r="T58" i="2"/>
  <c r="T42" i="2"/>
  <c r="T26" i="2"/>
  <c r="T10" i="2"/>
  <c r="T97" i="2"/>
  <c r="T81" i="2"/>
  <c r="T65" i="2"/>
  <c r="T49" i="2"/>
  <c r="T33" i="2"/>
  <c r="T17" i="2"/>
  <c r="T89" i="2"/>
  <c r="T73" i="2"/>
  <c r="T57" i="2"/>
  <c r="T41" i="2"/>
  <c r="T25" i="2"/>
  <c r="T9" i="2"/>
  <c r="T96" i="2"/>
  <c r="T80" i="2"/>
  <c r="T64" i="2"/>
  <c r="T48" i="2"/>
  <c r="T32" i="2"/>
  <c r="T16" i="2"/>
  <c r="T100" i="2"/>
  <c r="T84" i="2"/>
  <c r="T68" i="2"/>
  <c r="T52" i="2"/>
  <c r="T36" i="2"/>
  <c r="T20" i="2"/>
  <c r="T99" i="2"/>
  <c r="T83" i="2"/>
  <c r="T67" i="2"/>
  <c r="T51" i="2"/>
  <c r="T35" i="2"/>
  <c r="T19" i="2"/>
  <c r="T18" i="2"/>
</calcChain>
</file>

<file path=xl/sharedStrings.xml><?xml version="1.0" encoding="utf-8"?>
<sst xmlns="http://schemas.openxmlformats.org/spreadsheetml/2006/main" count="751" uniqueCount="483">
  <si>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</si>
  <si>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</si>
  <si>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</si>
  <si>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</si>
  <si>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</si>
  <si>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</si>
  <si>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</si>
  <si>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</si>
  <si>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</si>
  <si>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</si>
  <si>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</si>
  <si>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</si>
  <si>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</si>
  <si>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</si>
  <si>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</si>
  <si>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</si>
  <si>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</si>
  <si>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</si>
  <si>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</si>
  <si>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</si>
  <si>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</si>
  <si>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</si>
  <si>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</si>
  <si>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</si>
  <si>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</si>
  <si>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</si>
  <si>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</si>
  <si>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</si>
  <si>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</si>
  <si>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</si>
  <si>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sz val="11"/>
        <rFont val="Aptos Narrow"/>
        <family val="2"/>
        <scheme val="minor"/>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</si>
  <si>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</si>
  <si>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</si>
  <si>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</si>
  <si>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</si>
  <si>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</si>
  <si>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</si>
  <si>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</si>
  <si>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</si>
  <si>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</si>
  <si>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</si>
  <si>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</si>
  <si>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t>DATOS DE ESTUDIANTES DE LA COHORTE</t>
  </si>
  <si>
    <r>
      <rPr>
        <b/>
        <u/>
        <sz val="12"/>
        <color theme="1"/>
        <rFont val="Aptos Narrow"/>
        <family val="2"/>
        <scheme val="minor"/>
      </rPr>
      <t>Actividad problema 1
ADMINISTRACIÓN</t>
    </r>
    <r>
      <rPr>
        <sz val="11"/>
        <color theme="1"/>
        <rFont val="Aptos Narrow"/>
        <family val="2"/>
        <scheme val="minor"/>
      </rPr>
      <t xml:space="preserve">
</t>
    </r>
    <r>
      <rPr>
        <sz val="12"/>
        <color theme="1"/>
        <rFont val="Aptos Narrow"/>
        <family val="2"/>
        <scheme val="minor"/>
      </rPr>
      <t xml:space="preserve">                 
</t>
    </r>
    <r>
      <rPr>
        <i/>
        <sz val="11"/>
        <color theme="1"/>
        <rFont val="Aptos Narrow"/>
        <family val="2"/>
        <scheme val="minor"/>
      </rPr>
      <t xml:space="preserve">Nivel de logro no observado: 0 punto                                
Nivel de logro Bajo: 1 puntos
Nivel del logro Medio: 2 puntos
Nivel de logro Satisfactorio: 3 puntos 
</t>
    </r>
  </si>
  <si>
    <r>
      <rPr>
        <b/>
        <u/>
        <sz val="12"/>
        <color theme="1"/>
        <rFont val="Aptos Narrow"/>
        <family val="2"/>
        <scheme val="minor"/>
      </rPr>
      <t>Actividad problema 2
ECONOMÍA</t>
    </r>
    <r>
      <rPr>
        <sz val="11"/>
        <color theme="1"/>
        <rFont val="Aptos Narrow"/>
        <family val="2"/>
        <scheme val="minor"/>
      </rPr>
      <t xml:space="preserve">
</t>
    </r>
    <r>
      <rPr>
        <sz val="12"/>
        <color theme="1"/>
        <rFont val="Aptos Narrow"/>
        <family val="2"/>
        <scheme val="minor"/>
      </rPr>
      <t xml:space="preserve">                 
</t>
    </r>
    <r>
      <rPr>
        <i/>
        <sz val="11"/>
        <color theme="1"/>
        <rFont val="Aptos Narrow"/>
        <family val="2"/>
        <scheme val="minor"/>
      </rPr>
      <t xml:space="preserve">Nivel de logro No observado: 0 punto                                
Nivel de logro Bajo: 1 puntos
Nivel del logro Medio: 2 puntos
Nivel de logro Satisfactorio: 3 puntos 
</t>
    </r>
  </si>
  <si>
    <t>Resultado General por estudiante</t>
  </si>
  <si>
    <t>RUT ESTUDIANTE</t>
  </si>
  <si>
    <t>DV</t>
  </si>
  <si>
    <t>NOMBRE COMPLETO</t>
  </si>
  <si>
    <t>PRIMER APELLIDO
(Apellido paterno)</t>
  </si>
  <si>
    <t>SEGUNDO APELLIDO
(Apellido materno)</t>
  </si>
  <si>
    <t>NOMBRES</t>
  </si>
  <si>
    <t>ESTADO DE HABILITACIÓN PARA RENDIR</t>
  </si>
  <si>
    <t>ESTATUS DE RENDICIÓN</t>
  </si>
  <si>
    <t>FECHA DE RENDICIÓN</t>
  </si>
  <si>
    <t>JUSTIFICACIÓN  DE NO RENDICIÓN</t>
  </si>
  <si>
    <t>DIMENSIÓN 1
Funciones y etapas de  la Administración</t>
  </si>
  <si>
    <t>DIMENSIÓN 2
Análisis y comprensión del texto y búsqueda de información específica en el mismo</t>
  </si>
  <si>
    <t>DIMENSIÓN 3
Expresión escrita en un contexto disciplinar</t>
  </si>
  <si>
    <t>DIMENSIÓN 1
Comprensión del texto y búsqueda de información específica del mismo</t>
  </si>
  <si>
    <t>DIMENSIÓN 2
Uso de gráficos de oferta y demanda para representar los efectos de una ley que prohíbe los aumentos de precios.</t>
  </si>
  <si>
    <t>DIMENSIÓN 3
Explica los efectos económicos de una ley que prohíbe los aumentos de precios.</t>
  </si>
  <si>
    <t>DIMENSIÓN 4
Expresión escrita en un contexto disciplinar</t>
  </si>
  <si>
    <t>PUNTAJE TOTAL ESTUDIANTE</t>
  </si>
  <si>
    <t>PORCENTAJE DE LOGRO</t>
  </si>
  <si>
    <t>CATEGORÍA RESULTADO GLOBAL ESTUDIANTE</t>
  </si>
  <si>
    <t>JAVIERA FERNANDA LEON GUZMAN</t>
  </si>
  <si>
    <t>LEON</t>
  </si>
  <si>
    <t>GUZMAN</t>
  </si>
  <si>
    <t>JAVIERA FERNANDA</t>
  </si>
  <si>
    <t>Avance curricular suficiente o adecuado para evaluar ciclo básico</t>
  </si>
  <si>
    <t xml:space="preserve">Rendida </t>
  </si>
  <si>
    <t>MIGUEL ARTURO ABANTO ROQUE</t>
  </si>
  <si>
    <t>ABANTO</t>
  </si>
  <si>
    <t>ROQUE</t>
  </si>
  <si>
    <t>MIGUEL ARTURO</t>
  </si>
  <si>
    <t>GONZALO IGNACIO SALDIVIA LABRIN</t>
  </si>
  <si>
    <t>SALDIVIA</t>
  </si>
  <si>
    <t>LABRIN</t>
  </si>
  <si>
    <t>GONZALO IGNACIO</t>
  </si>
  <si>
    <t>NADIA ALEJANDRA CAROCA PÉREZ</t>
  </si>
  <si>
    <t>CAROCA</t>
  </si>
  <si>
    <t>PÉREZ</t>
  </si>
  <si>
    <t>NADIA ALEJANDRA</t>
  </si>
  <si>
    <t>FRANCISCO ALEJANDRO ALARCÓN HONORATO</t>
  </si>
  <si>
    <t>ALARCÓN</t>
  </si>
  <si>
    <t>HONORATO</t>
  </si>
  <si>
    <t>FRANCISCO ALEJANDRO</t>
  </si>
  <si>
    <t>Interrupción voluntaria (no rinde EPI 2025)</t>
  </si>
  <si>
    <t>No rendida</t>
  </si>
  <si>
    <t>No justifica</t>
  </si>
  <si>
    <t>FLORENCIA ISIDORA VÁSQUEZ CAVADA</t>
  </si>
  <si>
    <t>VÁSQUEZ</t>
  </si>
  <si>
    <t>CAVADA</t>
  </si>
  <si>
    <t>FLORENCIA ISIDORA</t>
  </si>
  <si>
    <t>DIEGO IGNACIO GUTIÉRREZ ARANCIBIA</t>
  </si>
  <si>
    <t>GUTIÉRREZ</t>
  </si>
  <si>
    <t>ARANCIBIA</t>
  </si>
  <si>
    <t>DIEGO IGNACIO</t>
  </si>
  <si>
    <t>SIMÓN EDUARDO TAPIA VILLARROEL</t>
  </si>
  <si>
    <t>TAPIA</t>
  </si>
  <si>
    <t>VILLARROEL</t>
  </si>
  <si>
    <t>SIMÓN EDUARDO</t>
  </si>
  <si>
    <t>MARTINO TOMASIN PÉREZ DE ARCE</t>
  </si>
  <si>
    <t>TOMASIN</t>
  </si>
  <si>
    <t>PÉREZ DE ARCE</t>
  </si>
  <si>
    <t>MARTINO</t>
  </si>
  <si>
    <t>YANIS KATALINA REYES VEGA</t>
  </si>
  <si>
    <t>REYES</t>
  </si>
  <si>
    <t>VEGA</t>
  </si>
  <si>
    <t>YANIS KATALINA</t>
  </si>
  <si>
    <t>CONSTANZA ANTONIA CAROLINA VILLABLANCA PALMA</t>
  </si>
  <si>
    <t>VILLABLANCA</t>
  </si>
  <si>
    <t>PALMA</t>
  </si>
  <si>
    <t>CONSTANZA ANTONIA CAROLINA</t>
  </si>
  <si>
    <t>K</t>
  </si>
  <si>
    <t>JOSÉ LUIS JERIA MARTÍNEZ</t>
  </si>
  <si>
    <t>JERIA</t>
  </si>
  <si>
    <t>MARTÍNEZ</t>
  </si>
  <si>
    <t>JOSÉ LUIS</t>
  </si>
  <si>
    <t>MIGUEL ÁNGEL EZEQUIEL LAGOS CONTRERAS</t>
  </si>
  <si>
    <t>LAGOS</t>
  </si>
  <si>
    <t>CONTRERAS</t>
  </si>
  <si>
    <t>MIGUEL ÁNGEL EZEQUIEL</t>
  </si>
  <si>
    <t>JIMMY FRANCO LOBOS DIAZ</t>
  </si>
  <si>
    <t>LOBOS</t>
  </si>
  <si>
    <t>DIAZ</t>
  </si>
  <si>
    <t>JIMMY FRANCO</t>
  </si>
  <si>
    <t>CRISTIAN MATÍAS AGUILERA VENEGAS</t>
  </si>
  <si>
    <t>AGUILERA</t>
  </si>
  <si>
    <t>VENEGAS</t>
  </si>
  <si>
    <t>CRISTIAN MATÍAS</t>
  </si>
  <si>
    <t>CRISTIAN ANTONIO MOLINA ROJAS</t>
  </si>
  <si>
    <t>MOLINA</t>
  </si>
  <si>
    <t>ROJAS</t>
  </si>
  <si>
    <t>CRISTIAN ANTONIO</t>
  </si>
  <si>
    <t>ANAÍS YASMÍN JARA CORNEJO</t>
  </si>
  <si>
    <t>JARA</t>
  </si>
  <si>
    <t>CORNEJO</t>
  </si>
  <si>
    <t>ANAÍS YASMÍN</t>
  </si>
  <si>
    <t>MARIO ALFREDO GONZÁLEZ MUÑOZ</t>
  </si>
  <si>
    <t>GONZÁLEZ</t>
  </si>
  <si>
    <t>MUÑOZ</t>
  </si>
  <si>
    <t>MARIO ALFREDO</t>
  </si>
  <si>
    <t>ALINE MARISOL BASTÍAS CONCHA</t>
  </si>
  <si>
    <t>BASTÍAS</t>
  </si>
  <si>
    <t>CONCHA</t>
  </si>
  <si>
    <t>ALINE MARISOL</t>
  </si>
  <si>
    <t>JAVIERA FERNANDA JARA RÍOS</t>
  </si>
  <si>
    <t>RÍOS</t>
  </si>
  <si>
    <t>CONSTANZA BELEN VERGARA MORALES</t>
  </si>
  <si>
    <t>VERGARA</t>
  </si>
  <si>
    <t>MORALES</t>
  </si>
  <si>
    <t>CONSTANZA BELEN</t>
  </si>
  <si>
    <t>PIA  LUCIA MATURANA RIOS</t>
  </si>
  <si>
    <t>MATURANA</t>
  </si>
  <si>
    <t>RIOS</t>
  </si>
  <si>
    <t>PIA  LUCIA</t>
  </si>
  <si>
    <t>NICOLAS ANDRES PAEZ GONZALEZ</t>
  </si>
  <si>
    <t>PAEZ</t>
  </si>
  <si>
    <t>GONZALEZ</t>
  </si>
  <si>
    <t>NICOLAS ANDRES</t>
  </si>
  <si>
    <t>MICHEL YOSAFAT NAHUELHUEN NAHUELHUEN</t>
  </si>
  <si>
    <t>NAHUELHUEN</t>
  </si>
  <si>
    <t>MICHEL YOSAFAT</t>
  </si>
  <si>
    <t>BRAYAN ISAÍAS CAMUS PARRA</t>
  </si>
  <si>
    <t>CAMUS</t>
  </si>
  <si>
    <t>PARRA</t>
  </si>
  <si>
    <t>BRAYAN ISAÍAS</t>
  </si>
  <si>
    <t>ARIEL ALEJANDRO VICENCIO BUDIN</t>
  </si>
  <si>
    <t>VICENCIO</t>
  </si>
  <si>
    <t>BUDIN</t>
  </si>
  <si>
    <t>ARIEL ALEJANDRO</t>
  </si>
  <si>
    <t>MARTINA ANTONIA MACHUCA NAVARRETE</t>
  </si>
  <si>
    <t>MACHUCA</t>
  </si>
  <si>
    <t>NAVARRETE</t>
  </si>
  <si>
    <t>MARTINA ANTONIA</t>
  </si>
  <si>
    <t>CONSTANZA MILLARAY AGUILERA BRAVO</t>
  </si>
  <si>
    <t>BRAVO</t>
  </si>
  <si>
    <t>CONSTANZA MILLARAY</t>
  </si>
  <si>
    <t>THIARE MONSERRAT SÁNCHEZ BELTRÁN</t>
  </si>
  <si>
    <t>SÁNCHEZ</t>
  </si>
  <si>
    <t>BELTRÁN</t>
  </si>
  <si>
    <t>THIARE MONSERRAT</t>
  </si>
  <si>
    <t>CRISTOPHER ANDRÉS AGUILERA MONRROY</t>
  </si>
  <si>
    <t>MONRROY</t>
  </si>
  <si>
    <t>CRISTOPHER ANDRÉS</t>
  </si>
  <si>
    <t>ESTEBAN IGNACIO POLANCO CASTILLO</t>
  </si>
  <si>
    <t>POLANCO</t>
  </si>
  <si>
    <t>CASTILLO</t>
  </si>
  <si>
    <t>ESTEBAN IGNACIO</t>
  </si>
  <si>
    <t>GIOVANNI EDGARDO CÁCERES ANTICONA</t>
  </si>
  <si>
    <t>CÁCERES</t>
  </si>
  <si>
    <t>ANTICONA</t>
  </si>
  <si>
    <t>GIOVANNI EDGARDO</t>
  </si>
  <si>
    <t>JHANUS ADOLFO BURGOS FUENTEALBA</t>
  </si>
  <si>
    <t>BURGOS</t>
  </si>
  <si>
    <t>FUENTEALBA</t>
  </si>
  <si>
    <t>JHANUS ADOLFO</t>
  </si>
  <si>
    <t>GENESSIS CONSTANZA SOSA POBLETE</t>
  </si>
  <si>
    <t>SOSA</t>
  </si>
  <si>
    <t>POBLETE</t>
  </si>
  <si>
    <t>GENESSIS CONSTANZA</t>
  </si>
  <si>
    <t>VICENTE FRANCISCO ELOY KRAULE PARADA</t>
  </si>
  <si>
    <t>KRAULE</t>
  </si>
  <si>
    <t>PARADA</t>
  </si>
  <si>
    <t>VICENTE FRANCISCO ELOY</t>
  </si>
  <si>
    <t>DIEGO IGNACIO MALDONADO SILVA</t>
  </si>
  <si>
    <t>MALDONADO</t>
  </si>
  <si>
    <t>SILVA</t>
  </si>
  <si>
    <t>MELISSA ISOLINA GONZÁLEZ PERALTA</t>
  </si>
  <si>
    <t>PERALTA</t>
  </si>
  <si>
    <t>MELISSA ISOLINA</t>
  </si>
  <si>
    <t>FERNANDA NATALIA CATRILEO RIFFO</t>
  </si>
  <si>
    <t>CATRILEO</t>
  </si>
  <si>
    <t>RIFFO</t>
  </si>
  <si>
    <t>FERNANDA NATALIA</t>
  </si>
  <si>
    <t>YELANNIE PAULETTE GARRIDO REYES</t>
  </si>
  <si>
    <t>GARRIDO</t>
  </si>
  <si>
    <t>YELANNIE PAULETTE</t>
  </si>
  <si>
    <t>DAYRA SEPULVEDA ALVAREZ</t>
  </si>
  <si>
    <t>SEPULVEDA</t>
  </si>
  <si>
    <t>ALVAREZ</t>
  </si>
  <si>
    <t>DAYRA</t>
  </si>
  <si>
    <t>MATÍAS ENRIQUE ORELLANA ARRIAGADA</t>
  </si>
  <si>
    <t>ORELLANA</t>
  </si>
  <si>
    <t>ARRIAGADA</t>
  </si>
  <si>
    <t>MATÍAS ENRIQUE</t>
  </si>
  <si>
    <t>BENJAMÍN ALFONSO SOTO LIPÁN</t>
  </si>
  <si>
    <t>SOTO</t>
  </si>
  <si>
    <t>LIPÁN</t>
  </si>
  <si>
    <t>BENJAMÍN ALFONSO</t>
  </si>
  <si>
    <t>IGNACIA ANTONIA TORRES MÉNDEZ</t>
  </si>
  <si>
    <t>TORRES</t>
  </si>
  <si>
    <t>MÉNDEZ</t>
  </si>
  <si>
    <t>IGNACIA ANTONIA</t>
  </si>
  <si>
    <t>DARÍO ANDRÉE GUTIÉRREZ BARRA</t>
  </si>
  <si>
    <t>BARRA</t>
  </si>
  <si>
    <t>DARÍO ANDRÉE</t>
  </si>
  <si>
    <t>NICOLÁS MANUEL ESPINOZA ARAYA</t>
  </si>
  <si>
    <t>ESPINOZA</t>
  </si>
  <si>
    <t>ARAYA</t>
  </si>
  <si>
    <t>NICOLÁS MANUEL</t>
  </si>
  <si>
    <t>ELÍAS JESÚS ARRIAZA NEIRA</t>
  </si>
  <si>
    <t>ARRIAZA</t>
  </si>
  <si>
    <t>NEIRA</t>
  </si>
  <si>
    <t>ELÍAS JESÚS</t>
  </si>
  <si>
    <t>BRIAN MATÍAS VARAS GUZMÁN</t>
  </si>
  <si>
    <t>VARAS</t>
  </si>
  <si>
    <t>GUZMÁN</t>
  </si>
  <si>
    <t>BRIAN MATÍAS</t>
  </si>
  <si>
    <t>CAMILA BELEN MORA TORRES</t>
  </si>
  <si>
    <t>MORA</t>
  </si>
  <si>
    <t>CAMILA BELEN</t>
  </si>
  <si>
    <t>SANTIAGO ALFONSO TORTELLA IRRIBARRA</t>
  </si>
  <si>
    <t>TORTELLA</t>
  </si>
  <si>
    <t>IRRIBARRA</t>
  </si>
  <si>
    <t>SANTIAGO ALFONSO</t>
  </si>
  <si>
    <t>MARÍA PAZ VENEGAS GONZÁLEZ</t>
  </si>
  <si>
    <t>MARÍA PAZ</t>
  </si>
  <si>
    <t>BENJAMÍN IGNACIO DÍAZ MOYA</t>
  </si>
  <si>
    <t>DÍAZ</t>
  </si>
  <si>
    <t>MOYA</t>
  </si>
  <si>
    <t>BENJAMÍN IGNACIO</t>
  </si>
  <si>
    <t>ALAN JAVIER ESTAY BARRERA</t>
  </si>
  <si>
    <t>ESTAY</t>
  </si>
  <si>
    <t>BARRERA</t>
  </si>
  <si>
    <t>ALAN JAVIER</t>
  </si>
  <si>
    <t>YORMAN YERSI RIVERA ESCOBAR</t>
  </si>
  <si>
    <t>RIVERA</t>
  </si>
  <si>
    <t>ESCOBAR</t>
  </si>
  <si>
    <t>YORMAN YERSI</t>
  </si>
  <si>
    <t>VALENTINA ANTONIA MUÑOZ LEYTÓN</t>
  </si>
  <si>
    <t>LEYTÓN</t>
  </si>
  <si>
    <t>VALENTINA ANTONIA</t>
  </si>
  <si>
    <t>CATALINA FRANCESCA CARTAGENA PALACIOS</t>
  </si>
  <si>
    <t>CARTAGENA</t>
  </si>
  <si>
    <t>PALACIOS</t>
  </si>
  <si>
    <t>CATALINA FRANCESCA</t>
  </si>
  <si>
    <t>MONSERRAT MILLARAY LÓPEZ NORAMBUENA</t>
  </si>
  <si>
    <t>LÓPEZ</t>
  </si>
  <si>
    <t>NORAMBUENA</t>
  </si>
  <si>
    <t>MONSERRAT MILLARAY</t>
  </si>
  <si>
    <t>KAROL IGNACIA MINCHEL PALMA</t>
  </si>
  <si>
    <t>MINCHEL</t>
  </si>
  <si>
    <t>KAROL IGNACIA</t>
  </si>
  <si>
    <t>PAZ BELÉN CABRERA QUINTEROS</t>
  </si>
  <si>
    <t>CABRERA</t>
  </si>
  <si>
    <t>QUINTEROS</t>
  </si>
  <si>
    <t>PAZ BELÉN</t>
  </si>
  <si>
    <t>JEREMY NICOLÁS CASTILLO MILLON</t>
  </si>
  <si>
    <t>MILLON</t>
  </si>
  <si>
    <t>JEREMY NICOLÁS</t>
  </si>
  <si>
    <t>BELÉN AYLINE SCHULZ VARGAS</t>
  </si>
  <si>
    <t>SCHULZ</t>
  </si>
  <si>
    <t>VARGAS</t>
  </si>
  <si>
    <t>BELÉN AYLINE</t>
  </si>
  <si>
    <t>MATILDA CANELA MAIYEN ARÁNGUIZ ALEGRÍA</t>
  </si>
  <si>
    <t>ARÁNGUIZ</t>
  </si>
  <si>
    <t>ALEGRÍA</t>
  </si>
  <si>
    <t>MATILDA CANELA MAIYEN</t>
  </si>
  <si>
    <t>BASTIÁN ALEXANDER LIBERONA ÁVILA</t>
  </si>
  <si>
    <t>LIBERONA</t>
  </si>
  <si>
    <t>ÁVILA</t>
  </si>
  <si>
    <t>BASTIÁN ALEXANDER</t>
  </si>
  <si>
    <t>LUCAS TOMÁS RUZ RUZ</t>
  </si>
  <si>
    <t>RUZ</t>
  </si>
  <si>
    <t>LUCAS TOMÁS</t>
  </si>
  <si>
    <t>JANARA FERNANDA SÁNCHEZ GONZÁLEZ</t>
  </si>
  <si>
    <t>JANARA FERNANDA</t>
  </si>
  <si>
    <t>MATÍAS ALEXANDER GALLARDO AHUMADA</t>
  </si>
  <si>
    <t>GALLARDO</t>
  </si>
  <si>
    <t>AHUMADA</t>
  </si>
  <si>
    <t>MATÍAS ALEXANDER</t>
  </si>
  <si>
    <t>VALENTINA ANTONIA DÍAZ ORREGO</t>
  </si>
  <si>
    <t>ORREGO</t>
  </si>
  <si>
    <t>BRUNO ALONSO LEFICHE ESPINOZA</t>
  </si>
  <si>
    <t>LEFICHE</t>
  </si>
  <si>
    <t>BRUNO ALONSO</t>
  </si>
  <si>
    <t>FERNANDA TERRONES JUAREZ</t>
  </si>
  <si>
    <t>TERRONES</t>
  </si>
  <si>
    <t>JUAREZ</t>
  </si>
  <si>
    <t>FERNANDA</t>
  </si>
  <si>
    <t>SOFÍA MARINA VELÁSQUEZ QUEZADA</t>
  </si>
  <si>
    <t>VELÁSQUEZ</t>
  </si>
  <si>
    <t>QUEZADA</t>
  </si>
  <si>
    <t>SOFÍA MARINA</t>
  </si>
  <si>
    <t>FRANCISCA BELÉN SEPÚLVEDA GODOY</t>
  </si>
  <si>
    <t>SEPÚLVEDA</t>
  </si>
  <si>
    <t>GODOY</t>
  </si>
  <si>
    <t>FRANCISCA BELÉN</t>
  </si>
  <si>
    <t>CONSUELO PAZ MOYA ACUÑA</t>
  </si>
  <si>
    <t>ACUÑA</t>
  </si>
  <si>
    <t>CONSUELO PAZ</t>
  </si>
  <si>
    <t>TRINIDAD SALOMÉ TAPIA LEIVA</t>
  </si>
  <si>
    <t>LEIVA</t>
  </si>
  <si>
    <t>TRINIDAD SALOMÉ</t>
  </si>
  <si>
    <t>SILVIO AMARO PELLERANO HERNÁNDEZ</t>
  </si>
  <si>
    <t>PELLERANO</t>
  </si>
  <si>
    <t>HERNÁNDEZ</t>
  </si>
  <si>
    <t>SILVIO AMARO</t>
  </si>
  <si>
    <t>SEBASTIÁN BALTAZAR URRUTIA VEJAR</t>
  </si>
  <si>
    <t>URRUTIA</t>
  </si>
  <si>
    <t>VEJAR</t>
  </si>
  <si>
    <t>SEBASTIÁN BALTAZAR</t>
  </si>
  <si>
    <t>CATALINA FRANCISCA CRUZ DÍAZ</t>
  </si>
  <si>
    <t>CRUZ</t>
  </si>
  <si>
    <t>CATALINA FRANCISCA</t>
  </si>
  <si>
    <t>DAMIÁN BENJAMÍN ANDRÉS ZAPATA BELTRÁN</t>
  </si>
  <si>
    <t>ZAPATA</t>
  </si>
  <si>
    <t>DAMIÁN BENJAMÍN ANDRÉS</t>
  </si>
  <si>
    <t>ABIGAIL NOELIA RAMÍREZ QUIERO</t>
  </si>
  <si>
    <t>RAMÍREZ</t>
  </si>
  <si>
    <t>QUIERO</t>
  </si>
  <si>
    <t>ABIGAIL NOELIA</t>
  </si>
  <si>
    <t>ISIDORA CAROLINA PIZARRO MARTÍNEZ</t>
  </si>
  <si>
    <t>PIZARRO</t>
  </si>
  <si>
    <t>ISIDORA CAROLINA</t>
  </si>
  <si>
    <t>GENESIS MILLARAY REBOLLEDO MARTÍNEZ</t>
  </si>
  <si>
    <t>REBOLLEDO</t>
  </si>
  <si>
    <t>GENESIS MILLARAY</t>
  </si>
  <si>
    <t>MARTINA IGNACIA SANDOVAL RUBIO</t>
  </si>
  <si>
    <t>SANDOVAL</t>
  </si>
  <si>
    <t>RUBIO</t>
  </si>
  <si>
    <t>MARTINA IGNACIA</t>
  </si>
  <si>
    <t>ABIGAIL MILLARAY MEZA ARANEDA</t>
  </si>
  <si>
    <t>MEZA</t>
  </si>
  <si>
    <t>ARANEDA</t>
  </si>
  <si>
    <t>ABIGAIL MILLARAY</t>
  </si>
  <si>
    <t>JANIS YESENIA FERNANDA SANDOVAL AVENDAÑO</t>
  </si>
  <si>
    <t>AVENDAÑO</t>
  </si>
  <si>
    <t>JANIS YESENIA FERNANDA</t>
  </si>
  <si>
    <t>GONZALO IGNACIO ABARCA BASCUR</t>
  </si>
  <si>
    <t>ABARCA</t>
  </si>
  <si>
    <t>BASCUR</t>
  </si>
  <si>
    <t>JAVIERA ANTONIA REYES PICARDO</t>
  </si>
  <si>
    <t>PICARDO</t>
  </si>
  <si>
    <t>JAVIERA ANTONIA</t>
  </si>
  <si>
    <t>MÁXIMO ALEXANDER PINTO VIVAR</t>
  </si>
  <si>
    <t>PINTO</t>
  </si>
  <si>
    <t>VIVAR</t>
  </si>
  <si>
    <t>MÁXIMO ALEXANDER</t>
  </si>
  <si>
    <t>AMANDA STEPHANIA LOPEZ RUZ</t>
  </si>
  <si>
    <t>LOPEZ</t>
  </si>
  <si>
    <t>AMANDA STEPHANIA</t>
  </si>
  <si>
    <t>VANESA  NICOLLE CUEVA CAMPOS</t>
  </si>
  <si>
    <t>CUEVA</t>
  </si>
  <si>
    <t>CAMPOS</t>
  </si>
  <si>
    <t>VANESA  NICOLLE</t>
  </si>
  <si>
    <t>AGUSTÍN IGNACIO HIPOLITO FLORES</t>
  </si>
  <si>
    <t>HIPOLITO</t>
  </si>
  <si>
    <t>FLORES</t>
  </si>
  <si>
    <t>AGUSTÍN IGNACIO</t>
  </si>
  <si>
    <t>EDDY BRANDO RODRIGUEZ BARBOZA</t>
  </si>
  <si>
    <t>RODRIGUEZ</t>
  </si>
  <si>
    <t>BARBOZA</t>
  </si>
  <si>
    <t>EDDY BRANDO</t>
  </si>
  <si>
    <t>LIZET SOFIA MARIÑO SOTO</t>
  </si>
  <si>
    <t>MARIÑO</t>
  </si>
  <si>
    <t>LIZET SOFIA</t>
  </si>
  <si>
    <t>KEYDI DAYANA ZAVALETA SEGURA</t>
  </si>
  <si>
    <t>ZAVALETA</t>
  </si>
  <si>
    <t>SEGURA</t>
  </si>
  <si>
    <t>KEYDI DAYANA</t>
  </si>
  <si>
    <t>LUZ ANAHI CACERES HERRERA</t>
  </si>
  <si>
    <t>CACERES</t>
  </si>
  <si>
    <t>HERRERA</t>
  </si>
  <si>
    <t>LUZ ANAHI</t>
  </si>
  <si>
    <t>ALEXANDRA DELICE .</t>
  </si>
  <si>
    <t>DELICE</t>
  </si>
  <si>
    <t>.</t>
  </si>
  <si>
    <t>ALEXANDRA</t>
  </si>
  <si>
    <t>ROANELLYS PRINCESA TORRES MONTERO</t>
  </si>
  <si>
    <t>MONTERO</t>
  </si>
  <si>
    <t>ROANELLYS PRINCESA</t>
  </si>
  <si>
    <t>MELANY ANGELA VEGA BRAVO</t>
  </si>
  <si>
    <t>MELANY ANGELA</t>
  </si>
  <si>
    <t>GABRIELA DEL JESUS NAZARETH SALAZAR RAMOS</t>
  </si>
  <si>
    <t>SALAZAR</t>
  </si>
  <si>
    <t>RAMOS</t>
  </si>
  <si>
    <t>GABRIELA DEL JESUS NAZARETH</t>
  </si>
  <si>
    <t>HERMUORNITHA BONHOMME BONHOMME</t>
  </si>
  <si>
    <t>BONHOMME</t>
  </si>
  <si>
    <t>HERMUORNITHA</t>
  </si>
  <si>
    <t>JESUS ANDRES PEREIRA TONA</t>
  </si>
  <si>
    <t>PEREIRA</t>
  </si>
  <si>
    <t>TONA</t>
  </si>
  <si>
    <t>JESUS ANDRES</t>
  </si>
  <si>
    <t>EROZ DORIAN CORRALES DE CASTRO</t>
  </si>
  <si>
    <t>CORRALES</t>
  </si>
  <si>
    <t>DE CASTRO</t>
  </si>
  <si>
    <t>EROZ DORIAN</t>
  </si>
  <si>
    <r>
      <rPr>
        <b/>
        <u/>
        <sz val="12"/>
        <color theme="1"/>
        <rFont val="Aptos Narrow"/>
        <family val="2"/>
        <scheme val="minor"/>
      </rPr>
      <t>Actividad problema 1
ADMINISTRACIÓN</t>
    </r>
    <r>
      <rPr>
        <sz val="11"/>
        <color theme="1"/>
        <rFont val="Aptos Narrow"/>
        <family val="2"/>
        <scheme val="minor"/>
      </rPr>
      <t xml:space="preserve">
</t>
    </r>
    <r>
      <rPr>
        <sz val="12"/>
        <color theme="1"/>
        <rFont val="Aptos Narrow"/>
        <family val="2"/>
        <scheme val="minor"/>
      </rPr>
      <t xml:space="preserve">                 
</t>
    </r>
    <r>
      <rPr>
        <i/>
        <sz val="11"/>
        <color theme="1"/>
        <rFont val="Aptos Narrow"/>
        <family val="2"/>
        <scheme val="minor"/>
      </rPr>
      <t xml:space="preserve">Nivel de logro No observado: 0 punto                                
Nivel de logro Bajo: 1 puntos
Nivel del logro Medio: 2 puntos
Nivel de logro Satisfactorio: 3 puntos 
</t>
    </r>
  </si>
  <si>
    <t>Resultados Generales Cohorte</t>
  </si>
  <si>
    <t xml:space="preserve"> N Estudiantes habilitados para rendir</t>
  </si>
  <si>
    <t xml:space="preserve"> N Estudiantes que rindieron</t>
  </si>
  <si>
    <t xml:space="preserve">Porcentaje de cobertura EPI </t>
  </si>
  <si>
    <t>DIMENSIÓN 1</t>
  </si>
  <si>
    <t>DIMENSIÓN 2</t>
  </si>
  <si>
    <t>DIMENSIÓN 3</t>
  </si>
  <si>
    <t>DIMENSIÓN 4</t>
  </si>
  <si>
    <t>PUNTAJE TOTAL</t>
  </si>
  <si>
    <t>PORCENTAJE DE LOGRO EPI 2025</t>
  </si>
  <si>
    <t xml:space="preserve">CATEGORÍA RESULTADO GLOBAL </t>
  </si>
  <si>
    <t>C1</t>
  </si>
  <si>
    <t>Estado de Habilitación para rendir</t>
  </si>
  <si>
    <t>JUSTIFICATIVO DE NO RENDICIÓN</t>
  </si>
  <si>
    <t>D1</t>
  </si>
  <si>
    <t>Justifica</t>
  </si>
  <si>
    <t>Avance curricular insuficiente para evaluar ciclo básico (no rinde EPI 2025)</t>
  </si>
  <si>
    <t>EPI pendiente periodo anterior</t>
  </si>
  <si>
    <t>Rendida no válida</t>
  </si>
  <si>
    <t>No aplica</t>
  </si>
  <si>
    <t>Expulsión</t>
  </si>
  <si>
    <t>Retracto</t>
  </si>
  <si>
    <t>POR MEJORAR</t>
  </si>
  <si>
    <t>RINDE</t>
  </si>
  <si>
    <t>SUFICIENTE</t>
  </si>
  <si>
    <t>NO RINDE</t>
  </si>
  <si>
    <t>SATISFACTORIO</t>
  </si>
  <si>
    <t>ÓPTIMO</t>
  </si>
  <si>
    <t>NOMBRE DE LA FACULTAD</t>
  </si>
  <si>
    <t xml:space="preserve">NOMBRE DEL PROGRAMA ACADÉMICO </t>
  </si>
  <si>
    <r>
      <t xml:space="preserve">PLAN DE ESTUDIO </t>
    </r>
    <r>
      <rPr>
        <b/>
        <sz val="11"/>
        <color rgb="FF0070C0"/>
        <rFont val="Aptos Narrow"/>
        <family val="2"/>
        <scheme val="minor"/>
      </rPr>
      <t>AÑO</t>
    </r>
  </si>
  <si>
    <t>Instrucciones: completar items en color azul. Se incorporan ejemplos que pueden se considerados por las unidades académicas para la elaboración de sus propuestas.</t>
  </si>
  <si>
    <t>ANÁLISIS Y TOMA DE DECISIONES BASADAS EN LA EVIDENCIA</t>
  </si>
  <si>
    <t xml:space="preserve">Se presentan, a continuación, las acciones planificadas considerando el análisis de los resultados de la aplicación EPI 2025. Estas acciones -consideradas para ser desarrolladas a corto, mediano y largo plazo- están orientadas a fortalecer el perfil intermedio intermedio del programa, teniendo a la vista las competencias con menores niveles de logro. </t>
  </si>
  <si>
    <t>N°</t>
  </si>
  <si>
    <t>TIPO DE ACCIÓN</t>
  </si>
  <si>
    <t>ACCIONES</t>
  </si>
  <si>
    <t>MEDIO DE VERIFICACIÓN</t>
  </si>
  <si>
    <t xml:space="preserve">I. </t>
  </si>
  <si>
    <t>CORTO PLAZO</t>
  </si>
  <si>
    <r>
      <t>Ejs. (acciones temporales que se realizan o buscan tener un impacto en el semestre consecutivo a la rendición de EPI)
- realizar tutorías personalizadas con estudiantes que obtuvieron bajos resultados.
- aplicar focus groups con estudiantes para indagar en variables que incidieron en los resultados (percepción sobre claridad de instrucciones, nivel de dificultad de las preguntas y nivel de preparación).
- llevar a cabo una revisión inmediata</t>
    </r>
    <r>
      <rPr>
        <i/>
        <sz val="11"/>
        <color theme="8" tint="0.39997558519241921"/>
        <rFont val="Aptos Narrow"/>
        <family val="2"/>
        <scheme val="minor"/>
      </rPr>
      <t xml:space="preserve"> </t>
    </r>
    <r>
      <rPr>
        <i/>
        <sz val="11"/>
        <color rgb="FF0070C0"/>
        <rFont val="Aptos Narrow"/>
        <family val="2"/>
        <scheme val="minor"/>
      </rPr>
      <t xml:space="preserve">de contenidos y metodologías </t>
    </r>
    <r>
      <rPr>
        <i/>
        <sz val="11"/>
        <color rgb="FF0070C0"/>
        <rFont val="Aptos Narrow"/>
        <family val="2"/>
        <scheme val="minor"/>
      </rPr>
      <t>programaciones d</t>
    </r>
    <r>
      <rPr>
        <i/>
        <sz val="11"/>
        <color rgb="FF0070C0"/>
        <rFont val="Aptos Narrow"/>
        <family val="2"/>
        <scheme val="minor"/>
      </rPr>
      <t xml:space="preserve">e las actividades curriculares del ciclo básico
-implementar evaluación diagnóstica durante ciclo básico, para detectar -de manera temprana- posibles dificultades que podrían interferir en el alcance del perfil intermedio.
</t>
    </r>
    <r>
      <rPr>
        <i/>
        <sz val="11"/>
        <color rgb="FF0070C0"/>
        <rFont val="Aptos Narrow"/>
        <family val="2"/>
        <scheme val="minor"/>
      </rPr>
      <t>-integrar en programaciones de actividades curriculares de 3er año, ajustes que favorezcan el desarrollo de las compentencias que evidenciaron un menor logro en EPI.
- ofrecer sesiones de refuerzo académico o tutorías personalizadas a estudiantes que han demostrado dificultades en la EPI, enfocándose en competencias en las que se hayan registrado debilidades.</t>
    </r>
  </si>
  <si>
    <t>Ejs. 
- listas de asistencia
- pauta preguntas focus gropu 
- acta sesión del comité curricular del programa académico</t>
  </si>
  <si>
    <t xml:space="preserve">II. </t>
  </si>
  <si>
    <t>MEDIANO PLAZO</t>
  </si>
  <si>
    <r>
      <t xml:space="preserve">Ejs. (acciones temporales que se realizan o buscan tener un impacto más allá de transcurrido un semestre de la rendición de EPI)
- desarrollar jornadas de trabajo con el equipo docente y directivo del programa académico para definir ajustes en las programaciones de las actividades curriculares </t>
    </r>
    <r>
      <rPr>
        <i/>
        <sz val="11"/>
        <color rgb="FF0070C0"/>
        <rFont val="Aptos Narrow"/>
        <family val="2"/>
        <scheme val="minor"/>
      </rPr>
      <t xml:space="preserve">del ciclo de profundización, </t>
    </r>
    <r>
      <rPr>
        <i/>
        <sz val="11"/>
        <color rgb="FF0070C0"/>
        <rFont val="Aptos Narrow"/>
        <family val="2"/>
        <scheme val="minor"/>
      </rPr>
      <t xml:space="preserve">particularmente en lo referido a metodologías y evaluaciones.
- incorporar, en programaciones del ciclo básico, actividades de aprendizaje y evaluaciones orientadas a favorecer las competencias más descendidas en la EPI.
</t>
    </r>
    <r>
      <rPr>
        <i/>
        <sz val="11"/>
        <color rgb="FF0070C0"/>
        <rFont val="Aptos Narrow"/>
        <family val="2"/>
        <scheme val="minor"/>
      </rPr>
      <t>- analizar comparativamente las calificaciones obtenidas en el ciclo básico con los resultados de EPI, para evaluar nudos críticos en la implementación del plan de estudio que puedan ser abordados con anticipación.</t>
    </r>
  </si>
  <si>
    <t>Ejs. 
- programaciones de las actividades curriculares XXXX; XXXX; XXXX</t>
  </si>
  <si>
    <t xml:space="preserve">III. </t>
  </si>
  <si>
    <t>LARGO PLAZO</t>
  </si>
  <si>
    <r>
      <t xml:space="preserve">Ejs. (acciones que buscan una implementación estable o permanente en el tiempo)
- elaborar una actividad curricular de formación complementaria (OFC) orientada a fortalecer competencias más descendidas 
- actualizar plan de estudio, ajustando programas de actividades curriculares, carga académica y ubicación de actividades curriculares en el ciclo básico.
- </t>
    </r>
    <r>
      <rPr>
        <i/>
        <sz val="11"/>
        <color rgb="FF0070C0"/>
        <rFont val="Aptos Narrow"/>
        <family val="2"/>
        <scheme val="minor"/>
      </rPr>
      <t>generar instancias para</t>
    </r>
    <r>
      <rPr>
        <i/>
        <sz val="11"/>
        <color rgb="FF0070C0"/>
        <rFont val="Aptos Narrow"/>
        <family val="2"/>
        <scheme val="minor"/>
      </rPr>
      <t xml:space="preserve"> la colaboración entre docentes para </t>
    </r>
    <r>
      <rPr>
        <i/>
        <sz val="11"/>
        <color rgb="FF0070C0"/>
        <rFont val="Aptos Narrow"/>
        <family val="2"/>
        <scheme val="minor"/>
      </rPr>
      <t>con el propósito de co</t>
    </r>
    <r>
      <rPr>
        <i/>
        <sz val="11"/>
        <color rgb="FF0070C0"/>
        <rFont val="Aptos Narrow"/>
        <family val="2"/>
        <scheme val="minor"/>
      </rPr>
      <t xml:space="preserve">mpartir mejores prácticas y desarrollar estrategias pedagógicas más coherentes y efectivas en el ciclo básico del plan de estudio
</t>
    </r>
  </si>
  <si>
    <t>Ejs. 
- programa OFC
- programas de actividades curriculares del ciclo básico, actualizadas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</si>
</sst>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1"/>
      <color theme="9"/>
      <name val="Aptos Narrow"/>
      <family val="2"/>
      <scheme val="minor"/>
    </font>
    <font>
      <b/>
      <sz val="10"/>
      <color theme="1"/>
      <name val="Aptos Narrow"/>
      <family val="2"/>
      <scheme val="minor"/>
    </font>
    <font>
      <sz val="12"/>
      <color theme="1"/>
      <name val="Aptos"/>
      <family val="2"/>
    </font>
    <font>
      <b/>
      <sz val="11"/>
      <color theme="1"/>
      <name val="Aptos Narrow"/>
      <family val="2"/>
      <scheme val="minor"/>
    </font>
    <font>
      <b/>
      <sz val="11"/>
      <color rgb="FF000000"/>
      <name val="Aptos Narrow"/>
      <family val="2"/>
      <scheme val="minor"/>
    </font>
    <font>
      <sz val="11"/>
      <name val="Aptos Narrow"/>
      <family val="2"/>
      <scheme val="minor"/>
    </font>
    <font>
      <sz val="11"/>
      <color rgb="FF242424"/>
      <name val="Aptos Narrow"/>
      <family val="2"/>
    </font>
    <font>
      <i/>
      <sz val="11"/>
      <color theme="1"/>
      <name val="Aptos Narrow"/>
      <family val="2"/>
      <scheme val="minor"/>
    </font>
    <font>
      <sz val="12"/>
      <color theme="1"/>
      <name val="Aptos Narrow"/>
      <family val="2"/>
      <scheme val="minor"/>
    </font>
    <font>
      <b/>
      <u/>
      <sz val="12"/>
      <color theme="1"/>
      <name val="Aptos Narrow"/>
      <family val="2"/>
      <scheme val="minor"/>
    </font>
    <font>
      <sz val="11"/>
      <color theme="1"/>
      <name val="Calibri"/>
      <family val="2"/>
    </font>
    <font>
      <sz val="11"/>
      <color theme="1"/>
      <name val="Aptos Narrow"/>
      <family val="2"/>
      <scheme val="minor"/>
    </font>
    <font>
      <sz val="8"/>
      <name val="Aptos Narrow"/>
      <family val="2"/>
      <scheme val="minor"/>
    </font>
    <font>
      <b/>
      <sz val="11"/>
      <color rgb="FF0070C0"/>
      <name val="Aptos Narrow"/>
      <family val="2"/>
      <scheme val="minor"/>
    </font>
    <font>
      <b/>
      <sz val="11"/>
      <name val="Aptos Narrow"/>
      <family val="2"/>
      <scheme val="minor"/>
    </font>
    <font>
      <i/>
      <sz val="11"/>
      <color rgb="FF0070C0"/>
      <name val="Aptos Narrow"/>
      <family val="2"/>
      <scheme val="minor"/>
    </font>
    <font>
      <i/>
      <sz val="11"/>
      <color theme="8" tint="0.39997558519241921"/>
      <name val="Aptos Narrow"/>
      <family val="2"/>
      <scheme val="minor"/>
    </font>
    <font>
      <b/>
      <sz val="9"/>
      <color theme="1"/>
      <name val="Aptos Narrow"/>
      <family val="2"/>
      <scheme val="minor"/>
    </font>
    <font>
      <sz val="11"/>
      <color rgb="FFFF0000"/>
      <name val="Aptos Narrow"/>
      <family val="2"/>
      <scheme val="minor"/>
    </font>
  </fonts>
  <fills count="10">
    <fill>
      <patternFill patternType="none"/>
    </fill>
    <fill>
      <patternFill patternType="gray125"/>
    </fill>
    <fill>
      <patternFill patternType="solid">
        <fgColor theme="9" tint="0.59999389629810485"/>
        <bgColor indexed="64"/>
      </patternFill>
    </fill>
    <fill>
      <patternFill patternType="solid">
        <fgColor rgb="FFDDEBF7"/>
        <bgColor rgb="FF000000"/>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5" tint="0.59999389629810485"/>
        <bgColor indexed="64"/>
      </patternFill>
    </fill>
  </fills>
  <borders count="4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indexed="64"/>
      </top>
      <bottom style="thin">
        <color indexed="64"/>
      </bottom>
      <diagonal/>
    </border>
    <border>
      <left/>
      <right/>
      <top/>
      <bottom style="thin">
        <color indexed="64"/>
      </bottom>
      <diagonal/>
    </border>
  </borders>
  <cellStyleXfs count="2">
    <xf numFmtId="0" fontId="0" fillId="0" borderId="0"/>
    <xf numFmtId="9" fontId="12" fillId="0" borderId="0" applyFont="0" applyFill="0" applyBorder="0" applyAlignment="0" applyProtection="0"/>
  </cellStyleXfs>
  <cellXfs count="140">
    <xf numFmtId="0" fontId="0" fillId="0" borderId="0" xfId="0"/>
    <xf numFmtId="0" fontId="0" fillId="0" borderId="1" xfId="0" applyBorder="1"/>
    <xf numFmtId="0" fontId="1" fillId="0" borderId="1" xfId="0" applyFont="1" applyBorder="1" applyAlignment="1">
      <alignment wrapText="1"/>
    </xf>
    <xf numFmtId="0" fontId="2" fillId="0" borderId="0" xfId="0" applyFont="1" applyAlignment="1">
      <alignment horizontal="center" wrapText="1"/>
    </xf>
    <xf numFmtId="0" fontId="3" fillId="0" borderId="0" xfId="0" applyFont="1" applyAlignment="1">
      <alignment vertical="center"/>
    </xf>
    <xf numFmtId="0" fontId="0" fillId="0" borderId="0" xfId="0" applyAlignment="1">
      <alignment horizontal="center" vertical="center"/>
    </xf>
    <xf numFmtId="0" fontId="5" fillId="3" borderId="7" xfId="0" applyFont="1" applyFill="1" applyBorder="1" applyAlignment="1">
      <alignment horizontal="center" wrapText="1"/>
    </xf>
    <xf numFmtId="0" fontId="5" fillId="3" borderId="8"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5" fillId="3" borderId="12" xfId="0" applyFont="1" applyFill="1" applyBorder="1" applyAlignment="1">
      <alignment horizontal="center" wrapText="1"/>
    </xf>
    <xf numFmtId="0" fontId="6" fillId="3" borderId="13"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vertical="top"/>
    </xf>
    <xf numFmtId="0" fontId="4" fillId="0" borderId="0" xfId="0" applyFont="1"/>
    <xf numFmtId="0" fontId="4" fillId="0" borderId="0" xfId="0" applyFont="1" applyAlignment="1">
      <alignment horizontal="center" vertical="center" wrapText="1"/>
    </xf>
    <xf numFmtId="0" fontId="4" fillId="4" borderId="17" xfId="0" applyFont="1" applyFill="1" applyBorder="1" applyAlignment="1">
      <alignment horizontal="center" vertical="center"/>
    </xf>
    <xf numFmtId="0" fontId="4" fillId="4" borderId="18" xfId="0" applyFont="1" applyFill="1" applyBorder="1" applyAlignment="1">
      <alignment horizontal="center" vertical="center"/>
    </xf>
    <xf numFmtId="0" fontId="5" fillId="4" borderId="18" xfId="0" applyFont="1" applyFill="1" applyBorder="1" applyAlignment="1">
      <alignment horizontal="center" vertical="center" wrapText="1"/>
    </xf>
    <xf numFmtId="0" fontId="0" fillId="0" borderId="0" xfId="0" applyAlignment="1">
      <alignment vertical="center"/>
    </xf>
    <xf numFmtId="0" fontId="4" fillId="4" borderId="6" xfId="0" applyFont="1" applyFill="1" applyBorder="1" applyAlignment="1">
      <alignment vertical="center" wrapText="1"/>
    </xf>
    <xf numFmtId="0" fontId="4" fillId="4" borderId="20" xfId="0" applyFont="1" applyFill="1" applyBorder="1" applyAlignment="1">
      <alignment horizontal="center" vertical="center" wrapText="1"/>
    </xf>
    <xf numFmtId="9" fontId="4" fillId="4" borderId="21" xfId="0" applyNumberFormat="1" applyFont="1" applyFill="1" applyBorder="1" applyAlignment="1">
      <alignment horizontal="center" vertical="center"/>
    </xf>
    <xf numFmtId="0" fontId="4" fillId="4" borderId="21" xfId="0" applyFont="1" applyFill="1" applyBorder="1" applyAlignment="1">
      <alignment horizontal="center" vertical="center"/>
    </xf>
    <xf numFmtId="0" fontId="0" fillId="4" borderId="16" xfId="0" applyFill="1" applyBorder="1" applyAlignment="1">
      <alignment vertical="center" wrapText="1"/>
    </xf>
    <xf numFmtId="0" fontId="0" fillId="4" borderId="6" xfId="0" applyFill="1" applyBorder="1" applyAlignment="1">
      <alignment vertical="center" wrapText="1"/>
    </xf>
    <xf numFmtId="0" fontId="0" fillId="0" borderId="16" xfId="0" applyBorder="1" applyAlignment="1">
      <alignment horizontal="center" vertical="center" wrapText="1"/>
    </xf>
    <xf numFmtId="0" fontId="0" fillId="0" borderId="16" xfId="0" applyBorder="1" applyAlignment="1">
      <alignment horizontal="center" vertical="center"/>
    </xf>
    <xf numFmtId="0" fontId="2" fillId="2" borderId="2" xfId="0" applyFont="1" applyFill="1" applyBorder="1" applyAlignment="1">
      <alignment horizontal="center" vertical="center" wrapText="1"/>
    </xf>
    <xf numFmtId="0" fontId="0" fillId="0" borderId="16" xfId="0" applyBorder="1"/>
    <xf numFmtId="0" fontId="4" fillId="0" borderId="16" xfId="0" applyFont="1" applyBorder="1" applyAlignment="1">
      <alignment horizontal="center"/>
    </xf>
    <xf numFmtId="0" fontId="2" fillId="0" borderId="34" xfId="0" applyFont="1" applyBorder="1" applyAlignment="1">
      <alignment horizontal="center" vertical="center" wrapText="1"/>
    </xf>
    <xf numFmtId="0" fontId="0" fillId="0" borderId="1" xfId="0" applyBorder="1" applyAlignment="1">
      <alignment wrapText="1"/>
    </xf>
    <xf numFmtId="0" fontId="2" fillId="6" borderId="2" xfId="0" applyFont="1" applyFill="1" applyBorder="1" applyAlignment="1">
      <alignment horizontal="center" vertical="center" wrapText="1"/>
    </xf>
    <xf numFmtId="0" fontId="2" fillId="6" borderId="37" xfId="0" applyFont="1" applyFill="1" applyBorder="1" applyAlignment="1">
      <alignment horizontal="center" vertical="center" wrapText="1"/>
    </xf>
    <xf numFmtId="0" fontId="2" fillId="0" borderId="2" xfId="0" applyFont="1" applyBorder="1" applyAlignment="1">
      <alignment horizontal="center" vertical="center" wrapText="1"/>
    </xf>
    <xf numFmtId="0" fontId="1" fillId="0" borderId="35" xfId="0" applyFont="1" applyBorder="1"/>
    <xf numFmtId="0" fontId="1" fillId="0" borderId="16" xfId="0" applyFont="1" applyBorder="1" applyAlignment="1">
      <alignment wrapText="1"/>
    </xf>
    <xf numFmtId="0" fontId="11" fillId="0" borderId="1" xfId="0" applyFont="1" applyBorder="1" applyAlignment="1">
      <alignment horizontal="center" vertical="top"/>
    </xf>
    <xf numFmtId="0" fontId="11" fillId="0" borderId="1" xfId="0" applyFont="1" applyBorder="1" applyAlignment="1">
      <alignment horizontal="left" vertical="top"/>
    </xf>
    <xf numFmtId="0" fontId="1" fillId="0" borderId="16" xfId="0" applyFont="1" applyBorder="1"/>
    <xf numFmtId="0" fontId="0" fillId="0" borderId="36" xfId="0" applyBorder="1"/>
    <xf numFmtId="0" fontId="0" fillId="0" borderId="16" xfId="0" applyBorder="1" applyAlignment="1">
      <alignment wrapText="1"/>
    </xf>
    <xf numFmtId="0" fontId="0" fillId="0" borderId="36" xfId="0" applyBorder="1" applyAlignment="1">
      <alignment wrapText="1"/>
    </xf>
    <xf numFmtId="0" fontId="2" fillId="0" borderId="16" xfId="0" applyFont="1" applyBorder="1" applyAlignment="1">
      <alignment horizontal="center" vertical="center" wrapText="1"/>
    </xf>
    <xf numFmtId="0" fontId="2" fillId="7" borderId="2" xfId="0" applyFont="1" applyFill="1" applyBorder="1" applyAlignment="1">
      <alignment horizontal="center" vertical="center" wrapText="1"/>
    </xf>
    <xf numFmtId="0" fontId="0" fillId="0" borderId="0" xfId="0" applyAlignment="1">
      <alignment horizontal="left" vertical="center"/>
    </xf>
    <xf numFmtId="0" fontId="4" fillId="8" borderId="16" xfId="0" applyFont="1" applyFill="1" applyBorder="1" applyAlignment="1">
      <alignment horizontal="center" vertical="center"/>
    </xf>
    <xf numFmtId="0" fontId="4" fillId="8" borderId="16" xfId="0" applyFont="1" applyFill="1" applyBorder="1" applyAlignment="1">
      <alignment horizontal="left" vertical="center"/>
    </xf>
    <xf numFmtId="0" fontId="16" fillId="0" borderId="16" xfId="0" applyFont="1" applyBorder="1" applyAlignment="1">
      <alignment horizontal="left" vertical="top" wrapText="1"/>
    </xf>
    <xf numFmtId="14" fontId="1" fillId="0" borderId="38" xfId="0" applyNumberFormat="1" applyFont="1" applyBorder="1" applyAlignment="1">
      <alignment wrapText="1"/>
    </xf>
    <xf numFmtId="0" fontId="1" fillId="0" borderId="1" xfId="0" applyFont="1" applyBorder="1"/>
    <xf numFmtId="0" fontId="1" fillId="0" borderId="36" xfId="0" applyFont="1" applyBorder="1" applyAlignment="1">
      <alignment horizontal="center"/>
    </xf>
    <xf numFmtId="0" fontId="1" fillId="0" borderId="1" xfId="0" applyFont="1" applyBorder="1" applyAlignment="1">
      <alignment horizontal="center"/>
    </xf>
    <xf numFmtId="0" fontId="0" fillId="0" borderId="36" xfId="0" applyBorder="1" applyAlignment="1">
      <alignment horizontal="center" wrapText="1"/>
    </xf>
    <xf numFmtId="0" fontId="1" fillId="0" borderId="1" xfId="0" applyFont="1" applyBorder="1" applyAlignment="1">
      <alignment horizontal="center" wrapText="1"/>
    </xf>
    <xf numFmtId="0" fontId="0" fillId="0" borderId="36" xfId="0" applyBorder="1" applyAlignment="1">
      <alignment horizontal="center"/>
    </xf>
    <xf numFmtId="0" fontId="0" fillId="0" borderId="1" xfId="0" applyBorder="1" applyAlignment="1">
      <alignment horizontal="center"/>
    </xf>
    <xf numFmtId="0" fontId="1" fillId="0" borderId="36" xfId="0" applyFont="1" applyBorder="1" applyAlignment="1">
      <alignment horizontal="center" wrapText="1"/>
    </xf>
    <xf numFmtId="0" fontId="0" fillId="0" borderId="0" xfId="0" applyAlignment="1">
      <alignment horizontal="center"/>
    </xf>
    <xf numFmtId="0" fontId="2" fillId="9" borderId="2" xfId="0" applyFont="1" applyFill="1" applyBorder="1" applyAlignment="1">
      <alignment horizontal="center" vertical="center" wrapText="1"/>
    </xf>
    <xf numFmtId="0" fontId="18" fillId="9" borderId="2" xfId="0" applyFont="1" applyFill="1" applyBorder="1" applyAlignment="1">
      <alignment horizontal="center" vertical="center" wrapText="1"/>
    </xf>
    <xf numFmtId="9" fontId="1" fillId="0" borderId="1" xfId="1" applyFont="1" applyBorder="1" applyAlignment="1"/>
    <xf numFmtId="0" fontId="0" fillId="0" borderId="16" xfId="0" applyBorder="1" applyAlignment="1">
      <alignment horizontal="center"/>
    </xf>
    <xf numFmtId="9" fontId="0" fillId="0" borderId="16" xfId="0" applyNumberFormat="1" applyBorder="1" applyAlignment="1">
      <alignment horizontal="center"/>
    </xf>
    <xf numFmtId="0" fontId="19" fillId="0" borderId="35" xfId="0" applyFont="1" applyBorder="1"/>
    <xf numFmtId="0" fontId="19" fillId="0" borderId="16" xfId="0" applyFont="1" applyBorder="1" applyAlignment="1">
      <alignment wrapText="1"/>
    </xf>
    <xf numFmtId="14" fontId="19" fillId="0" borderId="38" xfId="0" applyNumberFormat="1" applyFont="1" applyBorder="1" applyAlignment="1">
      <alignment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0" fillId="0" borderId="16" xfId="0" applyBorder="1" applyAlignment="1">
      <alignment horizontal="center" wrapText="1"/>
    </xf>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applyAlignment="1">
      <alignment horizontal="center"/>
    </xf>
    <xf numFmtId="0" fontId="0" fillId="0" borderId="16" xfId="0" applyBorder="1" applyAlignment="1">
      <alignment horizontal="left" wrapText="1"/>
    </xf>
    <xf numFmtId="0" fontId="0" fillId="0" borderId="16" xfId="0" applyBorder="1" applyAlignment="1">
      <alignment horizontal="left"/>
    </xf>
    <xf numFmtId="0" fontId="4" fillId="4" borderId="18" xfId="0" applyFont="1" applyFill="1" applyBorder="1" applyAlignment="1">
      <alignment horizontal="center" vertical="center"/>
    </xf>
    <xf numFmtId="0" fontId="4" fillId="4" borderId="19" xfId="0" applyFont="1" applyFill="1" applyBorder="1" applyAlignment="1">
      <alignment horizontal="center" vertical="center"/>
    </xf>
    <xf numFmtId="0" fontId="4" fillId="4" borderId="21"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23" xfId="0" applyFont="1" applyFill="1" applyBorder="1" applyAlignment="1">
      <alignment horizontal="left" vertical="center"/>
    </xf>
    <xf numFmtId="0" fontId="4" fillId="4" borderId="25" xfId="0" applyFont="1" applyFill="1" applyBorder="1" applyAlignment="1">
      <alignment horizontal="left" vertical="center"/>
    </xf>
    <xf numFmtId="0" fontId="4" fillId="4" borderId="26" xfId="0" applyFont="1" applyFill="1" applyBorder="1" applyAlignment="1">
      <alignment horizontal="left" vertical="center"/>
    </xf>
    <xf numFmtId="0" fontId="0" fillId="4" borderId="16" xfId="0" applyFill="1" applyBorder="1" applyAlignment="1">
      <alignment horizontal="left" vertical="center" wrapText="1"/>
    </xf>
    <xf numFmtId="0" fontId="0" fillId="4" borderId="24" xfId="0" applyFill="1" applyBorder="1" applyAlignment="1">
      <alignment horizontal="left" vertical="center" wrapText="1"/>
    </xf>
    <xf numFmtId="0" fontId="0" fillId="4" borderId="16" xfId="0" applyFill="1" applyBorder="1" applyAlignment="1">
      <alignment horizontal="center" vertical="center" wrapText="1"/>
    </xf>
    <xf numFmtId="0" fontId="0" fillId="4" borderId="24" xfId="0" applyFill="1" applyBorder="1" applyAlignment="1">
      <alignment horizontal="center" vertical="center" wrapText="1"/>
    </xf>
    <xf numFmtId="0" fontId="7" fillId="4" borderId="27" xfId="0" applyFont="1" applyFill="1" applyBorder="1" applyAlignment="1">
      <alignment horizontal="center" vertical="center"/>
    </xf>
    <xf numFmtId="0" fontId="7" fillId="4" borderId="28" xfId="0" applyFont="1" applyFill="1" applyBorder="1" applyAlignment="1">
      <alignment horizontal="center" vertical="center"/>
    </xf>
    <xf numFmtId="0" fontId="4" fillId="0" borderId="27" xfId="0" applyFont="1" applyBorder="1" applyAlignment="1">
      <alignment horizontal="center" vertical="center"/>
    </xf>
    <xf numFmtId="0" fontId="0" fillId="0" borderId="29" xfId="0" applyBorder="1" applyAlignment="1">
      <alignment horizontal="center" vertical="center"/>
    </xf>
    <xf numFmtId="0" fontId="0" fillId="0" borderId="21" xfId="0" applyBorder="1" applyAlignment="1">
      <alignment horizontal="center" vertical="center"/>
    </xf>
    <xf numFmtId="0" fontId="6" fillId="0" borderId="27" xfId="0" applyFont="1" applyBorder="1" applyAlignment="1">
      <alignment horizontal="center" vertical="center" wrapText="1"/>
    </xf>
    <xf numFmtId="0" fontId="0" fillId="0" borderId="27" xfId="0" applyBorder="1" applyAlignment="1">
      <alignment horizontal="center" vertical="center" wrapText="1"/>
    </xf>
    <xf numFmtId="0" fontId="0" fillId="0" borderId="29" xfId="0" applyBorder="1" applyAlignment="1">
      <alignment horizontal="center" vertical="center" wrapText="1"/>
    </xf>
    <xf numFmtId="0" fontId="0" fillId="0" borderId="21" xfId="0" applyBorder="1" applyAlignment="1">
      <alignment horizontal="center" vertical="center" wrapText="1"/>
    </xf>
    <xf numFmtId="0" fontId="0" fillId="0" borderId="16" xfId="0" applyBorder="1" applyAlignment="1">
      <alignment horizontal="center" vertical="center" wrapText="1"/>
    </xf>
    <xf numFmtId="0" fontId="0" fillId="0" borderId="16" xfId="0" applyBorder="1" applyAlignment="1">
      <alignment horizontal="center" vertical="center"/>
    </xf>
    <xf numFmtId="0" fontId="4" fillId="0" borderId="8" xfId="0" applyFont="1" applyBorder="1" applyAlignment="1">
      <alignment horizontal="center" vertical="center"/>
    </xf>
    <xf numFmtId="0" fontId="0" fillId="0" borderId="30" xfId="0"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33" xfId="0" applyBorder="1" applyAlignment="1">
      <alignment horizontal="center" vertical="center"/>
    </xf>
    <xf numFmtId="0" fontId="0" fillId="0" borderId="12" xfId="0" applyBorder="1" applyAlignment="1">
      <alignment horizontal="center" vertical="center"/>
    </xf>
    <xf numFmtId="0" fontId="4" fillId="6" borderId="8" xfId="0" applyFont="1" applyFill="1" applyBorder="1" applyAlignment="1">
      <alignment horizontal="center" vertical="center" wrapText="1"/>
    </xf>
    <xf numFmtId="0" fontId="4" fillId="6" borderId="30"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4" fillId="6" borderId="11" xfId="0" applyFont="1" applyFill="1" applyBorder="1" applyAlignment="1">
      <alignment horizontal="center" vertical="center" wrapText="1"/>
    </xf>
    <xf numFmtId="0" fontId="4" fillId="6" borderId="33"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30" xfId="0" applyFill="1" applyBorder="1" applyAlignment="1">
      <alignment horizontal="center" vertical="center" wrapText="1"/>
    </xf>
    <xf numFmtId="0" fontId="0" fillId="5" borderId="11" xfId="0" applyFill="1" applyBorder="1" applyAlignment="1">
      <alignment horizontal="center" vertical="center" wrapText="1"/>
    </xf>
    <xf numFmtId="0" fontId="0" fillId="5" borderId="33" xfId="0" applyFill="1" applyBorder="1" applyAlignment="1">
      <alignment horizontal="center" vertical="center" wrapText="1"/>
    </xf>
    <xf numFmtId="0" fontId="0" fillId="9" borderId="8" xfId="0" applyFill="1" applyBorder="1" applyAlignment="1">
      <alignment horizontal="center" vertical="center" wrapText="1"/>
    </xf>
    <xf numFmtId="0" fontId="0" fillId="9" borderId="30" xfId="0" applyFill="1" applyBorder="1" applyAlignment="1">
      <alignment horizontal="center" vertical="center" wrapText="1"/>
    </xf>
    <xf numFmtId="0" fontId="0" fillId="9" borderId="9" xfId="0" applyFill="1" applyBorder="1" applyAlignment="1">
      <alignment horizontal="center" vertical="center" wrapText="1"/>
    </xf>
    <xf numFmtId="0" fontId="0" fillId="9" borderId="11" xfId="0" applyFill="1" applyBorder="1" applyAlignment="1">
      <alignment horizontal="center" vertical="center" wrapText="1"/>
    </xf>
    <xf numFmtId="0" fontId="0" fillId="9" borderId="33" xfId="0" applyFill="1" applyBorder="1" applyAlignment="1">
      <alignment horizontal="center" vertical="center" wrapText="1"/>
    </xf>
    <xf numFmtId="0" fontId="0" fillId="9" borderId="12" xfId="0" applyFill="1" applyBorder="1" applyAlignment="1">
      <alignment horizontal="center" vertical="center" wrapText="1"/>
    </xf>
    <xf numFmtId="0" fontId="0" fillId="0" borderId="31" xfId="0" applyBorder="1" applyAlignment="1">
      <alignment horizontal="center" vertical="center"/>
    </xf>
    <xf numFmtId="0" fontId="0" fillId="0" borderId="0" xfId="0" applyAlignment="1">
      <alignment horizontal="center" vertical="center"/>
    </xf>
    <xf numFmtId="0" fontId="0" fillId="0" borderId="32" xfId="0" applyBorder="1" applyAlignment="1">
      <alignment horizontal="center" vertical="center"/>
    </xf>
    <xf numFmtId="0" fontId="0" fillId="6" borderId="8" xfId="0" applyFill="1" applyBorder="1" applyAlignment="1">
      <alignment horizontal="center" vertical="center" wrapText="1"/>
    </xf>
    <xf numFmtId="0" fontId="0" fillId="6" borderId="30" xfId="0" applyFill="1" applyBorder="1" applyAlignment="1">
      <alignment horizontal="center" vertical="center" wrapText="1"/>
    </xf>
    <xf numFmtId="0" fontId="0" fillId="6" borderId="11" xfId="0" applyFill="1" applyBorder="1" applyAlignment="1">
      <alignment horizontal="center" vertical="center" wrapText="1"/>
    </xf>
    <xf numFmtId="0" fontId="0" fillId="6" borderId="33" xfId="0" applyFill="1" applyBorder="1" applyAlignment="1">
      <alignment horizontal="center" vertical="center" wrapText="1"/>
    </xf>
    <xf numFmtId="0" fontId="16" fillId="0" borderId="0" xfId="0" applyFont="1" applyAlignment="1">
      <alignment horizontal="left" vertical="center"/>
    </xf>
    <xf numFmtId="0" fontId="0" fillId="0" borderId="0" xfId="0" applyAlignment="1">
      <alignment horizontal="left" vertical="center"/>
    </xf>
    <xf numFmtId="0" fontId="14" fillId="0" borderId="0" xfId="0" applyFont="1" applyAlignment="1">
      <alignment horizontal="center" vertical="center"/>
    </xf>
    <xf numFmtId="0" fontId="15" fillId="0" borderId="0" xfId="0" applyFont="1" applyAlignment="1">
      <alignment horizontal="center" vertical="center"/>
    </xf>
    <xf numFmtId="0" fontId="16" fillId="0" borderId="16" xfId="0" applyFont="1" applyBorder="1" applyAlignment="1">
      <alignment horizontal="left" vertical="top" wrapText="1"/>
    </xf>
    <xf numFmtId="0" fontId="0" fillId="0" borderId="39" xfId="0" applyBorder="1" applyAlignment="1">
      <alignment horizontal="left" vertical="center"/>
    </xf>
    <xf numFmtId="0" fontId="4" fillId="8" borderId="16" xfId="0" applyFont="1" applyFill="1" applyBorder="1" applyAlignment="1">
      <alignment horizontal="center" vertical="center"/>
    </xf>
    <xf numFmtId="0" fontId="0" fillId="0" borderId="16" xfId="0" applyBorder="1" applyAlignment="1">
      <alignment horizontal="left" vertical="center" wrapText="1"/>
    </xf>
    <xf numFmtId="0" fontId="16" fillId="0" borderId="16" xfId="0" applyFont="1" applyBorder="1" applyAlignment="1">
      <alignment horizontal="left" vertical="top"/>
    </xf>
  </cellXfs>
  <cellStyles count="2">
    <cellStyle name="Normal" xfId="0" builtinId="0"/>
    <cellStyle name="Porcentaje"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dr:twoCellAnchor editAs="oneCell">
    <xdr:from>
      <xdr:col>0</xdr:col>
      <xdr:colOff>752475</xdr:colOff>
      <xdr:row>0</xdr:row>
      <xdr:rowOff>0</xdr:rowOff>
    </xdr:from>
    <xdr:to>
      <xdr:col>12</xdr:col>
      <xdr:colOff>160610</xdr:colOff>
      <xdr:row>23</xdr:row>
      <xdr:rowOff>181612</xdr:rowOff>
    </xdr:to>
    <xdr:pic>
      <xdr:nvPicPr>
        <xdr:cNvPr id="7" name="Imagen 6">
          <a:extLst>
            <a:ext uri="{FF2B5EF4-FFF2-40B4-BE49-F238E27FC236}">
              <a16:creationId xmlns:a16="http://schemas.microsoft.com/office/drawing/2014/main" id="{787AACE1-4A3A-F4CC-4372-22F2A17D48AB}"/>
            </a:ext>
          </a:extLst>
        </xdr:cNvPr>
        <xdr:cNvPicPr>
          <a:picLocks noChangeAspect="1"/>
        </xdr:cNvPicPr>
      </xdr:nvPicPr>
      <xdr:blipFill>
        <a:blip xmlns:r="http://schemas.openxmlformats.org/officeDocument/2006/relationships" r:embed="rId1"/>
        <a:stretch>
          <a:fillRect/>
        </a:stretch>
      </xdr:blipFill>
      <xdr:spPr>
        <a:xfrm>
          <a:off x="752475" y="0"/>
          <a:ext cx="9180785" cy="4563112"/>
        </a:xfrm>
        <a:prstGeom prst="rect">
          <a:avLst/>
        </a:prstGeom>
      </xdr:spPr>
    </xdr:pic>
    <xdr:clientData/>
  </xdr:twoCellAnchor>
  <xdr:twoCellAnchor editAs="oneCell">
    <xdr:from>
      <xdr:col>1</xdr:col>
      <xdr:colOff>103909</xdr:colOff>
      <xdr:row>24</xdr:row>
      <xdr:rowOff>14720</xdr:rowOff>
    </xdr:from>
    <xdr:to>
      <xdr:col>12</xdr:col>
      <xdr:colOff>197833</xdr:colOff>
      <xdr:row>37</xdr:row>
      <xdr:rowOff>50582</xdr:rowOff>
    </xdr:to>
    <xdr:pic>
      <xdr:nvPicPr>
        <xdr:cNvPr id="8" name="Imagen 7">
          <a:extLst>
            <a:ext uri="{FF2B5EF4-FFF2-40B4-BE49-F238E27FC236}">
              <a16:creationId xmlns:a16="http://schemas.microsoft.com/office/drawing/2014/main" id="{5E76A10B-E049-A700-5461-C02B835CB145}"/>
            </a:ext>
          </a:extLst>
        </xdr:cNvPr>
        <xdr:cNvPicPr>
          <a:picLocks noChangeAspect="1"/>
        </xdr:cNvPicPr>
      </xdr:nvPicPr>
      <xdr:blipFill rotWithShape="1">
        <a:blip xmlns:r="http://schemas.openxmlformats.org/officeDocument/2006/relationships" r:embed="rId2"/>
        <a:srcRect t="2684"/>
        <a:stretch>
          <a:fillRect/>
        </a:stretch>
      </xdr:blipFill>
      <xdr:spPr>
        <a:xfrm>
          <a:off x="865909" y="4586720"/>
          <a:ext cx="9104574" cy="2512362"/>
        </a:xfrm>
        <a:prstGeom prst="rect">
          <a:avLst/>
        </a:prstGeom>
      </xdr:spPr>
    </xdr:pic>
    <xdr:clientData/>
  </xdr:twoCellAnchor>
  <xdr:twoCellAnchor editAs="oneCell">
    <xdr:from>
      <xdr:col>1</xdr:col>
      <xdr:colOff>0</xdr:colOff>
      <xdr:row>39</xdr:row>
      <xdr:rowOff>0</xdr:rowOff>
    </xdr:from>
    <xdr:to>
      <xdr:col>11</xdr:col>
      <xdr:colOff>751135</xdr:colOff>
      <xdr:row>67</xdr:row>
      <xdr:rowOff>67429</xdr:rowOff>
    </xdr:to>
    <xdr:pic>
      <xdr:nvPicPr>
        <xdr:cNvPr id="9" name="Imagen 8">
          <a:extLst>
            <a:ext uri="{FF2B5EF4-FFF2-40B4-BE49-F238E27FC236}">
              <a16:creationId xmlns:a16="http://schemas.microsoft.com/office/drawing/2014/main" id="{71880FFF-A674-DCE6-9C57-3E5E8B12738B}"/>
            </a:ext>
          </a:extLst>
        </xdr:cNvPr>
        <xdr:cNvPicPr>
          <a:picLocks noChangeAspect="1"/>
        </xdr:cNvPicPr>
      </xdr:nvPicPr>
      <xdr:blipFill>
        <a:blip xmlns:r="http://schemas.openxmlformats.org/officeDocument/2006/relationships" r:embed="rId3"/>
        <a:stretch>
          <a:fillRect/>
        </a:stretch>
      </xdr:blipFill>
      <xdr:spPr>
        <a:xfrm>
          <a:off x="762000" y="7429500"/>
          <a:ext cx="9011908" cy="5401429"/>
        </a:xfrm>
        <a:prstGeom prst="rect">
          <a:avLst/>
        </a:prstGeom>
      </xdr:spPr>
    </xdr:pic>
    <xdr:clientData/>
  </xdr:twoCellAnchor>
  <xdr:twoCellAnchor editAs="oneCell">
    <xdr:from>
      <xdr:col>1</xdr:col>
      <xdr:colOff>69273</xdr:colOff>
      <xdr:row>67</xdr:row>
      <xdr:rowOff>34636</xdr:rowOff>
    </xdr:from>
    <xdr:to>
      <xdr:col>11</xdr:col>
      <xdr:colOff>744197</xdr:colOff>
      <xdr:row>79</xdr:row>
      <xdr:rowOff>15902</xdr:rowOff>
    </xdr:to>
    <xdr:pic>
      <xdr:nvPicPr>
        <xdr:cNvPr id="10" name="Imagen 9">
          <a:extLst>
            <a:ext uri="{FF2B5EF4-FFF2-40B4-BE49-F238E27FC236}">
              <a16:creationId xmlns:a16="http://schemas.microsoft.com/office/drawing/2014/main" id="{284A382B-0303-2803-D01A-46715EE7A88F}"/>
            </a:ext>
          </a:extLst>
        </xdr:cNvPr>
        <xdr:cNvPicPr>
          <a:picLocks noChangeAspect="1"/>
        </xdr:cNvPicPr>
      </xdr:nvPicPr>
      <xdr:blipFill>
        <a:blip xmlns:r="http://schemas.openxmlformats.org/officeDocument/2006/relationships" r:embed="rId4"/>
        <a:stretch>
          <a:fillRect/>
        </a:stretch>
      </xdr:blipFill>
      <xdr:spPr>
        <a:xfrm>
          <a:off x="831273" y="12798136"/>
          <a:ext cx="8935697" cy="22672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438150</xdr:colOff>
      <xdr:row>0</xdr:row>
      <xdr:rowOff>0</xdr:rowOff>
    </xdr:from>
    <xdr:to>
      <xdr:col>10</xdr:col>
      <xdr:colOff>180975</xdr:colOff>
      <xdr:row>2</xdr:row>
      <xdr:rowOff>180975</xdr:rowOff>
    </xdr:to>
    <xdr:pic>
      <xdr:nvPicPr>
        <xdr:cNvPr id="2" name="Imagen 1" descr="C:\Users\Tere\Desktop\UAH_Marzo2020\DD\ImagenesDD\Logos\Docencia-01.jpg">
          <a:extLst>
            <a:ext uri="{FF2B5EF4-FFF2-40B4-BE49-F238E27FC236}">
              <a16:creationId xmlns:a16="http://schemas.microsoft.com/office/drawing/2014/main" id="{15786D7C-A694-4B57-90D9-42ECF58CE14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5425" y="0"/>
          <a:ext cx="2028825" cy="56197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4"/>
  <sheetViews>
    <sheetView zoomScale="80" zoomScaleNormal="80" workbookViewId="0">
      <selection activeCell="C18" sqref="C18"/>
    </sheetView>
  </sheetViews>
  <sheetFormatPr defaultColWidth="11.42578125" defaultRowHeight="15"/>
  <cols>
    <col min="2" max="2" width="20.5703125" customWidth="1"/>
    <col min="3" max="3" width="34" customWidth="1"/>
    <col min="4" max="4" width="43.85546875" customWidth="1"/>
    <col min="5" max="5" width="34.85546875" customWidth="1"/>
    <col min="6" max="7" width="31.28515625" customWidth="1"/>
    <col min="8" max="8" width="31.42578125" customWidth="1"/>
  </cols>
  <sheetData>
    <row r="2" spans="1:8">
      <c r="A2" t="s">
        <v>0</v>
      </c>
      <c r="B2" t="s">
        <v>1</v>
      </c>
    </row>
    <row r="3" spans="1:8" ht="15.75" thickBot="1"/>
    <row r="4" spans="1:8" ht="15.75" thickBot="1">
      <c r="C4" s="75" t="s">
        <v>2</v>
      </c>
      <c r="D4" s="76"/>
      <c r="E4" s="76"/>
      <c r="F4" s="76"/>
      <c r="G4" s="77"/>
    </row>
    <row r="5" spans="1:8">
      <c r="C5" s="6" t="s">
        <v>3</v>
      </c>
      <c r="D5" s="6" t="s">
        <v>4</v>
      </c>
      <c r="E5" s="7" t="s">
        <v>5</v>
      </c>
      <c r="F5" s="6" t="s">
        <v>6</v>
      </c>
      <c r="G5" s="8" t="s">
        <v>7</v>
      </c>
    </row>
    <row r="6" spans="1:8" ht="15.75" thickBot="1">
      <c r="C6" s="9" t="s">
        <v>8</v>
      </c>
      <c r="D6" s="9" t="s">
        <v>9</v>
      </c>
      <c r="E6" s="10" t="s">
        <v>10</v>
      </c>
      <c r="F6" s="9" t="s">
        <v>11</v>
      </c>
      <c r="G6" s="11" t="s">
        <v>12</v>
      </c>
    </row>
    <row r="7" spans="1:8" ht="45.75" thickBot="1">
      <c r="C7" s="12" t="s">
        <v>13</v>
      </c>
      <c r="D7" s="13" t="s">
        <v>14</v>
      </c>
      <c r="E7" s="13" t="s">
        <v>15</v>
      </c>
      <c r="F7" s="13" t="s">
        <v>16</v>
      </c>
      <c r="G7" s="14" t="s">
        <v>17</v>
      </c>
    </row>
    <row r="8" spans="1:8">
      <c r="C8" s="15"/>
      <c r="D8" s="15"/>
      <c r="E8" s="15"/>
      <c r="F8" s="15"/>
      <c r="G8" s="16"/>
    </row>
    <row r="9" spans="1:8">
      <c r="A9" t="s">
        <v>18</v>
      </c>
      <c r="B9" s="17" t="s">
        <v>19</v>
      </c>
    </row>
    <row r="10" spans="1:8">
      <c r="B10" s="78" t="s">
        <v>20</v>
      </c>
      <c r="C10" s="79"/>
      <c r="D10" s="79"/>
      <c r="E10" s="79"/>
      <c r="F10" s="79"/>
      <c r="G10" s="79"/>
    </row>
    <row r="11" spans="1:8">
      <c r="B11" s="79"/>
      <c r="C11" s="79"/>
      <c r="D11" s="79"/>
      <c r="E11" s="79"/>
      <c r="F11" s="79"/>
      <c r="G11" s="79"/>
    </row>
    <row r="12" spans="1:8">
      <c r="B12" s="79"/>
      <c r="C12" s="79"/>
      <c r="D12" s="79"/>
      <c r="E12" s="79"/>
      <c r="F12" s="79"/>
      <c r="G12" s="79"/>
    </row>
    <row r="14" spans="1:8" ht="15.75" thickBot="1"/>
    <row r="15" spans="1:8" ht="15.75" thickBot="1">
      <c r="C15" s="75" t="s">
        <v>21</v>
      </c>
      <c r="D15" s="76"/>
      <c r="E15" s="76"/>
      <c r="F15" s="76"/>
      <c r="G15" s="77"/>
    </row>
    <row r="16" spans="1:8" ht="15.75" thickBot="1">
      <c r="B16" s="18"/>
      <c r="C16" s="19" t="s">
        <v>3</v>
      </c>
      <c r="D16" s="20" t="s">
        <v>4</v>
      </c>
      <c r="E16" s="21" t="s">
        <v>5</v>
      </c>
      <c r="F16" s="80" t="s">
        <v>22</v>
      </c>
      <c r="G16" s="81"/>
      <c r="H16" s="22"/>
    </row>
    <row r="17" spans="2:8" ht="15.75" thickBot="1">
      <c r="B17" s="23" t="s">
        <v>23</v>
      </c>
      <c r="C17" s="24" t="s">
        <v>24</v>
      </c>
      <c r="D17" s="25" t="s">
        <v>25</v>
      </c>
      <c r="E17" s="26" t="s">
        <v>26</v>
      </c>
      <c r="F17" s="82" t="s">
        <v>27</v>
      </c>
      <c r="G17" s="83"/>
      <c r="H17" s="22"/>
    </row>
    <row r="18" spans="2:8" ht="165.75" thickBot="1">
      <c r="B18" s="84" t="s">
        <v>28</v>
      </c>
      <c r="C18" s="27" t="s">
        <v>29</v>
      </c>
      <c r="D18" s="27" t="s">
        <v>30</v>
      </c>
      <c r="E18" s="27" t="s">
        <v>31</v>
      </c>
      <c r="F18" s="87" t="s">
        <v>32</v>
      </c>
      <c r="G18" s="88"/>
      <c r="H18" s="28" t="s">
        <v>33</v>
      </c>
    </row>
    <row r="19" spans="2:8">
      <c r="B19" s="85"/>
      <c r="C19" s="89" t="s">
        <v>34</v>
      </c>
      <c r="D19" s="89"/>
      <c r="E19" s="89" t="s">
        <v>35</v>
      </c>
      <c r="F19" s="89"/>
      <c r="G19" s="90"/>
      <c r="H19" s="22"/>
    </row>
    <row r="20" spans="2:8">
      <c r="B20" s="86"/>
      <c r="C20" s="91" t="s">
        <v>36</v>
      </c>
      <c r="D20" s="91"/>
      <c r="E20" s="91"/>
      <c r="F20" s="91"/>
      <c r="G20" s="92"/>
      <c r="H20" s="22"/>
    </row>
    <row r="21" spans="2:8" ht="15" customHeight="1">
      <c r="B21" s="93" t="s">
        <v>37</v>
      </c>
      <c r="C21" s="96" t="s">
        <v>38</v>
      </c>
      <c r="D21" s="97" t="s">
        <v>39</v>
      </c>
      <c r="E21" s="97" t="s">
        <v>40</v>
      </c>
      <c r="F21" s="100" t="s">
        <v>41</v>
      </c>
      <c r="G21" s="74"/>
    </row>
    <row r="22" spans="2:8">
      <c r="B22" s="94"/>
      <c r="C22" s="94"/>
      <c r="D22" s="94"/>
      <c r="E22" s="98"/>
      <c r="F22" s="101"/>
      <c r="G22" s="74"/>
    </row>
    <row r="23" spans="2:8">
      <c r="B23" s="94"/>
      <c r="C23" s="94"/>
      <c r="D23" s="94"/>
      <c r="E23" s="98"/>
      <c r="F23" s="101"/>
      <c r="G23" s="74"/>
    </row>
    <row r="24" spans="2:8">
      <c r="B24" s="94"/>
      <c r="C24" s="94"/>
      <c r="D24" s="94"/>
      <c r="E24" s="98"/>
      <c r="F24" s="101"/>
      <c r="G24" s="74"/>
    </row>
    <row r="25" spans="2:8">
      <c r="B25" s="94"/>
      <c r="C25" s="94"/>
      <c r="D25" s="94"/>
      <c r="E25" s="98"/>
      <c r="F25" s="101"/>
      <c r="G25" s="74"/>
    </row>
    <row r="26" spans="2:8">
      <c r="B26" s="94"/>
      <c r="C26" s="94"/>
      <c r="D26" s="94"/>
      <c r="E26" s="98"/>
      <c r="F26" s="101"/>
      <c r="G26" s="74"/>
    </row>
    <row r="27" spans="2:8">
      <c r="B27" s="94"/>
      <c r="C27" s="94"/>
      <c r="D27" s="94"/>
      <c r="E27" s="98"/>
      <c r="F27" s="101"/>
      <c r="G27" s="74"/>
    </row>
    <row r="28" spans="2:8">
      <c r="B28" s="94"/>
      <c r="C28" s="94"/>
      <c r="D28" s="94"/>
      <c r="E28" s="98"/>
      <c r="F28" s="101"/>
      <c r="G28" s="74"/>
    </row>
    <row r="29" spans="2:8">
      <c r="B29" s="94"/>
      <c r="C29" s="94"/>
      <c r="D29" s="94"/>
      <c r="E29" s="98"/>
      <c r="F29" s="101"/>
      <c r="G29" s="74"/>
    </row>
    <row r="30" spans="2:8">
      <c r="B30" s="94"/>
      <c r="C30" s="94"/>
      <c r="D30" s="94"/>
      <c r="E30" s="98"/>
      <c r="F30" s="101"/>
      <c r="G30" s="74"/>
    </row>
    <row r="31" spans="2:8">
      <c r="B31" s="94"/>
      <c r="C31" s="94"/>
      <c r="D31" s="94"/>
      <c r="E31" s="98"/>
      <c r="F31" s="101"/>
      <c r="G31" s="74"/>
    </row>
    <row r="32" spans="2:8">
      <c r="B32" s="94"/>
      <c r="C32" s="94"/>
      <c r="D32" s="94"/>
      <c r="E32" s="98"/>
      <c r="F32" s="101"/>
      <c r="G32" s="74"/>
    </row>
    <row r="33" spans="2:7">
      <c r="B33" s="94"/>
      <c r="C33" s="94"/>
      <c r="D33" s="94"/>
      <c r="E33" s="98"/>
      <c r="F33" s="101"/>
      <c r="G33" s="74"/>
    </row>
    <row r="34" spans="2:7">
      <c r="B34" s="95"/>
      <c r="C34" s="95"/>
      <c r="D34" s="95"/>
      <c r="E34" s="99"/>
      <c r="F34" s="101"/>
      <c r="G34" s="74"/>
    </row>
  </sheetData>
  <mergeCells count="16">
    <mergeCell ref="G21:G34"/>
    <mergeCell ref="C4:G4"/>
    <mergeCell ref="B10:G12"/>
    <mergeCell ref="C15:G15"/>
    <mergeCell ref="F16:G16"/>
    <mergeCell ref="F17:G17"/>
    <mergeCell ref="B18:B20"/>
    <mergeCell ref="F18:G18"/>
    <mergeCell ref="C19:D19"/>
    <mergeCell ref="E19:G19"/>
    <mergeCell ref="C20:G20"/>
    <mergeCell ref="B21:B34"/>
    <mergeCell ref="C21:C34"/>
    <mergeCell ref="D21:D34"/>
    <mergeCell ref="E21:E34"/>
    <mergeCell ref="F21:F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516C-83A6-4386-A8A3-611A1045A914}">
  <dimension ref="A1"/>
  <sheetViews>
    <sheetView topLeftCell="A6" zoomScaleNormal="100" workbookViewId="0">
      <selection activeCell="R30" sqref="R30"/>
    </sheetView>
  </sheetViews>
  <sheetFormatPr defaultColWidth="11.42578125" defaultRowHeight="15"/>
  <cols>
    <col min="2" max="2" width="16.7109375" bestFit="1" customWidth="1"/>
    <col min="3" max="3" width="13.42578125" bestFit="1" customWidth="1"/>
    <col min="4" max="4" width="19.140625" bestFit="1" customWidth="1"/>
    <col min="5" max="5" width="9.28515625" bestFit="1" customWidth="1"/>
    <col min="6" max="6" width="8" bestFit="1" customWidth="1"/>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2B4C-EC85-4CB8-B705-3F4642D8D0B0}">
  <dimension ref="A1:T102"/>
  <sheetViews>
    <sheetView tabSelected="1" topLeftCell="G1" zoomScale="115" zoomScaleNormal="115" workbookViewId="0">
      <selection activeCell="R1" sqref="R1:T2"/>
    </sheetView>
  </sheetViews>
  <sheetFormatPr defaultColWidth="9.140625" defaultRowHeight="15"/>
  <cols>
    <col min="1" max="1" width="14.28515625" customWidth="1"/>
    <col min="2" max="2" width="11.42578125" customWidth="1"/>
    <col min="3" max="3" width="45.140625" customWidth="1"/>
    <col min="4" max="4" width="20.85546875" customWidth="1"/>
    <col min="5" max="5" width="23" customWidth="1"/>
    <col min="6" max="6" width="31.85546875" customWidth="1"/>
    <col min="7" max="7" width="52.28515625" customWidth="1"/>
    <col min="8" max="10" width="14.28515625" customWidth="1"/>
    <col min="11" max="11" width="17.28515625" style="62" customWidth="1"/>
    <col min="12" max="12" width="18.42578125" style="62" customWidth="1"/>
    <col min="13" max="13" width="20.7109375" style="62" customWidth="1"/>
    <col min="14" max="14" width="20" style="62" customWidth="1"/>
    <col min="15" max="15" width="21.28515625" style="62" customWidth="1"/>
    <col min="16" max="16" width="24.42578125" style="22" customWidth="1"/>
    <col min="17" max="17" width="27.5703125" customWidth="1"/>
    <col min="18" max="19" width="14.28515625" customWidth="1"/>
    <col min="20" max="20" width="18" customWidth="1"/>
  </cols>
  <sheetData>
    <row r="1" spans="1:20" s="5" customFormat="1" ht="93" customHeight="1">
      <c r="A1" s="108" t="s">
        <v>42</v>
      </c>
      <c r="B1" s="109"/>
      <c r="C1" s="109"/>
      <c r="D1" s="109"/>
      <c r="E1" s="109"/>
      <c r="F1" s="109"/>
      <c r="G1" s="109"/>
      <c r="H1" s="109"/>
      <c r="I1" s="109"/>
      <c r="J1" s="110"/>
      <c r="K1" s="114" t="s">
        <v>43</v>
      </c>
      <c r="L1" s="115"/>
      <c r="M1" s="115"/>
      <c r="N1" s="118" t="s">
        <v>44</v>
      </c>
      <c r="O1" s="119"/>
      <c r="P1" s="119"/>
      <c r="Q1" s="120"/>
      <c r="R1" s="102" t="s">
        <v>45</v>
      </c>
      <c r="S1" s="103"/>
      <c r="T1" s="104"/>
    </row>
    <row r="2" spans="1:20" s="5" customFormat="1" ht="93" customHeight="1">
      <c r="A2" s="111"/>
      <c r="B2" s="112"/>
      <c r="C2" s="112"/>
      <c r="D2" s="112"/>
      <c r="E2" s="112"/>
      <c r="F2" s="112"/>
      <c r="G2" s="112"/>
      <c r="H2" s="112"/>
      <c r="I2" s="112"/>
      <c r="J2" s="113"/>
      <c r="K2" s="116"/>
      <c r="L2" s="117"/>
      <c r="M2" s="117"/>
      <c r="N2" s="121"/>
      <c r="O2" s="122"/>
      <c r="P2" s="122"/>
      <c r="Q2" s="123"/>
      <c r="R2" s="105"/>
      <c r="S2" s="106"/>
      <c r="T2" s="107"/>
    </row>
    <row r="3" spans="1:20" s="3" customFormat="1" ht="75.75">
      <c r="A3" s="36" t="s">
        <v>46</v>
      </c>
      <c r="B3" s="36" t="s">
        <v>47</v>
      </c>
      <c r="C3" s="36" t="s">
        <v>48</v>
      </c>
      <c r="D3" s="36" t="s">
        <v>49</v>
      </c>
      <c r="E3" s="36" t="s">
        <v>50</v>
      </c>
      <c r="F3" s="36" t="s">
        <v>51</v>
      </c>
      <c r="G3" s="36" t="s">
        <v>52</v>
      </c>
      <c r="H3" s="37" t="s">
        <v>53</v>
      </c>
      <c r="I3" s="37" t="s">
        <v>54</v>
      </c>
      <c r="J3" s="37" t="s">
        <v>55</v>
      </c>
      <c r="K3" s="31" t="s">
        <v>56</v>
      </c>
      <c r="L3" s="31" t="s">
        <v>57</v>
      </c>
      <c r="M3" s="31" t="s">
        <v>58</v>
      </c>
      <c r="N3" s="63" t="s">
        <v>59</v>
      </c>
      <c r="O3" s="64" t="s">
        <v>60</v>
      </c>
      <c r="P3" s="63" t="s">
        <v>61</v>
      </c>
      <c r="Q3" s="63" t="s">
        <v>62</v>
      </c>
      <c r="R3" s="38" t="s">
        <v>63</v>
      </c>
      <c r="S3" s="38" t="s">
        <v>64</v>
      </c>
      <c r="T3" s="38" t="s">
        <v>65</v>
      </c>
    </row>
    <row r="4" spans="1:20">
      <c r="A4" s="41">
        <v>15532543</v>
      </c>
      <c r="B4" s="41">
        <v>7</v>
      </c>
      <c r="C4" s="41" t="s">
        <v>66</v>
      </c>
      <c r="D4" s="42" t="s">
        <v>67</v>
      </c>
      <c r="E4" s="42" t="s">
        <v>68</v>
      </c>
      <c r="F4" s="42" t="s">
        <v>69</v>
      </c>
      <c r="G4" s="39" t="s">
        <v>70</v>
      </c>
      <c r="H4" s="43" t="s">
        <v>71</v>
      </c>
      <c r="I4" s="53">
        <v>45756</v>
      </c>
      <c r="J4" s="43"/>
      <c r="K4" s="55">
        <v>2</v>
      </c>
      <c r="L4" s="56">
        <v>3</v>
      </c>
      <c r="M4" s="56">
        <v>3</v>
      </c>
      <c r="N4" s="55">
        <v>3</v>
      </c>
      <c r="O4" s="56">
        <v>3</v>
      </c>
      <c r="P4" s="71">
        <v>3</v>
      </c>
      <c r="Q4" s="56">
        <v>3</v>
      </c>
      <c r="R4" s="56">
        <f>SUM(K4:Q4)</f>
        <v>20</v>
      </c>
      <c r="S4" s="65">
        <f>R4/21</f>
        <v>0.95238095238095233</v>
      </c>
      <c r="T4" s="54" t="str">
        <f>IF(S4&gt;=0.85,"ÓPTIMO",IF(S4&gt;=0.65,"SATISFACTORIO",IF(S4&gt;=0.5,"BASE",IF(S4=0,"","NECESITA MEJORAR"))))</f>
        <v>ÓPTIMO</v>
      </c>
    </row>
    <row r="5" spans="1:20">
      <c r="A5" s="41">
        <v>20207096</v>
      </c>
      <c r="B5" s="41">
        <v>5</v>
      </c>
      <c r="C5" s="41" t="s">
        <v>72</v>
      </c>
      <c r="D5" s="42" t="s">
        <v>73</v>
      </c>
      <c r="E5" s="42" t="s">
        <v>74</v>
      </c>
      <c r="F5" s="42" t="s">
        <v>75</v>
      </c>
      <c r="G5" s="39" t="s">
        <v>70</v>
      </c>
      <c r="H5" s="40" t="s">
        <v>71</v>
      </c>
      <c r="I5" s="53">
        <v>45756</v>
      </c>
      <c r="J5" s="40"/>
      <c r="K5" s="55">
        <v>2</v>
      </c>
      <c r="L5" s="56">
        <v>3</v>
      </c>
      <c r="M5" s="56">
        <v>3</v>
      </c>
      <c r="N5" s="55">
        <v>3</v>
      </c>
      <c r="O5" s="56">
        <v>3</v>
      </c>
      <c r="P5" s="71">
        <v>3</v>
      </c>
      <c r="Q5" s="56">
        <v>3</v>
      </c>
      <c r="R5" s="56">
        <f t="shared" ref="R5:R68" si="0">SUM(K5:Q5)</f>
        <v>20</v>
      </c>
      <c r="S5" s="65">
        <f>R5/21</f>
        <v>0.95238095238095233</v>
      </c>
      <c r="T5" s="54" t="str">
        <f t="shared" ref="T5:T68" si="1">IF(S5&gt;=0.85,"ÓPTIMO",IF(S5&gt;=0.65,"SATISFACTORIO",IF(S5&gt;=0.5,"BASE",IF(S5=0,"","NECESITA MEJORAR"))))</f>
        <v>ÓPTIMO</v>
      </c>
    </row>
    <row r="6" spans="1:20">
      <c r="A6" s="41">
        <v>20296938</v>
      </c>
      <c r="B6" s="41">
        <v>0</v>
      </c>
      <c r="C6" s="41" t="s">
        <v>76</v>
      </c>
      <c r="D6" s="42" t="s">
        <v>77</v>
      </c>
      <c r="E6" s="42" t="s">
        <v>78</v>
      </c>
      <c r="F6" s="42" t="s">
        <v>79</v>
      </c>
      <c r="G6" s="39" t="s">
        <v>70</v>
      </c>
      <c r="H6" s="40" t="s">
        <v>71</v>
      </c>
      <c r="I6" s="53">
        <v>45756</v>
      </c>
      <c r="J6" s="40"/>
      <c r="K6" s="55">
        <v>3</v>
      </c>
      <c r="L6" s="56">
        <v>3</v>
      </c>
      <c r="M6" s="56">
        <v>3</v>
      </c>
      <c r="N6" s="55">
        <v>3</v>
      </c>
      <c r="O6" s="56">
        <v>3</v>
      </c>
      <c r="P6" s="71">
        <v>3</v>
      </c>
      <c r="Q6" s="56">
        <v>3</v>
      </c>
      <c r="R6" s="56">
        <f t="shared" si="0"/>
        <v>21</v>
      </c>
      <c r="S6" s="65">
        <f t="shared" ref="S6:S69" si="2">R6/21</f>
        <v>1</v>
      </c>
      <c r="T6" s="54" t="str">
        <f t="shared" si="1"/>
        <v>ÓPTIMO</v>
      </c>
    </row>
    <row r="7" spans="1:20">
      <c r="A7" s="41">
        <v>20393339</v>
      </c>
      <c r="B7" s="41">
        <v>8</v>
      </c>
      <c r="C7" s="41" t="s">
        <v>80</v>
      </c>
      <c r="D7" s="42" t="s">
        <v>81</v>
      </c>
      <c r="E7" s="42" t="s">
        <v>82</v>
      </c>
      <c r="F7" s="42" t="s">
        <v>83</v>
      </c>
      <c r="G7" s="39" t="s">
        <v>70</v>
      </c>
      <c r="H7" s="40" t="s">
        <v>71</v>
      </c>
      <c r="I7" s="53">
        <v>45756</v>
      </c>
      <c r="J7" s="45"/>
      <c r="K7" s="55">
        <v>3</v>
      </c>
      <c r="L7" s="56">
        <v>3</v>
      </c>
      <c r="M7" s="56">
        <v>3</v>
      </c>
      <c r="N7" s="55">
        <v>3</v>
      </c>
      <c r="O7" s="56">
        <v>3</v>
      </c>
      <c r="P7" s="71">
        <v>3</v>
      </c>
      <c r="Q7" s="56">
        <v>3</v>
      </c>
      <c r="R7" s="56">
        <f t="shared" si="0"/>
        <v>21</v>
      </c>
      <c r="S7" s="65">
        <f t="shared" si="2"/>
        <v>1</v>
      </c>
      <c r="T7" s="54" t="str">
        <f t="shared" si="1"/>
        <v>ÓPTIMO</v>
      </c>
    </row>
    <row r="8" spans="1:20">
      <c r="A8" s="41">
        <v>20401167</v>
      </c>
      <c r="B8" s="41">
        <v>2</v>
      </c>
      <c r="C8" s="41" t="s">
        <v>84</v>
      </c>
      <c r="D8" s="42" t="s">
        <v>85</v>
      </c>
      <c r="E8" s="42" t="s">
        <v>86</v>
      </c>
      <c r="F8" s="42" t="s">
        <v>87</v>
      </c>
      <c r="G8" s="68" t="s">
        <v>88</v>
      </c>
      <c r="H8" s="69" t="s">
        <v>89</v>
      </c>
      <c r="I8" s="70">
        <v>45756</v>
      </c>
      <c r="J8" s="45" t="s">
        <v>90</v>
      </c>
      <c r="K8" s="46"/>
      <c r="L8" s="2"/>
      <c r="M8" s="2"/>
      <c r="N8" s="57"/>
      <c r="O8" s="58"/>
      <c r="P8" s="72"/>
      <c r="Q8" s="58"/>
      <c r="R8" s="56">
        <f t="shared" si="0"/>
        <v>0</v>
      </c>
      <c r="S8" s="65">
        <f t="shared" si="2"/>
        <v>0</v>
      </c>
      <c r="T8" s="54" t="str">
        <f t="shared" si="1"/>
        <v/>
      </c>
    </row>
    <row r="9" spans="1:20">
      <c r="A9" s="41">
        <v>20464253</v>
      </c>
      <c r="B9" s="41">
        <v>2</v>
      </c>
      <c r="C9" s="41" t="s">
        <v>91</v>
      </c>
      <c r="D9" s="42" t="s">
        <v>92</v>
      </c>
      <c r="E9" s="42" t="s">
        <v>93</v>
      </c>
      <c r="F9" s="42" t="s">
        <v>94</v>
      </c>
      <c r="G9" s="39" t="s">
        <v>70</v>
      </c>
      <c r="H9" s="40" t="s">
        <v>71</v>
      </c>
      <c r="I9" s="53">
        <v>45756</v>
      </c>
      <c r="J9" s="45"/>
      <c r="K9" s="55">
        <v>3</v>
      </c>
      <c r="L9" s="56">
        <v>3</v>
      </c>
      <c r="M9" s="56">
        <v>3</v>
      </c>
      <c r="N9" s="55">
        <v>0</v>
      </c>
      <c r="O9" s="56">
        <v>0</v>
      </c>
      <c r="P9" s="71">
        <v>0</v>
      </c>
      <c r="Q9" s="56">
        <v>0</v>
      </c>
      <c r="R9" s="56">
        <f t="shared" si="0"/>
        <v>9</v>
      </c>
      <c r="S9" s="65">
        <f t="shared" si="2"/>
        <v>0.42857142857142855</v>
      </c>
      <c r="T9" s="54" t="str">
        <f t="shared" si="1"/>
        <v>NECESITA MEJORAR</v>
      </c>
    </row>
    <row r="10" spans="1:20">
      <c r="A10" s="41">
        <v>20499167</v>
      </c>
      <c r="B10" s="41">
        <v>7</v>
      </c>
      <c r="C10" s="41" t="s">
        <v>95</v>
      </c>
      <c r="D10" s="42" t="s">
        <v>96</v>
      </c>
      <c r="E10" s="42" t="s">
        <v>97</v>
      </c>
      <c r="F10" s="42" t="s">
        <v>98</v>
      </c>
      <c r="G10" s="39" t="s">
        <v>70</v>
      </c>
      <c r="H10" s="40" t="s">
        <v>71</v>
      </c>
      <c r="I10" s="53">
        <v>45756</v>
      </c>
      <c r="J10" s="45"/>
      <c r="K10" s="55">
        <v>0</v>
      </c>
      <c r="L10" s="56">
        <v>0</v>
      </c>
      <c r="M10" s="56">
        <v>0</v>
      </c>
      <c r="N10" s="55">
        <v>3</v>
      </c>
      <c r="O10" s="56">
        <v>0</v>
      </c>
      <c r="P10" s="71">
        <v>3</v>
      </c>
      <c r="Q10" s="56">
        <v>3</v>
      </c>
      <c r="R10" s="56">
        <f t="shared" si="0"/>
        <v>9</v>
      </c>
      <c r="S10" s="65">
        <f t="shared" si="2"/>
        <v>0.42857142857142855</v>
      </c>
      <c r="T10" s="54" t="str">
        <f t="shared" si="1"/>
        <v>NECESITA MEJORAR</v>
      </c>
    </row>
    <row r="11" spans="1:20">
      <c r="A11" s="41">
        <v>20580631</v>
      </c>
      <c r="B11" s="41">
        <v>8</v>
      </c>
      <c r="C11" s="41" t="s">
        <v>99</v>
      </c>
      <c r="D11" s="42" t="s">
        <v>100</v>
      </c>
      <c r="E11" s="42" t="s">
        <v>101</v>
      </c>
      <c r="F11" s="42" t="s">
        <v>102</v>
      </c>
      <c r="G11" s="39" t="s">
        <v>70</v>
      </c>
      <c r="H11" s="40" t="s">
        <v>71</v>
      </c>
      <c r="I11" s="53">
        <v>45756</v>
      </c>
      <c r="J11" s="45"/>
      <c r="K11" s="55">
        <v>0</v>
      </c>
      <c r="L11" s="56">
        <v>0</v>
      </c>
      <c r="M11" s="56">
        <v>0</v>
      </c>
      <c r="N11" s="55">
        <v>0</v>
      </c>
      <c r="O11" s="56">
        <v>0</v>
      </c>
      <c r="P11" s="71">
        <v>0</v>
      </c>
      <c r="Q11" s="56">
        <v>0</v>
      </c>
      <c r="R11" s="56">
        <f t="shared" si="0"/>
        <v>0</v>
      </c>
      <c r="S11" s="65">
        <f t="shared" si="2"/>
        <v>0</v>
      </c>
      <c r="T11" s="54" t="str">
        <f t="shared" si="1"/>
        <v/>
      </c>
    </row>
    <row r="12" spans="1:20">
      <c r="A12" s="41">
        <v>20678078</v>
      </c>
      <c r="B12" s="41">
        <v>9</v>
      </c>
      <c r="C12" s="41" t="s">
        <v>103</v>
      </c>
      <c r="D12" s="42" t="s">
        <v>104</v>
      </c>
      <c r="E12" s="42" t="s">
        <v>105</v>
      </c>
      <c r="F12" s="42" t="s">
        <v>106</v>
      </c>
      <c r="G12" s="39" t="s">
        <v>70</v>
      </c>
      <c r="H12" s="40" t="s">
        <v>71</v>
      </c>
      <c r="I12" s="53">
        <v>45756</v>
      </c>
      <c r="J12" s="45"/>
      <c r="K12" s="55">
        <v>0</v>
      </c>
      <c r="L12" s="56">
        <v>0</v>
      </c>
      <c r="M12" s="56">
        <v>0</v>
      </c>
      <c r="N12" s="55">
        <v>0</v>
      </c>
      <c r="O12" s="56">
        <v>0</v>
      </c>
      <c r="P12" s="71">
        <v>0</v>
      </c>
      <c r="Q12" s="56">
        <v>0</v>
      </c>
      <c r="R12" s="56">
        <f t="shared" si="0"/>
        <v>0</v>
      </c>
      <c r="S12" s="65">
        <f t="shared" si="2"/>
        <v>0</v>
      </c>
      <c r="T12" s="54" t="str">
        <f t="shared" si="1"/>
        <v/>
      </c>
    </row>
    <row r="13" spans="1:20">
      <c r="A13" s="41">
        <v>20701746</v>
      </c>
      <c r="B13" s="41">
        <v>9</v>
      </c>
      <c r="C13" s="41" t="s">
        <v>107</v>
      </c>
      <c r="D13" s="42" t="s">
        <v>108</v>
      </c>
      <c r="E13" s="42" t="s">
        <v>109</v>
      </c>
      <c r="F13" s="42" t="s">
        <v>110</v>
      </c>
      <c r="G13" s="39" t="s">
        <v>70</v>
      </c>
      <c r="H13" s="40" t="s">
        <v>71</v>
      </c>
      <c r="I13" s="53">
        <v>45756</v>
      </c>
      <c r="J13" s="45"/>
      <c r="K13" s="55">
        <v>1</v>
      </c>
      <c r="L13" s="56">
        <v>2</v>
      </c>
      <c r="M13" s="56">
        <v>1</v>
      </c>
      <c r="N13" s="55">
        <v>2</v>
      </c>
      <c r="O13" s="56">
        <v>2</v>
      </c>
      <c r="P13" s="71">
        <v>2</v>
      </c>
      <c r="Q13" s="56">
        <v>1</v>
      </c>
      <c r="R13" s="56">
        <f t="shared" si="0"/>
        <v>11</v>
      </c>
      <c r="S13" s="65">
        <f t="shared" si="2"/>
        <v>0.52380952380952384</v>
      </c>
      <c r="T13" s="54" t="str">
        <f t="shared" si="1"/>
        <v>BASE</v>
      </c>
    </row>
    <row r="14" spans="1:20">
      <c r="A14" s="41">
        <v>20793881</v>
      </c>
      <c r="B14" s="41">
        <v>5</v>
      </c>
      <c r="C14" s="41" t="s">
        <v>111</v>
      </c>
      <c r="D14" s="42" t="s">
        <v>112</v>
      </c>
      <c r="E14" s="42" t="s">
        <v>113</v>
      </c>
      <c r="F14" s="42" t="s">
        <v>114</v>
      </c>
      <c r="G14" s="39" t="s">
        <v>70</v>
      </c>
      <c r="H14" s="40" t="s">
        <v>71</v>
      </c>
      <c r="I14" s="53">
        <v>45756</v>
      </c>
      <c r="J14" s="45"/>
      <c r="K14" s="55">
        <v>2</v>
      </c>
      <c r="L14" s="56">
        <v>2</v>
      </c>
      <c r="M14" s="56">
        <v>2</v>
      </c>
      <c r="N14" s="55">
        <v>2</v>
      </c>
      <c r="O14" s="56">
        <v>1</v>
      </c>
      <c r="P14" s="71">
        <v>0</v>
      </c>
      <c r="Q14" s="56">
        <v>2</v>
      </c>
      <c r="R14" s="56">
        <f t="shared" si="0"/>
        <v>11</v>
      </c>
      <c r="S14" s="65">
        <f t="shared" si="2"/>
        <v>0.52380952380952384</v>
      </c>
      <c r="T14" s="54" t="str">
        <f t="shared" si="1"/>
        <v>BASE</v>
      </c>
    </row>
    <row r="15" spans="1:20">
      <c r="A15" s="41">
        <v>20879986</v>
      </c>
      <c r="B15" s="41" t="s">
        <v>115</v>
      </c>
      <c r="C15" s="41" t="s">
        <v>116</v>
      </c>
      <c r="D15" s="42" t="s">
        <v>117</v>
      </c>
      <c r="E15" s="42" t="s">
        <v>118</v>
      </c>
      <c r="F15" s="42" t="s">
        <v>119</v>
      </c>
      <c r="G15" s="39" t="s">
        <v>70</v>
      </c>
      <c r="H15" s="40" t="s">
        <v>71</v>
      </c>
      <c r="I15" s="53">
        <v>45756</v>
      </c>
      <c r="J15" s="45"/>
      <c r="K15" s="55">
        <v>1</v>
      </c>
      <c r="L15" s="56">
        <v>1</v>
      </c>
      <c r="M15" s="56">
        <v>1</v>
      </c>
      <c r="N15" s="55">
        <v>1</v>
      </c>
      <c r="O15" s="56">
        <v>1</v>
      </c>
      <c r="P15" s="71">
        <v>1</v>
      </c>
      <c r="Q15" s="56">
        <v>1</v>
      </c>
      <c r="R15" s="56">
        <f t="shared" si="0"/>
        <v>7</v>
      </c>
      <c r="S15" s="65">
        <f t="shared" si="2"/>
        <v>0.33333333333333331</v>
      </c>
      <c r="T15" s="54" t="str">
        <f t="shared" si="1"/>
        <v>NECESITA MEJORAR</v>
      </c>
    </row>
    <row r="16" spans="1:20">
      <c r="A16" s="41">
        <v>20903498</v>
      </c>
      <c r="B16" s="41">
        <v>0</v>
      </c>
      <c r="C16" s="41" t="s">
        <v>120</v>
      </c>
      <c r="D16" s="42" t="s">
        <v>121</v>
      </c>
      <c r="E16" s="42" t="s">
        <v>122</v>
      </c>
      <c r="F16" s="42" t="s">
        <v>123</v>
      </c>
      <c r="G16" s="39" t="s">
        <v>70</v>
      </c>
      <c r="H16" s="40" t="s">
        <v>71</v>
      </c>
      <c r="I16" s="53">
        <v>45756</v>
      </c>
      <c r="J16" s="45"/>
      <c r="K16" s="55">
        <v>0</v>
      </c>
      <c r="L16" s="56">
        <v>0</v>
      </c>
      <c r="M16" s="56">
        <v>0</v>
      </c>
      <c r="N16" s="55">
        <v>3</v>
      </c>
      <c r="O16" s="56">
        <v>3</v>
      </c>
      <c r="P16" s="71">
        <v>3</v>
      </c>
      <c r="Q16" s="56">
        <v>3</v>
      </c>
      <c r="R16" s="56">
        <f t="shared" si="0"/>
        <v>12</v>
      </c>
      <c r="S16" s="65">
        <f t="shared" si="2"/>
        <v>0.5714285714285714</v>
      </c>
      <c r="T16" s="54" t="str">
        <f t="shared" si="1"/>
        <v>BASE</v>
      </c>
    </row>
    <row r="17" spans="1:20">
      <c r="A17" s="41">
        <v>20987446</v>
      </c>
      <c r="B17" s="41">
        <v>6</v>
      </c>
      <c r="C17" s="41" t="s">
        <v>124</v>
      </c>
      <c r="D17" s="42" t="s">
        <v>125</v>
      </c>
      <c r="E17" s="42" t="s">
        <v>126</v>
      </c>
      <c r="F17" s="42" t="s">
        <v>127</v>
      </c>
      <c r="G17" s="68" t="s">
        <v>88</v>
      </c>
      <c r="H17" s="69" t="s">
        <v>89</v>
      </c>
      <c r="I17" s="70">
        <v>45756</v>
      </c>
      <c r="J17" s="32" t="s">
        <v>90</v>
      </c>
      <c r="K17" s="44"/>
      <c r="L17" s="1"/>
      <c r="M17" s="1"/>
      <c r="N17" s="59"/>
      <c r="O17" s="60"/>
      <c r="P17" s="73"/>
      <c r="Q17" s="60"/>
      <c r="R17" s="56">
        <f t="shared" si="0"/>
        <v>0</v>
      </c>
      <c r="S17" s="65">
        <f t="shared" si="2"/>
        <v>0</v>
      </c>
      <c r="T17" s="54" t="str">
        <f t="shared" si="1"/>
        <v/>
      </c>
    </row>
    <row r="18" spans="1:20">
      <c r="A18" s="41">
        <v>21002567</v>
      </c>
      <c r="B18" s="41">
        <v>7</v>
      </c>
      <c r="C18" s="41" t="s">
        <v>128</v>
      </c>
      <c r="D18" s="42" t="s">
        <v>129</v>
      </c>
      <c r="E18" s="42" t="s">
        <v>130</v>
      </c>
      <c r="F18" s="42" t="s">
        <v>131</v>
      </c>
      <c r="G18" s="39" t="s">
        <v>70</v>
      </c>
      <c r="H18" s="40" t="s">
        <v>71</v>
      </c>
      <c r="I18" s="53">
        <v>45756</v>
      </c>
      <c r="J18" s="45"/>
      <c r="K18" s="55">
        <v>0</v>
      </c>
      <c r="L18" s="56">
        <v>0</v>
      </c>
      <c r="M18" s="56">
        <v>0</v>
      </c>
      <c r="N18" s="55">
        <v>0</v>
      </c>
      <c r="O18" s="56">
        <v>0</v>
      </c>
      <c r="P18" s="71">
        <v>0</v>
      </c>
      <c r="Q18" s="56">
        <v>0</v>
      </c>
      <c r="R18" s="56">
        <f t="shared" si="0"/>
        <v>0</v>
      </c>
      <c r="S18" s="65">
        <f t="shared" si="2"/>
        <v>0</v>
      </c>
      <c r="T18" s="54" t="str">
        <f t="shared" si="1"/>
        <v/>
      </c>
    </row>
    <row r="19" spans="1:20">
      <c r="A19" s="41">
        <v>21022264</v>
      </c>
      <c r="B19" s="41">
        <v>2</v>
      </c>
      <c r="C19" s="41" t="s">
        <v>132</v>
      </c>
      <c r="D19" s="42" t="s">
        <v>133</v>
      </c>
      <c r="E19" s="42" t="s">
        <v>134</v>
      </c>
      <c r="F19" s="42" t="s">
        <v>135</v>
      </c>
      <c r="G19" s="39" t="s">
        <v>70</v>
      </c>
      <c r="H19" s="40" t="s">
        <v>71</v>
      </c>
      <c r="I19" s="53">
        <v>45756</v>
      </c>
      <c r="J19" s="45"/>
      <c r="K19" s="57">
        <v>2</v>
      </c>
      <c r="L19" s="58">
        <v>3</v>
      </c>
      <c r="M19" s="58">
        <v>2</v>
      </c>
      <c r="N19" s="57">
        <v>3</v>
      </c>
      <c r="O19" s="58">
        <v>2</v>
      </c>
      <c r="P19" s="72">
        <v>2</v>
      </c>
      <c r="Q19" s="58">
        <v>1</v>
      </c>
      <c r="R19" s="56">
        <f t="shared" si="0"/>
        <v>15</v>
      </c>
      <c r="S19" s="65">
        <f t="shared" si="2"/>
        <v>0.7142857142857143</v>
      </c>
      <c r="T19" s="54" t="str">
        <f t="shared" si="1"/>
        <v>SATISFACTORIO</v>
      </c>
    </row>
    <row r="20" spans="1:20">
      <c r="A20" s="41">
        <v>21067377</v>
      </c>
      <c r="B20" s="41">
        <v>6</v>
      </c>
      <c r="C20" s="41" t="s">
        <v>136</v>
      </c>
      <c r="D20" s="42" t="s">
        <v>137</v>
      </c>
      <c r="E20" s="42" t="s">
        <v>138</v>
      </c>
      <c r="F20" s="42" t="s">
        <v>139</v>
      </c>
      <c r="G20" s="39" t="s">
        <v>70</v>
      </c>
      <c r="H20" s="40" t="s">
        <v>71</v>
      </c>
      <c r="I20" s="53">
        <v>45756</v>
      </c>
      <c r="J20" s="45"/>
      <c r="K20" s="57">
        <v>0</v>
      </c>
      <c r="L20" s="58">
        <v>0</v>
      </c>
      <c r="M20" s="58">
        <v>0</v>
      </c>
      <c r="N20" s="57">
        <v>0</v>
      </c>
      <c r="O20" s="58">
        <v>0</v>
      </c>
      <c r="P20" s="72">
        <v>1</v>
      </c>
      <c r="Q20" s="58">
        <v>2</v>
      </c>
      <c r="R20" s="56">
        <f t="shared" si="0"/>
        <v>3</v>
      </c>
      <c r="S20" s="65">
        <f t="shared" si="2"/>
        <v>0.14285714285714285</v>
      </c>
      <c r="T20" s="54" t="str">
        <f t="shared" si="1"/>
        <v>NECESITA MEJORAR</v>
      </c>
    </row>
    <row r="21" spans="1:20">
      <c r="A21" s="41">
        <v>21125078</v>
      </c>
      <c r="B21" s="41" t="s">
        <v>115</v>
      </c>
      <c r="C21" s="41" t="s">
        <v>140</v>
      </c>
      <c r="D21" s="42" t="s">
        <v>141</v>
      </c>
      <c r="E21" s="42" t="s">
        <v>142</v>
      </c>
      <c r="F21" s="42" t="s">
        <v>143</v>
      </c>
      <c r="G21" s="68" t="s">
        <v>88</v>
      </c>
      <c r="H21" s="69" t="s">
        <v>89</v>
      </c>
      <c r="I21" s="70">
        <v>45756</v>
      </c>
      <c r="J21" s="45" t="s">
        <v>90</v>
      </c>
      <c r="K21" s="46"/>
      <c r="L21" s="2"/>
      <c r="M21" s="2"/>
      <c r="N21" s="57"/>
      <c r="O21" s="58"/>
      <c r="P21" s="72"/>
      <c r="Q21" s="58"/>
      <c r="R21" s="56">
        <f t="shared" si="0"/>
        <v>0</v>
      </c>
      <c r="S21" s="65">
        <f t="shared" si="2"/>
        <v>0</v>
      </c>
      <c r="T21" s="54" t="str">
        <f t="shared" si="1"/>
        <v/>
      </c>
    </row>
    <row r="22" spans="1:20">
      <c r="A22" s="41">
        <v>21229071</v>
      </c>
      <c r="B22" s="41">
        <v>8</v>
      </c>
      <c r="C22" s="41" t="s">
        <v>144</v>
      </c>
      <c r="D22" s="42" t="s">
        <v>145</v>
      </c>
      <c r="E22" s="42" t="s">
        <v>146</v>
      </c>
      <c r="F22" s="42" t="s">
        <v>147</v>
      </c>
      <c r="G22" s="39" t="s">
        <v>70</v>
      </c>
      <c r="H22" s="40" t="s">
        <v>71</v>
      </c>
      <c r="I22" s="53">
        <v>45756</v>
      </c>
      <c r="J22" s="45"/>
      <c r="K22" s="57">
        <v>3</v>
      </c>
      <c r="L22" s="58">
        <v>3</v>
      </c>
      <c r="M22" s="58">
        <v>3</v>
      </c>
      <c r="N22" s="57">
        <v>3</v>
      </c>
      <c r="O22" s="58">
        <v>3</v>
      </c>
      <c r="P22" s="72">
        <v>3</v>
      </c>
      <c r="Q22" s="58">
        <v>3</v>
      </c>
      <c r="R22" s="56">
        <f t="shared" si="0"/>
        <v>21</v>
      </c>
      <c r="S22" s="65">
        <f t="shared" si="2"/>
        <v>1</v>
      </c>
      <c r="T22" s="54" t="str">
        <f t="shared" si="1"/>
        <v>ÓPTIMO</v>
      </c>
    </row>
    <row r="23" spans="1:20">
      <c r="A23" s="41">
        <v>21232492</v>
      </c>
      <c r="B23" s="41">
        <v>2</v>
      </c>
      <c r="C23" s="41" t="s">
        <v>148</v>
      </c>
      <c r="D23" s="42" t="s">
        <v>137</v>
      </c>
      <c r="E23" s="42" t="s">
        <v>149</v>
      </c>
      <c r="F23" s="42" t="s">
        <v>69</v>
      </c>
      <c r="G23" s="39" t="s">
        <v>70</v>
      </c>
      <c r="H23" s="40" t="s">
        <v>71</v>
      </c>
      <c r="I23" s="53">
        <v>45756</v>
      </c>
      <c r="J23" s="45"/>
      <c r="K23" s="57">
        <v>3</v>
      </c>
      <c r="L23" s="58">
        <v>3</v>
      </c>
      <c r="M23" s="58">
        <v>3</v>
      </c>
      <c r="N23" s="57">
        <v>3</v>
      </c>
      <c r="O23" s="58">
        <v>2</v>
      </c>
      <c r="P23" s="72">
        <v>3</v>
      </c>
      <c r="Q23" s="58">
        <v>3</v>
      </c>
      <c r="R23" s="56">
        <f t="shared" si="0"/>
        <v>20</v>
      </c>
      <c r="S23" s="65">
        <f t="shared" si="2"/>
        <v>0.95238095238095233</v>
      </c>
      <c r="T23" s="54" t="str">
        <f t="shared" si="1"/>
        <v>ÓPTIMO</v>
      </c>
    </row>
    <row r="24" spans="1:20">
      <c r="A24" s="41">
        <v>21244457</v>
      </c>
      <c r="B24" s="41" t="s">
        <v>115</v>
      </c>
      <c r="C24" s="41" t="s">
        <v>150</v>
      </c>
      <c r="D24" s="42" t="s">
        <v>151</v>
      </c>
      <c r="E24" s="42" t="s">
        <v>152</v>
      </c>
      <c r="F24" s="42" t="s">
        <v>153</v>
      </c>
      <c r="G24" s="39" t="s">
        <v>70</v>
      </c>
      <c r="H24" s="40" t="s">
        <v>71</v>
      </c>
      <c r="I24" s="53">
        <v>45756</v>
      </c>
      <c r="J24" s="45"/>
      <c r="K24" s="57">
        <v>2</v>
      </c>
      <c r="L24" s="58">
        <v>3</v>
      </c>
      <c r="M24" s="58">
        <v>3</v>
      </c>
      <c r="N24" s="57">
        <v>1</v>
      </c>
      <c r="O24" s="58">
        <v>0</v>
      </c>
      <c r="P24" s="72">
        <v>1</v>
      </c>
      <c r="Q24" s="58">
        <v>1</v>
      </c>
      <c r="R24" s="56">
        <f t="shared" si="0"/>
        <v>11</v>
      </c>
      <c r="S24" s="65">
        <f t="shared" si="2"/>
        <v>0.52380952380952384</v>
      </c>
      <c r="T24" s="54" t="str">
        <f t="shared" si="1"/>
        <v>BASE</v>
      </c>
    </row>
    <row r="25" spans="1:20">
      <c r="A25" s="41">
        <v>21300693</v>
      </c>
      <c r="B25" s="41">
        <v>2</v>
      </c>
      <c r="C25" s="41" t="s">
        <v>154</v>
      </c>
      <c r="D25" s="42" t="s">
        <v>155</v>
      </c>
      <c r="E25" s="42" t="s">
        <v>156</v>
      </c>
      <c r="F25" s="42" t="s">
        <v>157</v>
      </c>
      <c r="G25" s="39" t="s">
        <v>70</v>
      </c>
      <c r="H25" s="40" t="s">
        <v>71</v>
      </c>
      <c r="I25" s="53">
        <v>45756</v>
      </c>
      <c r="J25" s="32"/>
      <c r="K25" s="59">
        <v>2</v>
      </c>
      <c r="L25" s="60">
        <v>3</v>
      </c>
      <c r="M25" s="60">
        <v>2</v>
      </c>
      <c r="N25" s="59">
        <v>2</v>
      </c>
      <c r="O25" s="60">
        <v>2</v>
      </c>
      <c r="P25" s="73">
        <v>2</v>
      </c>
      <c r="Q25" s="60">
        <v>2</v>
      </c>
      <c r="R25" s="56">
        <f t="shared" si="0"/>
        <v>15</v>
      </c>
      <c r="S25" s="65">
        <f t="shared" si="2"/>
        <v>0.7142857142857143</v>
      </c>
      <c r="T25" s="54" t="str">
        <f t="shared" si="1"/>
        <v>SATISFACTORIO</v>
      </c>
    </row>
    <row r="26" spans="1:20">
      <c r="A26" s="41">
        <v>21312071</v>
      </c>
      <c r="B26" s="41">
        <v>9</v>
      </c>
      <c r="C26" s="41" t="s">
        <v>158</v>
      </c>
      <c r="D26" s="42" t="s">
        <v>159</v>
      </c>
      <c r="E26" s="42" t="s">
        <v>160</v>
      </c>
      <c r="F26" s="42" t="s">
        <v>161</v>
      </c>
      <c r="G26" s="39" t="s">
        <v>70</v>
      </c>
      <c r="H26" s="40" t="s">
        <v>71</v>
      </c>
      <c r="I26" s="53">
        <v>45756</v>
      </c>
      <c r="J26" s="32"/>
      <c r="K26" s="59">
        <v>3</v>
      </c>
      <c r="L26" s="60">
        <v>3</v>
      </c>
      <c r="M26" s="60">
        <v>3</v>
      </c>
      <c r="N26" s="59">
        <v>3</v>
      </c>
      <c r="O26" s="60">
        <v>2</v>
      </c>
      <c r="P26" s="73">
        <v>2</v>
      </c>
      <c r="Q26" s="60">
        <v>2</v>
      </c>
      <c r="R26" s="56">
        <f t="shared" si="0"/>
        <v>18</v>
      </c>
      <c r="S26" s="65">
        <f t="shared" si="2"/>
        <v>0.8571428571428571</v>
      </c>
      <c r="T26" s="54" t="str">
        <f t="shared" si="1"/>
        <v>ÓPTIMO</v>
      </c>
    </row>
    <row r="27" spans="1:20">
      <c r="A27" s="41">
        <v>21314056</v>
      </c>
      <c r="B27" s="41">
        <v>6</v>
      </c>
      <c r="C27" s="41" t="s">
        <v>162</v>
      </c>
      <c r="D27" s="42" t="s">
        <v>163</v>
      </c>
      <c r="E27" s="42" t="s">
        <v>163</v>
      </c>
      <c r="F27" s="42" t="s">
        <v>164</v>
      </c>
      <c r="G27" s="39" t="s">
        <v>70</v>
      </c>
      <c r="H27" s="40" t="s">
        <v>71</v>
      </c>
      <c r="I27" s="53">
        <v>45756</v>
      </c>
      <c r="J27" s="45"/>
      <c r="K27" s="57">
        <v>3</v>
      </c>
      <c r="L27" s="58">
        <v>3</v>
      </c>
      <c r="M27" s="58">
        <v>3</v>
      </c>
      <c r="N27" s="57">
        <v>3</v>
      </c>
      <c r="O27" s="58">
        <v>1</v>
      </c>
      <c r="P27" s="72">
        <v>2</v>
      </c>
      <c r="Q27" s="58">
        <v>2</v>
      </c>
      <c r="R27" s="56">
        <f t="shared" si="0"/>
        <v>17</v>
      </c>
      <c r="S27" s="65">
        <f t="shared" si="2"/>
        <v>0.80952380952380953</v>
      </c>
      <c r="T27" s="54" t="str">
        <f t="shared" si="1"/>
        <v>SATISFACTORIO</v>
      </c>
    </row>
    <row r="28" spans="1:20">
      <c r="A28" s="41">
        <v>21320898</v>
      </c>
      <c r="B28" s="41">
        <v>5</v>
      </c>
      <c r="C28" s="41" t="s">
        <v>165</v>
      </c>
      <c r="D28" s="42" t="s">
        <v>166</v>
      </c>
      <c r="E28" s="42" t="s">
        <v>167</v>
      </c>
      <c r="F28" s="42" t="s">
        <v>168</v>
      </c>
      <c r="G28" s="68" t="s">
        <v>88</v>
      </c>
      <c r="H28" s="69" t="s">
        <v>89</v>
      </c>
      <c r="I28" s="70">
        <v>45756</v>
      </c>
      <c r="J28" s="45" t="s">
        <v>90</v>
      </c>
      <c r="K28" s="46"/>
      <c r="L28" s="2"/>
      <c r="M28" s="2"/>
      <c r="N28" s="57"/>
      <c r="O28" s="58"/>
      <c r="P28" s="72"/>
      <c r="Q28" s="58"/>
      <c r="R28" s="56">
        <f t="shared" si="0"/>
        <v>0</v>
      </c>
      <c r="S28" s="65">
        <f t="shared" si="2"/>
        <v>0</v>
      </c>
      <c r="T28" s="54" t="str">
        <f t="shared" si="1"/>
        <v/>
      </c>
    </row>
    <row r="29" spans="1:20">
      <c r="A29" s="41">
        <v>21321693</v>
      </c>
      <c r="B29" s="41">
        <v>7</v>
      </c>
      <c r="C29" s="41" t="s">
        <v>169</v>
      </c>
      <c r="D29" s="42" t="s">
        <v>170</v>
      </c>
      <c r="E29" s="42" t="s">
        <v>171</v>
      </c>
      <c r="F29" s="42" t="s">
        <v>172</v>
      </c>
      <c r="G29" s="39" t="s">
        <v>70</v>
      </c>
      <c r="H29" s="40" t="s">
        <v>71</v>
      </c>
      <c r="I29" s="53">
        <v>45756</v>
      </c>
      <c r="J29" s="45"/>
      <c r="K29" s="57">
        <v>2</v>
      </c>
      <c r="L29" s="58">
        <v>2</v>
      </c>
      <c r="M29" s="58">
        <v>2</v>
      </c>
      <c r="N29" s="57">
        <v>2</v>
      </c>
      <c r="O29" s="58">
        <v>3</v>
      </c>
      <c r="P29" s="72">
        <v>1</v>
      </c>
      <c r="Q29" s="58">
        <v>2</v>
      </c>
      <c r="R29" s="56">
        <f t="shared" si="0"/>
        <v>14</v>
      </c>
      <c r="S29" s="65">
        <f t="shared" si="2"/>
        <v>0.66666666666666663</v>
      </c>
      <c r="T29" s="54" t="str">
        <f t="shared" si="1"/>
        <v>SATISFACTORIO</v>
      </c>
    </row>
    <row r="30" spans="1:20">
      <c r="A30" s="41">
        <v>21335867</v>
      </c>
      <c r="B30" s="41">
        <v>7</v>
      </c>
      <c r="C30" s="41" t="s">
        <v>173</v>
      </c>
      <c r="D30" s="42" t="s">
        <v>174</v>
      </c>
      <c r="E30" s="42" t="s">
        <v>175</v>
      </c>
      <c r="F30" s="42" t="s">
        <v>176</v>
      </c>
      <c r="G30" s="39" t="s">
        <v>70</v>
      </c>
      <c r="H30" s="40" t="s">
        <v>71</v>
      </c>
      <c r="I30" s="53">
        <v>45756</v>
      </c>
      <c r="J30" s="45"/>
      <c r="K30" s="57">
        <v>0</v>
      </c>
      <c r="L30" s="58">
        <v>0</v>
      </c>
      <c r="M30" s="58">
        <v>0</v>
      </c>
      <c r="N30" s="57">
        <v>2</v>
      </c>
      <c r="O30" s="58">
        <v>0</v>
      </c>
      <c r="P30" s="72">
        <v>0</v>
      </c>
      <c r="Q30" s="58">
        <v>2</v>
      </c>
      <c r="R30" s="56">
        <f t="shared" si="0"/>
        <v>4</v>
      </c>
      <c r="S30" s="65">
        <f t="shared" si="2"/>
        <v>0.19047619047619047</v>
      </c>
      <c r="T30" s="54" t="str">
        <f t="shared" si="1"/>
        <v>NECESITA MEJORAR</v>
      </c>
    </row>
    <row r="31" spans="1:20">
      <c r="A31" s="41">
        <v>21402070</v>
      </c>
      <c r="B31" s="41" t="s">
        <v>115</v>
      </c>
      <c r="C31" s="41" t="s">
        <v>177</v>
      </c>
      <c r="D31" s="42" t="s">
        <v>129</v>
      </c>
      <c r="E31" s="42" t="s">
        <v>178</v>
      </c>
      <c r="F31" s="42" t="s">
        <v>179</v>
      </c>
      <c r="G31" s="39" t="s">
        <v>70</v>
      </c>
      <c r="H31" s="40" t="s">
        <v>71</v>
      </c>
      <c r="I31" s="53">
        <v>45756</v>
      </c>
      <c r="J31" s="45"/>
      <c r="K31" s="57">
        <v>1</v>
      </c>
      <c r="L31" s="58">
        <v>2</v>
      </c>
      <c r="M31" s="58">
        <v>1</v>
      </c>
      <c r="N31" s="57">
        <v>3</v>
      </c>
      <c r="O31" s="58">
        <v>2</v>
      </c>
      <c r="P31" s="72">
        <v>2</v>
      </c>
      <c r="Q31" s="58">
        <v>3</v>
      </c>
      <c r="R31" s="56">
        <f t="shared" si="0"/>
        <v>14</v>
      </c>
      <c r="S31" s="65">
        <f t="shared" si="2"/>
        <v>0.66666666666666663</v>
      </c>
      <c r="T31" s="54" t="str">
        <f t="shared" si="1"/>
        <v>SATISFACTORIO</v>
      </c>
    </row>
    <row r="32" spans="1:20">
      <c r="A32" s="41">
        <v>21407404</v>
      </c>
      <c r="B32" s="41">
        <v>4</v>
      </c>
      <c r="C32" s="41" t="s">
        <v>180</v>
      </c>
      <c r="D32" s="42" t="s">
        <v>181</v>
      </c>
      <c r="E32" s="42" t="s">
        <v>182</v>
      </c>
      <c r="F32" s="42" t="s">
        <v>183</v>
      </c>
      <c r="G32" s="39" t="s">
        <v>70</v>
      </c>
      <c r="H32" s="40" t="s">
        <v>71</v>
      </c>
      <c r="I32" s="53">
        <v>45756</v>
      </c>
      <c r="J32" s="45"/>
      <c r="K32" s="57">
        <v>2</v>
      </c>
      <c r="L32" s="58">
        <v>3</v>
      </c>
      <c r="M32" s="58">
        <v>2</v>
      </c>
      <c r="N32" s="57">
        <v>3</v>
      </c>
      <c r="O32" s="58">
        <v>3</v>
      </c>
      <c r="P32" s="72">
        <v>3</v>
      </c>
      <c r="Q32" s="58">
        <v>3</v>
      </c>
      <c r="R32" s="56">
        <f t="shared" si="0"/>
        <v>19</v>
      </c>
      <c r="S32" s="65">
        <f t="shared" si="2"/>
        <v>0.90476190476190477</v>
      </c>
      <c r="T32" s="54" t="str">
        <f t="shared" si="1"/>
        <v>ÓPTIMO</v>
      </c>
    </row>
    <row r="33" spans="1:20">
      <c r="A33" s="41">
        <v>21410242</v>
      </c>
      <c r="B33" s="41">
        <v>0</v>
      </c>
      <c r="C33" s="41" t="s">
        <v>184</v>
      </c>
      <c r="D33" s="42" t="s">
        <v>129</v>
      </c>
      <c r="E33" s="42" t="s">
        <v>185</v>
      </c>
      <c r="F33" s="42" t="s">
        <v>186</v>
      </c>
      <c r="G33" s="39" t="s">
        <v>70</v>
      </c>
      <c r="H33" s="40" t="s">
        <v>71</v>
      </c>
      <c r="I33" s="53">
        <v>45756</v>
      </c>
      <c r="J33" s="45"/>
      <c r="K33" s="57">
        <v>2</v>
      </c>
      <c r="L33" s="58">
        <v>3</v>
      </c>
      <c r="M33" s="58">
        <v>3</v>
      </c>
      <c r="N33" s="57">
        <v>3</v>
      </c>
      <c r="O33" s="58">
        <v>3</v>
      </c>
      <c r="P33" s="72">
        <v>3</v>
      </c>
      <c r="Q33" s="58">
        <v>3</v>
      </c>
      <c r="R33" s="56">
        <f t="shared" si="0"/>
        <v>20</v>
      </c>
      <c r="S33" s="65">
        <f t="shared" si="2"/>
        <v>0.95238095238095233</v>
      </c>
      <c r="T33" s="54" t="str">
        <f t="shared" si="1"/>
        <v>ÓPTIMO</v>
      </c>
    </row>
    <row r="34" spans="1:20">
      <c r="A34" s="41">
        <v>21412779</v>
      </c>
      <c r="B34" s="41">
        <v>2</v>
      </c>
      <c r="C34" s="41" t="s">
        <v>187</v>
      </c>
      <c r="D34" s="42" t="s">
        <v>188</v>
      </c>
      <c r="E34" s="42" t="s">
        <v>189</v>
      </c>
      <c r="F34" s="42" t="s">
        <v>190</v>
      </c>
      <c r="G34" s="39" t="s">
        <v>70</v>
      </c>
      <c r="H34" s="40" t="s">
        <v>71</v>
      </c>
      <c r="I34" s="53">
        <v>45756</v>
      </c>
      <c r="J34" s="45"/>
      <c r="K34" s="57">
        <v>1</v>
      </c>
      <c r="L34" s="58">
        <v>2</v>
      </c>
      <c r="M34" s="58">
        <v>1</v>
      </c>
      <c r="N34" s="57">
        <v>2</v>
      </c>
      <c r="O34" s="58">
        <v>1</v>
      </c>
      <c r="P34" s="72">
        <v>1</v>
      </c>
      <c r="Q34" s="58">
        <v>2</v>
      </c>
      <c r="R34" s="56">
        <f t="shared" si="0"/>
        <v>10</v>
      </c>
      <c r="S34" s="65">
        <f t="shared" si="2"/>
        <v>0.47619047619047616</v>
      </c>
      <c r="T34" s="54" t="str">
        <f t="shared" si="1"/>
        <v>NECESITA MEJORAR</v>
      </c>
    </row>
    <row r="35" spans="1:20">
      <c r="A35" s="41">
        <v>21438029</v>
      </c>
      <c r="B35" s="41">
        <v>3</v>
      </c>
      <c r="C35" s="41" t="s">
        <v>191</v>
      </c>
      <c r="D35" s="42" t="s">
        <v>192</v>
      </c>
      <c r="E35" s="42" t="s">
        <v>193</v>
      </c>
      <c r="F35" s="42" t="s">
        <v>194</v>
      </c>
      <c r="G35" s="68" t="s">
        <v>88</v>
      </c>
      <c r="H35" s="69" t="s">
        <v>89</v>
      </c>
      <c r="I35" s="70">
        <v>45756</v>
      </c>
      <c r="J35" s="45" t="s">
        <v>90</v>
      </c>
      <c r="K35" s="46"/>
      <c r="L35" s="2"/>
      <c r="M35" s="2"/>
      <c r="N35" s="57"/>
      <c r="O35" s="58"/>
      <c r="P35" s="72"/>
      <c r="Q35" s="58"/>
      <c r="R35" s="56">
        <f t="shared" si="0"/>
        <v>0</v>
      </c>
      <c r="S35" s="65">
        <f t="shared" si="2"/>
        <v>0</v>
      </c>
      <c r="T35" s="54" t="str">
        <f t="shared" si="1"/>
        <v/>
      </c>
    </row>
    <row r="36" spans="1:20">
      <c r="A36" s="41">
        <v>21447449</v>
      </c>
      <c r="B36" s="41">
        <v>2</v>
      </c>
      <c r="C36" s="41" t="s">
        <v>195</v>
      </c>
      <c r="D36" s="42" t="s">
        <v>196</v>
      </c>
      <c r="E36" s="42" t="s">
        <v>197</v>
      </c>
      <c r="F36" s="42" t="s">
        <v>198</v>
      </c>
      <c r="G36" s="39" t="s">
        <v>70</v>
      </c>
      <c r="H36" s="40" t="s">
        <v>71</v>
      </c>
      <c r="I36" s="53">
        <v>45756</v>
      </c>
      <c r="J36" s="45"/>
      <c r="K36" s="57">
        <v>3</v>
      </c>
      <c r="L36" s="58">
        <v>3</v>
      </c>
      <c r="M36" s="58">
        <v>3</v>
      </c>
      <c r="N36" s="57">
        <v>3</v>
      </c>
      <c r="O36" s="58">
        <v>3</v>
      </c>
      <c r="P36" s="72">
        <v>3</v>
      </c>
      <c r="Q36" s="58">
        <v>3</v>
      </c>
      <c r="R36" s="56">
        <f t="shared" si="0"/>
        <v>21</v>
      </c>
      <c r="S36" s="65">
        <f t="shared" si="2"/>
        <v>1</v>
      </c>
      <c r="T36" s="54" t="str">
        <f t="shared" si="1"/>
        <v>ÓPTIMO</v>
      </c>
    </row>
    <row r="37" spans="1:20">
      <c r="A37" s="41">
        <v>21480788</v>
      </c>
      <c r="B37" s="41">
        <v>2</v>
      </c>
      <c r="C37" s="41" t="s">
        <v>199</v>
      </c>
      <c r="D37" s="42" t="s">
        <v>200</v>
      </c>
      <c r="E37" s="42" t="s">
        <v>201</v>
      </c>
      <c r="F37" s="42" t="s">
        <v>202</v>
      </c>
      <c r="G37" s="39" t="s">
        <v>70</v>
      </c>
      <c r="H37" s="40" t="s">
        <v>71</v>
      </c>
      <c r="I37" s="53">
        <v>45756</v>
      </c>
      <c r="J37" s="45"/>
      <c r="K37" s="57">
        <v>1</v>
      </c>
      <c r="L37" s="58">
        <v>2</v>
      </c>
      <c r="M37" s="58">
        <v>1</v>
      </c>
      <c r="N37" s="57">
        <v>2</v>
      </c>
      <c r="O37" s="58">
        <v>0</v>
      </c>
      <c r="P37" s="72">
        <v>2</v>
      </c>
      <c r="Q37" s="58">
        <v>2</v>
      </c>
      <c r="R37" s="56">
        <f t="shared" si="0"/>
        <v>10</v>
      </c>
      <c r="S37" s="65">
        <f t="shared" si="2"/>
        <v>0.47619047619047616</v>
      </c>
      <c r="T37" s="54" t="str">
        <f t="shared" si="1"/>
        <v>NECESITA MEJORAR</v>
      </c>
    </row>
    <row r="38" spans="1:20">
      <c r="A38" s="41">
        <v>21487394</v>
      </c>
      <c r="B38" s="41" t="s">
        <v>115</v>
      </c>
      <c r="C38" s="41" t="s">
        <v>203</v>
      </c>
      <c r="D38" s="42" t="s">
        <v>204</v>
      </c>
      <c r="E38" s="42" t="s">
        <v>205</v>
      </c>
      <c r="F38" s="42" t="s">
        <v>206</v>
      </c>
      <c r="G38" s="39" t="s">
        <v>70</v>
      </c>
      <c r="H38" s="40" t="s">
        <v>71</v>
      </c>
      <c r="I38" s="53">
        <v>45756</v>
      </c>
      <c r="J38" s="45"/>
      <c r="K38" s="57">
        <v>1</v>
      </c>
      <c r="L38" s="58">
        <v>2</v>
      </c>
      <c r="M38" s="58">
        <v>1</v>
      </c>
      <c r="N38" s="57">
        <v>2</v>
      </c>
      <c r="O38" s="58">
        <v>2</v>
      </c>
      <c r="P38" s="72">
        <v>1</v>
      </c>
      <c r="Q38" s="58">
        <v>2</v>
      </c>
      <c r="R38" s="56">
        <f t="shared" si="0"/>
        <v>11</v>
      </c>
      <c r="S38" s="65">
        <f t="shared" si="2"/>
        <v>0.52380952380952384</v>
      </c>
      <c r="T38" s="54" t="str">
        <f t="shared" si="1"/>
        <v>BASE</v>
      </c>
    </row>
    <row r="39" spans="1:20">
      <c r="A39" s="41">
        <v>21487988</v>
      </c>
      <c r="B39" s="41">
        <v>3</v>
      </c>
      <c r="C39" s="41" t="s">
        <v>207</v>
      </c>
      <c r="D39" s="42" t="s">
        <v>208</v>
      </c>
      <c r="E39" s="42" t="s">
        <v>209</v>
      </c>
      <c r="F39" s="42" t="s">
        <v>98</v>
      </c>
      <c r="G39" s="39" t="s">
        <v>70</v>
      </c>
      <c r="H39" s="40" t="s">
        <v>71</v>
      </c>
      <c r="I39" s="53">
        <v>45756</v>
      </c>
      <c r="J39" s="45"/>
      <c r="K39" s="57">
        <v>1</v>
      </c>
      <c r="L39" s="58">
        <v>1</v>
      </c>
      <c r="M39" s="58">
        <v>1</v>
      </c>
      <c r="N39" s="57">
        <v>2</v>
      </c>
      <c r="O39" s="58">
        <v>0</v>
      </c>
      <c r="P39" s="72">
        <v>1</v>
      </c>
      <c r="Q39" s="58">
        <v>2</v>
      </c>
      <c r="R39" s="56">
        <f t="shared" si="0"/>
        <v>8</v>
      </c>
      <c r="S39" s="65">
        <f t="shared" si="2"/>
        <v>0.38095238095238093</v>
      </c>
      <c r="T39" s="54" t="str">
        <f t="shared" si="1"/>
        <v>NECESITA MEJORAR</v>
      </c>
    </row>
    <row r="40" spans="1:20">
      <c r="A40" s="41">
        <v>21491486</v>
      </c>
      <c r="B40" s="41">
        <v>7</v>
      </c>
      <c r="C40" s="41" t="s">
        <v>210</v>
      </c>
      <c r="D40" s="42" t="s">
        <v>141</v>
      </c>
      <c r="E40" s="42" t="s">
        <v>211</v>
      </c>
      <c r="F40" s="42" t="s">
        <v>212</v>
      </c>
      <c r="G40" s="39" t="s">
        <v>70</v>
      </c>
      <c r="H40" s="40" t="s">
        <v>71</v>
      </c>
      <c r="I40" s="53">
        <v>45756</v>
      </c>
      <c r="J40" s="32"/>
      <c r="K40" s="59">
        <v>1</v>
      </c>
      <c r="L40" s="60">
        <v>2</v>
      </c>
      <c r="M40" s="60">
        <v>1</v>
      </c>
      <c r="N40" s="59">
        <v>3</v>
      </c>
      <c r="O40" s="60">
        <v>1</v>
      </c>
      <c r="P40" s="73">
        <v>1</v>
      </c>
      <c r="Q40" s="60">
        <v>2</v>
      </c>
      <c r="R40" s="56">
        <f t="shared" si="0"/>
        <v>11</v>
      </c>
      <c r="S40" s="65">
        <f t="shared" si="2"/>
        <v>0.52380952380952384</v>
      </c>
      <c r="T40" s="54" t="str">
        <f t="shared" si="1"/>
        <v>BASE</v>
      </c>
    </row>
    <row r="41" spans="1:20">
      <c r="A41" s="41">
        <v>21495187</v>
      </c>
      <c r="B41" s="41">
        <v>8</v>
      </c>
      <c r="C41" s="41" t="s">
        <v>213</v>
      </c>
      <c r="D41" s="42" t="s">
        <v>214</v>
      </c>
      <c r="E41" s="42" t="s">
        <v>215</v>
      </c>
      <c r="F41" s="42" t="s">
        <v>216</v>
      </c>
      <c r="G41" s="39" t="s">
        <v>70</v>
      </c>
      <c r="H41" s="40" t="s">
        <v>71</v>
      </c>
      <c r="I41" s="53">
        <v>45756</v>
      </c>
      <c r="J41" s="45"/>
      <c r="K41" s="57">
        <v>1</v>
      </c>
      <c r="L41" s="58">
        <v>2</v>
      </c>
      <c r="M41" s="58">
        <v>1</v>
      </c>
      <c r="N41" s="57">
        <v>0</v>
      </c>
      <c r="O41" s="58">
        <v>0</v>
      </c>
      <c r="P41" s="72">
        <v>0</v>
      </c>
      <c r="Q41" s="58">
        <v>0</v>
      </c>
      <c r="R41" s="56">
        <f t="shared" si="0"/>
        <v>4</v>
      </c>
      <c r="S41" s="65">
        <f t="shared" si="2"/>
        <v>0.19047619047619047</v>
      </c>
      <c r="T41" s="54" t="str">
        <f t="shared" si="1"/>
        <v>NECESITA MEJORAR</v>
      </c>
    </row>
    <row r="42" spans="1:20">
      <c r="A42" s="41">
        <v>21496814</v>
      </c>
      <c r="B42" s="41">
        <v>2</v>
      </c>
      <c r="C42" s="41" t="s">
        <v>217</v>
      </c>
      <c r="D42" s="42" t="s">
        <v>218</v>
      </c>
      <c r="E42" s="42" t="s">
        <v>108</v>
      </c>
      <c r="F42" s="42" t="s">
        <v>219</v>
      </c>
      <c r="G42" s="39" t="s">
        <v>70</v>
      </c>
      <c r="H42" s="40" t="s">
        <v>71</v>
      </c>
      <c r="I42" s="53">
        <v>45756</v>
      </c>
      <c r="J42" s="45"/>
      <c r="K42" s="57">
        <v>3</v>
      </c>
      <c r="L42" s="58">
        <v>3</v>
      </c>
      <c r="M42" s="58">
        <v>3</v>
      </c>
      <c r="N42" s="57">
        <v>3</v>
      </c>
      <c r="O42" s="58">
        <v>3</v>
      </c>
      <c r="P42" s="72">
        <v>3</v>
      </c>
      <c r="Q42" s="58">
        <v>3</v>
      </c>
      <c r="R42" s="56">
        <f t="shared" si="0"/>
        <v>21</v>
      </c>
      <c r="S42" s="65">
        <f t="shared" si="2"/>
        <v>1</v>
      </c>
      <c r="T42" s="54" t="str">
        <f t="shared" si="1"/>
        <v>ÓPTIMO</v>
      </c>
    </row>
    <row r="43" spans="1:20">
      <c r="A43" s="41">
        <v>21497821</v>
      </c>
      <c r="B43" s="41">
        <v>0</v>
      </c>
      <c r="C43" s="41" t="s">
        <v>220</v>
      </c>
      <c r="D43" s="42" t="s">
        <v>221</v>
      </c>
      <c r="E43" s="42" t="s">
        <v>222</v>
      </c>
      <c r="F43" s="42" t="s">
        <v>223</v>
      </c>
      <c r="G43" s="39" t="s">
        <v>70</v>
      </c>
      <c r="H43" s="40" t="s">
        <v>71</v>
      </c>
      <c r="I43" s="53">
        <v>45756</v>
      </c>
      <c r="J43" s="45"/>
      <c r="K43" s="57">
        <v>3</v>
      </c>
      <c r="L43" s="58">
        <v>3</v>
      </c>
      <c r="M43" s="58">
        <v>3</v>
      </c>
      <c r="N43" s="57">
        <v>3</v>
      </c>
      <c r="O43" s="58">
        <v>3</v>
      </c>
      <c r="P43" s="72">
        <v>3</v>
      </c>
      <c r="Q43" s="58">
        <v>3</v>
      </c>
      <c r="R43" s="56">
        <f t="shared" si="0"/>
        <v>21</v>
      </c>
      <c r="S43" s="65">
        <f t="shared" si="2"/>
        <v>1</v>
      </c>
      <c r="T43" s="54" t="str">
        <f t="shared" si="1"/>
        <v>ÓPTIMO</v>
      </c>
    </row>
    <row r="44" spans="1:20">
      <c r="A44" s="41">
        <v>21503037</v>
      </c>
      <c r="B44" s="41">
        <v>7</v>
      </c>
      <c r="C44" s="41" t="s">
        <v>224</v>
      </c>
      <c r="D44" s="42" t="s">
        <v>225</v>
      </c>
      <c r="E44" s="42" t="s">
        <v>226</v>
      </c>
      <c r="F44" s="42" t="s">
        <v>227</v>
      </c>
      <c r="G44" s="39" t="s">
        <v>70</v>
      </c>
      <c r="H44" s="40" t="s">
        <v>71</v>
      </c>
      <c r="I44" s="53">
        <v>45756</v>
      </c>
      <c r="J44" s="45"/>
      <c r="K44" s="57">
        <v>0</v>
      </c>
      <c r="L44" s="58">
        <v>0</v>
      </c>
      <c r="M44" s="58">
        <v>0</v>
      </c>
      <c r="N44" s="57">
        <v>1</v>
      </c>
      <c r="O44" s="58">
        <v>0</v>
      </c>
      <c r="P44" s="72">
        <v>0</v>
      </c>
      <c r="Q44" s="58">
        <v>1</v>
      </c>
      <c r="R44" s="56">
        <f t="shared" si="0"/>
        <v>2</v>
      </c>
      <c r="S44" s="65">
        <f t="shared" si="2"/>
        <v>9.5238095238095233E-2</v>
      </c>
      <c r="T44" s="54" t="str">
        <f t="shared" si="1"/>
        <v>NECESITA MEJORAR</v>
      </c>
    </row>
    <row r="45" spans="1:20">
      <c r="A45" s="41">
        <v>21508263</v>
      </c>
      <c r="B45" s="41">
        <v>6</v>
      </c>
      <c r="C45" s="41" t="s">
        <v>228</v>
      </c>
      <c r="D45" s="42" t="s">
        <v>229</v>
      </c>
      <c r="E45" s="42" t="s">
        <v>230</v>
      </c>
      <c r="F45" s="42" t="s">
        <v>231</v>
      </c>
      <c r="G45" s="39" t="s">
        <v>70</v>
      </c>
      <c r="H45" s="40" t="s">
        <v>71</v>
      </c>
      <c r="I45" s="53">
        <v>45756</v>
      </c>
      <c r="J45" s="45"/>
      <c r="K45" s="57">
        <v>0</v>
      </c>
      <c r="L45" s="58">
        <v>0</v>
      </c>
      <c r="M45" s="58">
        <v>0</v>
      </c>
      <c r="N45" s="57">
        <v>2</v>
      </c>
      <c r="O45" s="58">
        <v>3</v>
      </c>
      <c r="P45" s="72">
        <v>2</v>
      </c>
      <c r="Q45" s="58">
        <v>2</v>
      </c>
      <c r="R45" s="56">
        <f t="shared" si="0"/>
        <v>9</v>
      </c>
      <c r="S45" s="65">
        <f t="shared" si="2"/>
        <v>0.42857142857142855</v>
      </c>
      <c r="T45" s="54" t="str">
        <f t="shared" si="1"/>
        <v>NECESITA MEJORAR</v>
      </c>
    </row>
    <row r="46" spans="1:20">
      <c r="A46" s="41">
        <v>21512742</v>
      </c>
      <c r="B46" s="41">
        <v>7</v>
      </c>
      <c r="C46" s="41" t="s">
        <v>232</v>
      </c>
      <c r="D46" s="42" t="s">
        <v>233</v>
      </c>
      <c r="E46" s="42" t="s">
        <v>234</v>
      </c>
      <c r="F46" s="42" t="s">
        <v>235</v>
      </c>
      <c r="G46" s="39" t="s">
        <v>70</v>
      </c>
      <c r="H46" s="40" t="s">
        <v>71</v>
      </c>
      <c r="I46" s="53">
        <v>45756</v>
      </c>
      <c r="J46" s="45"/>
      <c r="K46" s="57">
        <v>3</v>
      </c>
      <c r="L46" s="58">
        <v>3</v>
      </c>
      <c r="M46" s="58">
        <v>3</v>
      </c>
      <c r="N46" s="57">
        <v>3</v>
      </c>
      <c r="O46" s="58">
        <v>3</v>
      </c>
      <c r="P46" s="72">
        <v>3</v>
      </c>
      <c r="Q46" s="58">
        <v>3</v>
      </c>
      <c r="R46" s="56">
        <f t="shared" si="0"/>
        <v>21</v>
      </c>
      <c r="S46" s="65">
        <f t="shared" si="2"/>
        <v>1</v>
      </c>
      <c r="T46" s="54" t="str">
        <f t="shared" si="1"/>
        <v>ÓPTIMO</v>
      </c>
    </row>
    <row r="47" spans="1:20">
      <c r="A47" s="41">
        <v>21517635</v>
      </c>
      <c r="B47" s="41">
        <v>5</v>
      </c>
      <c r="C47" s="41" t="s">
        <v>236</v>
      </c>
      <c r="D47" s="42" t="s">
        <v>96</v>
      </c>
      <c r="E47" s="42" t="s">
        <v>237</v>
      </c>
      <c r="F47" s="42" t="s">
        <v>238</v>
      </c>
      <c r="G47" s="39" t="s">
        <v>70</v>
      </c>
      <c r="H47" s="40" t="s">
        <v>71</v>
      </c>
      <c r="I47" s="53">
        <v>45756</v>
      </c>
      <c r="J47" s="45"/>
      <c r="K47" s="57">
        <v>3</v>
      </c>
      <c r="L47" s="58">
        <v>3</v>
      </c>
      <c r="M47" s="58">
        <v>3</v>
      </c>
      <c r="N47" s="57">
        <v>2</v>
      </c>
      <c r="O47" s="58">
        <v>0</v>
      </c>
      <c r="P47" s="72">
        <v>2</v>
      </c>
      <c r="Q47" s="58">
        <v>2</v>
      </c>
      <c r="R47" s="56">
        <f t="shared" si="0"/>
        <v>15</v>
      </c>
      <c r="S47" s="65">
        <f t="shared" si="2"/>
        <v>0.7142857142857143</v>
      </c>
      <c r="T47" s="54" t="str">
        <f t="shared" si="1"/>
        <v>SATISFACTORIO</v>
      </c>
    </row>
    <row r="48" spans="1:20">
      <c r="A48" s="41">
        <v>21531309</v>
      </c>
      <c r="B48" s="41">
        <v>3</v>
      </c>
      <c r="C48" s="41" t="s">
        <v>239</v>
      </c>
      <c r="D48" s="42" t="s">
        <v>240</v>
      </c>
      <c r="E48" s="42" t="s">
        <v>241</v>
      </c>
      <c r="F48" s="42" t="s">
        <v>242</v>
      </c>
      <c r="G48" s="39" t="s">
        <v>70</v>
      </c>
      <c r="H48" s="40" t="s">
        <v>71</v>
      </c>
      <c r="I48" s="53">
        <v>45756</v>
      </c>
      <c r="J48" s="32"/>
      <c r="K48" s="57">
        <v>3</v>
      </c>
      <c r="L48" s="58">
        <v>3</v>
      </c>
      <c r="M48" s="58">
        <v>3</v>
      </c>
      <c r="N48" s="59">
        <v>3</v>
      </c>
      <c r="O48" s="60">
        <v>3</v>
      </c>
      <c r="P48" s="73">
        <v>2</v>
      </c>
      <c r="Q48" s="60">
        <v>3</v>
      </c>
      <c r="R48" s="56">
        <f t="shared" si="0"/>
        <v>20</v>
      </c>
      <c r="S48" s="65">
        <f t="shared" si="2"/>
        <v>0.95238095238095233</v>
      </c>
      <c r="T48" s="54" t="str">
        <f t="shared" si="1"/>
        <v>ÓPTIMO</v>
      </c>
    </row>
    <row r="49" spans="1:20">
      <c r="A49" s="41">
        <v>21535927</v>
      </c>
      <c r="B49" s="41">
        <v>1</v>
      </c>
      <c r="C49" s="41" t="s">
        <v>243</v>
      </c>
      <c r="D49" s="42" t="s">
        <v>244</v>
      </c>
      <c r="E49" s="42" t="s">
        <v>245</v>
      </c>
      <c r="F49" s="42" t="s">
        <v>246</v>
      </c>
      <c r="G49" s="39" t="s">
        <v>70</v>
      </c>
      <c r="H49" s="40" t="s">
        <v>71</v>
      </c>
      <c r="I49" s="53">
        <v>45756</v>
      </c>
      <c r="J49" s="45"/>
      <c r="K49" s="57">
        <v>0</v>
      </c>
      <c r="L49" s="58">
        <v>0</v>
      </c>
      <c r="M49" s="58">
        <v>0</v>
      </c>
      <c r="N49" s="57">
        <v>0</v>
      </c>
      <c r="O49" s="58">
        <v>0</v>
      </c>
      <c r="P49" s="72">
        <v>0</v>
      </c>
      <c r="Q49" s="58">
        <v>0</v>
      </c>
      <c r="R49" s="56">
        <f t="shared" si="0"/>
        <v>0</v>
      </c>
      <c r="S49" s="65">
        <f t="shared" si="2"/>
        <v>0</v>
      </c>
      <c r="T49" s="54" t="str">
        <f t="shared" si="1"/>
        <v/>
      </c>
    </row>
    <row r="50" spans="1:20">
      <c r="A50" s="41">
        <v>21548491</v>
      </c>
      <c r="B50" s="41">
        <v>2</v>
      </c>
      <c r="C50" s="41" t="s">
        <v>247</v>
      </c>
      <c r="D50" s="42" t="s">
        <v>248</v>
      </c>
      <c r="E50" s="42" t="s">
        <v>249</v>
      </c>
      <c r="F50" s="42" t="s">
        <v>250</v>
      </c>
      <c r="G50" s="39" t="s">
        <v>70</v>
      </c>
      <c r="H50" s="40" t="s">
        <v>71</v>
      </c>
      <c r="I50" s="53">
        <v>45756</v>
      </c>
      <c r="J50" s="45"/>
      <c r="K50" s="57">
        <v>2</v>
      </c>
      <c r="L50" s="58">
        <v>3</v>
      </c>
      <c r="M50" s="58">
        <v>2</v>
      </c>
      <c r="N50" s="57">
        <v>3</v>
      </c>
      <c r="O50" s="58">
        <v>3</v>
      </c>
      <c r="P50" s="72">
        <v>3</v>
      </c>
      <c r="Q50" s="58">
        <v>3</v>
      </c>
      <c r="R50" s="56">
        <f t="shared" si="0"/>
        <v>19</v>
      </c>
      <c r="S50" s="65">
        <f t="shared" si="2"/>
        <v>0.90476190476190477</v>
      </c>
      <c r="T50" s="54" t="str">
        <f t="shared" si="1"/>
        <v>ÓPTIMO</v>
      </c>
    </row>
    <row r="51" spans="1:20">
      <c r="A51" s="41">
        <v>21553242</v>
      </c>
      <c r="B51" s="41">
        <v>9</v>
      </c>
      <c r="C51" s="41" t="s">
        <v>251</v>
      </c>
      <c r="D51" s="42" t="s">
        <v>252</v>
      </c>
      <c r="E51" s="42" t="s">
        <v>233</v>
      </c>
      <c r="F51" s="42" t="s">
        <v>253</v>
      </c>
      <c r="G51" s="39" t="s">
        <v>70</v>
      </c>
      <c r="H51" s="40" t="s">
        <v>71</v>
      </c>
      <c r="I51" s="53">
        <v>45756</v>
      </c>
      <c r="J51" s="45"/>
      <c r="K51" s="57">
        <v>0</v>
      </c>
      <c r="L51" s="58">
        <v>0</v>
      </c>
      <c r="M51" s="58">
        <v>0</v>
      </c>
      <c r="N51" s="57">
        <v>3</v>
      </c>
      <c r="O51" s="58">
        <v>0</v>
      </c>
      <c r="P51" s="72">
        <v>3</v>
      </c>
      <c r="Q51" s="58">
        <v>3</v>
      </c>
      <c r="R51" s="56">
        <f t="shared" si="0"/>
        <v>9</v>
      </c>
      <c r="S51" s="65">
        <f t="shared" si="2"/>
        <v>0.42857142857142855</v>
      </c>
      <c r="T51" s="54" t="str">
        <f t="shared" si="1"/>
        <v>NECESITA MEJORAR</v>
      </c>
    </row>
    <row r="52" spans="1:20">
      <c r="A52" s="41">
        <v>21553630</v>
      </c>
      <c r="B52" s="41">
        <v>0</v>
      </c>
      <c r="C52" s="41" t="s">
        <v>254</v>
      </c>
      <c r="D52" s="42" t="s">
        <v>255</v>
      </c>
      <c r="E52" s="42" t="s">
        <v>256</v>
      </c>
      <c r="F52" s="42" t="s">
        <v>257</v>
      </c>
      <c r="G52" s="68" t="s">
        <v>88</v>
      </c>
      <c r="H52" s="69" t="s">
        <v>89</v>
      </c>
      <c r="I52" s="70">
        <v>45756</v>
      </c>
      <c r="J52" s="45" t="s">
        <v>90</v>
      </c>
      <c r="K52" s="46"/>
      <c r="L52" s="2"/>
      <c r="M52" s="2"/>
      <c r="N52" s="57"/>
      <c r="O52" s="58"/>
      <c r="P52" s="72"/>
      <c r="Q52" s="58"/>
      <c r="R52" s="56">
        <f t="shared" si="0"/>
        <v>0</v>
      </c>
      <c r="S52" s="65">
        <f t="shared" si="2"/>
        <v>0</v>
      </c>
      <c r="T52" s="54" t="str">
        <f t="shared" si="1"/>
        <v/>
      </c>
    </row>
    <row r="53" spans="1:20">
      <c r="A53" s="41">
        <v>21564475</v>
      </c>
      <c r="B53" s="41">
        <v>8</v>
      </c>
      <c r="C53" s="41" t="s">
        <v>258</v>
      </c>
      <c r="D53" s="42" t="s">
        <v>130</v>
      </c>
      <c r="E53" s="42" t="s">
        <v>141</v>
      </c>
      <c r="F53" s="42" t="s">
        <v>259</v>
      </c>
      <c r="G53" s="39" t="s">
        <v>70</v>
      </c>
      <c r="H53" s="40" t="s">
        <v>71</v>
      </c>
      <c r="I53" s="53">
        <v>45756</v>
      </c>
      <c r="J53" s="45"/>
      <c r="K53" s="57">
        <v>3</v>
      </c>
      <c r="L53" s="58">
        <v>3</v>
      </c>
      <c r="M53" s="58">
        <v>2</v>
      </c>
      <c r="N53" s="57">
        <v>2</v>
      </c>
      <c r="O53" s="58">
        <v>2</v>
      </c>
      <c r="P53" s="72">
        <v>2</v>
      </c>
      <c r="Q53" s="58">
        <v>1</v>
      </c>
      <c r="R53" s="56">
        <f t="shared" si="0"/>
        <v>15</v>
      </c>
      <c r="S53" s="65">
        <f t="shared" si="2"/>
        <v>0.7142857142857143</v>
      </c>
      <c r="T53" s="54" t="str">
        <f t="shared" si="1"/>
        <v>SATISFACTORIO</v>
      </c>
    </row>
    <row r="54" spans="1:20">
      <c r="A54" s="41">
        <v>21566074</v>
      </c>
      <c r="B54" s="41">
        <v>5</v>
      </c>
      <c r="C54" s="41" t="s">
        <v>260</v>
      </c>
      <c r="D54" s="42" t="s">
        <v>261</v>
      </c>
      <c r="E54" s="42" t="s">
        <v>262</v>
      </c>
      <c r="F54" s="42" t="s">
        <v>263</v>
      </c>
      <c r="G54" s="39" t="s">
        <v>70</v>
      </c>
      <c r="H54" s="40" t="s">
        <v>71</v>
      </c>
      <c r="I54" s="53">
        <v>45756</v>
      </c>
      <c r="J54" s="45"/>
      <c r="K54" s="57">
        <v>1</v>
      </c>
      <c r="L54" s="58">
        <v>2</v>
      </c>
      <c r="M54" s="58">
        <v>2</v>
      </c>
      <c r="N54" s="57">
        <v>2</v>
      </c>
      <c r="O54" s="58">
        <v>1</v>
      </c>
      <c r="P54" s="72">
        <v>1</v>
      </c>
      <c r="Q54" s="58">
        <v>1</v>
      </c>
      <c r="R54" s="56">
        <f t="shared" si="0"/>
        <v>10</v>
      </c>
      <c r="S54" s="65">
        <f t="shared" si="2"/>
        <v>0.47619047619047616</v>
      </c>
      <c r="T54" s="54" t="str">
        <f t="shared" si="1"/>
        <v>NECESITA MEJORAR</v>
      </c>
    </row>
    <row r="55" spans="1:20">
      <c r="A55" s="41">
        <v>21585579</v>
      </c>
      <c r="B55" s="41">
        <v>1</v>
      </c>
      <c r="C55" s="41" t="s">
        <v>264</v>
      </c>
      <c r="D55" s="42" t="s">
        <v>265</v>
      </c>
      <c r="E55" s="42" t="s">
        <v>266</v>
      </c>
      <c r="F55" s="42" t="s">
        <v>267</v>
      </c>
      <c r="G55" s="39" t="s">
        <v>70</v>
      </c>
      <c r="H55" s="40" t="s">
        <v>71</v>
      </c>
      <c r="I55" s="53">
        <v>45756</v>
      </c>
      <c r="J55" s="32"/>
      <c r="K55" s="59">
        <v>0</v>
      </c>
      <c r="L55" s="60">
        <v>0</v>
      </c>
      <c r="M55" s="60">
        <v>0</v>
      </c>
      <c r="N55" s="59">
        <v>3</v>
      </c>
      <c r="O55" s="60">
        <v>2</v>
      </c>
      <c r="P55" s="73">
        <v>2</v>
      </c>
      <c r="Q55" s="60">
        <v>2</v>
      </c>
      <c r="R55" s="56">
        <f t="shared" si="0"/>
        <v>9</v>
      </c>
      <c r="S55" s="65">
        <f t="shared" si="2"/>
        <v>0.42857142857142855</v>
      </c>
      <c r="T55" s="54" t="str">
        <f t="shared" si="1"/>
        <v>NECESITA MEJORAR</v>
      </c>
    </row>
    <row r="56" spans="1:20">
      <c r="A56" s="41">
        <v>21586698</v>
      </c>
      <c r="B56" s="41" t="s">
        <v>115</v>
      </c>
      <c r="C56" s="41" t="s">
        <v>268</v>
      </c>
      <c r="D56" s="42" t="s">
        <v>269</v>
      </c>
      <c r="E56" s="42" t="s">
        <v>270</v>
      </c>
      <c r="F56" s="42" t="s">
        <v>271</v>
      </c>
      <c r="G56" s="39" t="s">
        <v>70</v>
      </c>
      <c r="H56" s="40" t="s">
        <v>71</v>
      </c>
      <c r="I56" s="53">
        <v>45756</v>
      </c>
      <c r="J56" s="32"/>
      <c r="K56" s="59">
        <v>2</v>
      </c>
      <c r="L56" s="60">
        <v>3</v>
      </c>
      <c r="M56" s="60">
        <v>3</v>
      </c>
      <c r="N56" s="59">
        <v>3</v>
      </c>
      <c r="O56" s="60">
        <v>3</v>
      </c>
      <c r="P56" s="73">
        <v>3</v>
      </c>
      <c r="Q56" s="60">
        <v>3</v>
      </c>
      <c r="R56" s="56">
        <f t="shared" si="0"/>
        <v>20</v>
      </c>
      <c r="S56" s="65">
        <f t="shared" si="2"/>
        <v>0.95238095238095233</v>
      </c>
      <c r="T56" s="54" t="str">
        <f t="shared" si="1"/>
        <v>ÓPTIMO</v>
      </c>
    </row>
    <row r="57" spans="1:20">
      <c r="A57" s="41">
        <v>21588951</v>
      </c>
      <c r="B57" s="41">
        <v>6</v>
      </c>
      <c r="C57" s="41" t="s">
        <v>272</v>
      </c>
      <c r="D57" s="42" t="s">
        <v>142</v>
      </c>
      <c r="E57" s="42" t="s">
        <v>273</v>
      </c>
      <c r="F57" s="42" t="s">
        <v>274</v>
      </c>
      <c r="G57" s="39" t="s">
        <v>70</v>
      </c>
      <c r="H57" s="40" t="s">
        <v>71</v>
      </c>
      <c r="I57" s="53">
        <v>45756</v>
      </c>
      <c r="J57" s="45"/>
      <c r="K57" s="57">
        <v>1</v>
      </c>
      <c r="L57" s="58">
        <v>2</v>
      </c>
      <c r="M57" s="58">
        <v>1</v>
      </c>
      <c r="N57" s="57">
        <v>3</v>
      </c>
      <c r="O57" s="58">
        <v>3</v>
      </c>
      <c r="P57" s="72">
        <v>3</v>
      </c>
      <c r="Q57" s="58">
        <v>3</v>
      </c>
      <c r="R57" s="56">
        <f t="shared" si="0"/>
        <v>16</v>
      </c>
      <c r="S57" s="65">
        <f t="shared" si="2"/>
        <v>0.76190476190476186</v>
      </c>
      <c r="T57" s="54" t="str">
        <f t="shared" si="1"/>
        <v>SATISFACTORIO</v>
      </c>
    </row>
    <row r="58" spans="1:20">
      <c r="A58" s="41">
        <v>21593814</v>
      </c>
      <c r="B58" s="41" t="s">
        <v>115</v>
      </c>
      <c r="C58" s="41" t="s">
        <v>275</v>
      </c>
      <c r="D58" s="42" t="s">
        <v>276</v>
      </c>
      <c r="E58" s="42" t="s">
        <v>277</v>
      </c>
      <c r="F58" s="42" t="s">
        <v>278</v>
      </c>
      <c r="G58" s="39" t="s">
        <v>70</v>
      </c>
      <c r="H58" s="40" t="s">
        <v>71</v>
      </c>
      <c r="I58" s="53">
        <v>45756</v>
      </c>
      <c r="J58" s="45"/>
      <c r="K58" s="57">
        <v>2</v>
      </c>
      <c r="L58" s="58">
        <v>3</v>
      </c>
      <c r="M58" s="58">
        <v>3</v>
      </c>
      <c r="N58" s="57">
        <v>3</v>
      </c>
      <c r="O58" s="58">
        <v>3</v>
      </c>
      <c r="P58" s="72">
        <v>3</v>
      </c>
      <c r="Q58" s="58">
        <v>3</v>
      </c>
      <c r="R58" s="56">
        <f t="shared" si="0"/>
        <v>20</v>
      </c>
      <c r="S58" s="65">
        <f t="shared" si="2"/>
        <v>0.95238095238095233</v>
      </c>
      <c r="T58" s="54" t="str">
        <f t="shared" si="1"/>
        <v>ÓPTIMO</v>
      </c>
    </row>
    <row r="59" spans="1:20">
      <c r="A59" s="41">
        <v>21594108</v>
      </c>
      <c r="B59" s="41">
        <v>6</v>
      </c>
      <c r="C59" s="41" t="s">
        <v>279</v>
      </c>
      <c r="D59" s="42" t="s">
        <v>280</v>
      </c>
      <c r="E59" s="42" t="s">
        <v>281</v>
      </c>
      <c r="F59" s="42" t="s">
        <v>282</v>
      </c>
      <c r="G59" s="39" t="s">
        <v>70</v>
      </c>
      <c r="H59" s="40" t="s">
        <v>71</v>
      </c>
      <c r="I59" s="53">
        <v>45756</v>
      </c>
      <c r="J59" s="45"/>
      <c r="K59" s="57">
        <v>3</v>
      </c>
      <c r="L59" s="58">
        <v>3</v>
      </c>
      <c r="M59" s="58">
        <v>3</v>
      </c>
      <c r="N59" s="57">
        <v>3</v>
      </c>
      <c r="O59" s="58">
        <v>0</v>
      </c>
      <c r="P59" s="72">
        <v>2</v>
      </c>
      <c r="Q59" s="58">
        <v>2</v>
      </c>
      <c r="R59" s="56">
        <f t="shared" si="0"/>
        <v>16</v>
      </c>
      <c r="S59" s="65">
        <f t="shared" si="2"/>
        <v>0.76190476190476186</v>
      </c>
      <c r="T59" s="54" t="str">
        <f t="shared" si="1"/>
        <v>SATISFACTORIO</v>
      </c>
    </row>
    <row r="60" spans="1:20">
      <c r="A60" s="41">
        <v>21600044</v>
      </c>
      <c r="B60" s="41">
        <v>7</v>
      </c>
      <c r="C60" s="41" t="s">
        <v>283</v>
      </c>
      <c r="D60" s="42" t="s">
        <v>284</v>
      </c>
      <c r="E60" s="42" t="s">
        <v>113</v>
      </c>
      <c r="F60" s="42" t="s">
        <v>285</v>
      </c>
      <c r="G60" s="39" t="s">
        <v>70</v>
      </c>
      <c r="H60" s="40" t="s">
        <v>71</v>
      </c>
      <c r="I60" s="53">
        <v>45756</v>
      </c>
      <c r="J60" s="45"/>
      <c r="K60" s="57">
        <v>3</v>
      </c>
      <c r="L60" s="58">
        <v>3</v>
      </c>
      <c r="M60" s="58">
        <v>3</v>
      </c>
      <c r="N60" s="57">
        <v>2</v>
      </c>
      <c r="O60" s="58">
        <v>0</v>
      </c>
      <c r="P60" s="72">
        <v>0</v>
      </c>
      <c r="Q60" s="58">
        <v>2</v>
      </c>
      <c r="R60" s="56">
        <f t="shared" si="0"/>
        <v>13</v>
      </c>
      <c r="S60" s="65">
        <f t="shared" si="2"/>
        <v>0.61904761904761907</v>
      </c>
      <c r="T60" s="54" t="str">
        <f t="shared" si="1"/>
        <v>BASE</v>
      </c>
    </row>
    <row r="61" spans="1:20">
      <c r="A61" s="41">
        <v>21601332</v>
      </c>
      <c r="B61" s="41">
        <v>8</v>
      </c>
      <c r="C61" s="41" t="s">
        <v>286</v>
      </c>
      <c r="D61" s="42" t="s">
        <v>287</v>
      </c>
      <c r="E61" s="42" t="s">
        <v>288</v>
      </c>
      <c r="F61" s="42" t="s">
        <v>289</v>
      </c>
      <c r="G61" s="39" t="s">
        <v>70</v>
      </c>
      <c r="H61" s="40" t="s">
        <v>71</v>
      </c>
      <c r="I61" s="53">
        <v>45756</v>
      </c>
      <c r="J61" s="45"/>
      <c r="K61" s="57">
        <v>0</v>
      </c>
      <c r="L61" s="58">
        <v>0</v>
      </c>
      <c r="M61" s="58">
        <v>0</v>
      </c>
      <c r="N61" s="57">
        <v>0</v>
      </c>
      <c r="O61" s="58">
        <v>0</v>
      </c>
      <c r="P61" s="72">
        <v>0</v>
      </c>
      <c r="Q61" s="58">
        <v>0</v>
      </c>
      <c r="R61" s="56">
        <f t="shared" si="0"/>
        <v>0</v>
      </c>
      <c r="S61" s="65">
        <f t="shared" si="2"/>
        <v>0</v>
      </c>
      <c r="T61" s="54" t="str">
        <f t="shared" si="1"/>
        <v/>
      </c>
    </row>
    <row r="62" spans="1:20">
      <c r="A62" s="41">
        <v>21607016</v>
      </c>
      <c r="B62" s="41" t="s">
        <v>115</v>
      </c>
      <c r="C62" s="41" t="s">
        <v>290</v>
      </c>
      <c r="D62" s="42" t="s">
        <v>189</v>
      </c>
      <c r="E62" s="42" t="s">
        <v>291</v>
      </c>
      <c r="F62" s="42" t="s">
        <v>292</v>
      </c>
      <c r="G62" s="39" t="s">
        <v>70</v>
      </c>
      <c r="H62" s="40" t="s">
        <v>71</v>
      </c>
      <c r="I62" s="53">
        <v>45756</v>
      </c>
      <c r="J62" s="45"/>
      <c r="K62" s="57">
        <v>3</v>
      </c>
      <c r="L62" s="58">
        <v>3</v>
      </c>
      <c r="M62" s="58">
        <v>3</v>
      </c>
      <c r="N62" s="57">
        <v>2</v>
      </c>
      <c r="O62" s="58">
        <v>0</v>
      </c>
      <c r="P62" s="72">
        <v>2</v>
      </c>
      <c r="Q62" s="58">
        <v>2</v>
      </c>
      <c r="R62" s="56">
        <f t="shared" si="0"/>
        <v>15</v>
      </c>
      <c r="S62" s="65">
        <f t="shared" si="2"/>
        <v>0.7142857142857143</v>
      </c>
      <c r="T62" s="54" t="str">
        <f t="shared" si="1"/>
        <v>SATISFACTORIO</v>
      </c>
    </row>
    <row r="63" spans="1:20">
      <c r="A63" s="41">
        <v>21625150</v>
      </c>
      <c r="B63" s="41">
        <v>4</v>
      </c>
      <c r="C63" s="41" t="s">
        <v>293</v>
      </c>
      <c r="D63" s="42" t="s">
        <v>294</v>
      </c>
      <c r="E63" s="42" t="s">
        <v>295</v>
      </c>
      <c r="F63" s="42" t="s">
        <v>296</v>
      </c>
      <c r="G63" s="39" t="s">
        <v>70</v>
      </c>
      <c r="H63" s="40" t="s">
        <v>71</v>
      </c>
      <c r="I63" s="53">
        <v>45756</v>
      </c>
      <c r="J63" s="45"/>
      <c r="K63" s="57">
        <v>3</v>
      </c>
      <c r="L63" s="58">
        <v>3</v>
      </c>
      <c r="M63" s="58">
        <v>3</v>
      </c>
      <c r="N63" s="57">
        <v>3</v>
      </c>
      <c r="O63" s="58">
        <v>3</v>
      </c>
      <c r="P63" s="72">
        <v>2</v>
      </c>
      <c r="Q63" s="58">
        <v>3</v>
      </c>
      <c r="R63" s="56">
        <f t="shared" si="0"/>
        <v>20</v>
      </c>
      <c r="S63" s="65">
        <f t="shared" si="2"/>
        <v>0.95238095238095233</v>
      </c>
      <c r="T63" s="54" t="str">
        <f t="shared" si="1"/>
        <v>ÓPTIMO</v>
      </c>
    </row>
    <row r="64" spans="1:20">
      <c r="A64" s="41">
        <v>21633276</v>
      </c>
      <c r="B64" s="41">
        <v>8</v>
      </c>
      <c r="C64" s="41" t="s">
        <v>297</v>
      </c>
      <c r="D64" s="42" t="s">
        <v>298</v>
      </c>
      <c r="E64" s="42" t="s">
        <v>299</v>
      </c>
      <c r="F64" s="42" t="s">
        <v>300</v>
      </c>
      <c r="G64" s="39" t="s">
        <v>70</v>
      </c>
      <c r="H64" s="40" t="s">
        <v>71</v>
      </c>
      <c r="I64" s="53">
        <v>45756</v>
      </c>
      <c r="J64" s="45"/>
      <c r="K64" s="57">
        <v>3</v>
      </c>
      <c r="L64" s="58">
        <v>3</v>
      </c>
      <c r="M64" s="58">
        <v>3</v>
      </c>
      <c r="N64" s="57">
        <v>3</v>
      </c>
      <c r="O64" s="58">
        <v>2</v>
      </c>
      <c r="P64" s="72">
        <v>2</v>
      </c>
      <c r="Q64" s="58">
        <v>3</v>
      </c>
      <c r="R64" s="56">
        <f t="shared" si="0"/>
        <v>19</v>
      </c>
      <c r="S64" s="65">
        <f t="shared" si="2"/>
        <v>0.90476190476190477</v>
      </c>
      <c r="T64" s="54" t="str">
        <f t="shared" si="1"/>
        <v>ÓPTIMO</v>
      </c>
    </row>
    <row r="65" spans="1:20">
      <c r="A65" s="41">
        <v>21636570</v>
      </c>
      <c r="B65" s="41">
        <v>4</v>
      </c>
      <c r="C65" s="41" t="s">
        <v>301</v>
      </c>
      <c r="D65" s="42" t="s">
        <v>302</v>
      </c>
      <c r="E65" s="42" t="s">
        <v>303</v>
      </c>
      <c r="F65" s="42" t="s">
        <v>304</v>
      </c>
      <c r="G65" s="39" t="s">
        <v>70</v>
      </c>
      <c r="H65" s="40" t="s">
        <v>71</v>
      </c>
      <c r="I65" s="53">
        <v>45756</v>
      </c>
      <c r="J65" s="45"/>
      <c r="K65" s="57">
        <v>3</v>
      </c>
      <c r="L65" s="58">
        <v>3</v>
      </c>
      <c r="M65" s="58">
        <v>3</v>
      </c>
      <c r="N65" s="57">
        <v>3</v>
      </c>
      <c r="O65" s="58">
        <v>3</v>
      </c>
      <c r="P65" s="72">
        <v>3</v>
      </c>
      <c r="Q65" s="58">
        <v>3</v>
      </c>
      <c r="R65" s="56">
        <f t="shared" si="0"/>
        <v>21</v>
      </c>
      <c r="S65" s="65">
        <f t="shared" si="2"/>
        <v>1</v>
      </c>
      <c r="T65" s="54" t="str">
        <f t="shared" si="1"/>
        <v>ÓPTIMO</v>
      </c>
    </row>
    <row r="66" spans="1:20">
      <c r="A66" s="41">
        <v>21643272</v>
      </c>
      <c r="B66" s="41" t="s">
        <v>115</v>
      </c>
      <c r="C66" s="41" t="s">
        <v>305</v>
      </c>
      <c r="D66" s="42" t="s">
        <v>306</v>
      </c>
      <c r="E66" s="42" t="s">
        <v>306</v>
      </c>
      <c r="F66" s="42" t="s">
        <v>307</v>
      </c>
      <c r="G66" s="39" t="s">
        <v>70</v>
      </c>
      <c r="H66" s="40" t="s">
        <v>71</v>
      </c>
      <c r="I66" s="53">
        <v>45756</v>
      </c>
      <c r="J66" s="45"/>
      <c r="K66" s="57">
        <v>3</v>
      </c>
      <c r="L66" s="58">
        <v>3</v>
      </c>
      <c r="M66" s="58">
        <v>3</v>
      </c>
      <c r="N66" s="57">
        <v>3</v>
      </c>
      <c r="O66" s="58">
        <v>3</v>
      </c>
      <c r="P66" s="72">
        <v>3</v>
      </c>
      <c r="Q66" s="58">
        <v>3</v>
      </c>
      <c r="R66" s="56">
        <f t="shared" si="0"/>
        <v>21</v>
      </c>
      <c r="S66" s="65">
        <f t="shared" si="2"/>
        <v>1</v>
      </c>
      <c r="T66" s="54" t="str">
        <f t="shared" si="1"/>
        <v>ÓPTIMO</v>
      </c>
    </row>
    <row r="67" spans="1:20">
      <c r="A67" s="41">
        <v>21668486</v>
      </c>
      <c r="B67" s="41">
        <v>9</v>
      </c>
      <c r="C67" s="41" t="s">
        <v>308</v>
      </c>
      <c r="D67" s="42" t="s">
        <v>181</v>
      </c>
      <c r="E67" s="42" t="s">
        <v>141</v>
      </c>
      <c r="F67" s="42" t="s">
        <v>309</v>
      </c>
      <c r="G67" s="39" t="s">
        <v>70</v>
      </c>
      <c r="H67" s="40" t="s">
        <v>71</v>
      </c>
      <c r="I67" s="53">
        <v>45756</v>
      </c>
      <c r="J67" s="45"/>
      <c r="K67" s="57">
        <v>2</v>
      </c>
      <c r="L67" s="58">
        <v>3</v>
      </c>
      <c r="M67" s="58">
        <v>3</v>
      </c>
      <c r="N67" s="57">
        <v>2</v>
      </c>
      <c r="O67" s="58">
        <v>0</v>
      </c>
      <c r="P67" s="72">
        <v>2</v>
      </c>
      <c r="Q67" s="58">
        <v>2</v>
      </c>
      <c r="R67" s="56">
        <f t="shared" si="0"/>
        <v>14</v>
      </c>
      <c r="S67" s="65">
        <f t="shared" si="2"/>
        <v>0.66666666666666663</v>
      </c>
      <c r="T67" s="54" t="str">
        <f t="shared" si="1"/>
        <v>SATISFACTORIO</v>
      </c>
    </row>
    <row r="68" spans="1:20">
      <c r="A68" s="41">
        <v>21674334</v>
      </c>
      <c r="B68" s="41">
        <v>2</v>
      </c>
      <c r="C68" s="41" t="s">
        <v>310</v>
      </c>
      <c r="D68" s="42" t="s">
        <v>311</v>
      </c>
      <c r="E68" s="42" t="s">
        <v>312</v>
      </c>
      <c r="F68" s="42" t="s">
        <v>313</v>
      </c>
      <c r="G68" s="39" t="s">
        <v>70</v>
      </c>
      <c r="H68" s="40" t="s">
        <v>71</v>
      </c>
      <c r="I68" s="53">
        <v>45756</v>
      </c>
      <c r="J68" s="45"/>
      <c r="K68" s="57">
        <v>3</v>
      </c>
      <c r="L68" s="58">
        <v>3</v>
      </c>
      <c r="M68" s="58">
        <v>3</v>
      </c>
      <c r="N68" s="57">
        <v>3</v>
      </c>
      <c r="O68" s="58">
        <v>0</v>
      </c>
      <c r="P68" s="72">
        <v>2</v>
      </c>
      <c r="Q68" s="58">
        <v>2</v>
      </c>
      <c r="R68" s="56">
        <f t="shared" si="0"/>
        <v>16</v>
      </c>
      <c r="S68" s="65">
        <f t="shared" si="2"/>
        <v>0.76190476190476186</v>
      </c>
      <c r="T68" s="54" t="str">
        <f t="shared" si="1"/>
        <v>SATISFACTORIO</v>
      </c>
    </row>
    <row r="69" spans="1:20">
      <c r="A69" s="41">
        <v>21692472</v>
      </c>
      <c r="B69" s="41" t="s">
        <v>115</v>
      </c>
      <c r="C69" s="41" t="s">
        <v>314</v>
      </c>
      <c r="D69" s="42" t="s">
        <v>261</v>
      </c>
      <c r="E69" s="42" t="s">
        <v>315</v>
      </c>
      <c r="F69" s="42" t="s">
        <v>274</v>
      </c>
      <c r="G69" s="39" t="s">
        <v>70</v>
      </c>
      <c r="H69" s="40" t="s">
        <v>71</v>
      </c>
      <c r="I69" s="53">
        <v>45756</v>
      </c>
      <c r="J69" s="32"/>
      <c r="K69" s="59">
        <v>1</v>
      </c>
      <c r="L69" s="60">
        <v>2</v>
      </c>
      <c r="M69" s="60">
        <v>1</v>
      </c>
      <c r="N69" s="59">
        <v>2</v>
      </c>
      <c r="O69" s="60">
        <v>0</v>
      </c>
      <c r="P69" s="73">
        <v>2</v>
      </c>
      <c r="Q69" s="60">
        <v>2</v>
      </c>
      <c r="R69" s="56">
        <f t="shared" ref="R69:R102" si="3">SUM(K69:Q69)</f>
        <v>10</v>
      </c>
      <c r="S69" s="65">
        <f t="shared" si="2"/>
        <v>0.47619047619047616</v>
      </c>
      <c r="T69" s="54" t="str">
        <f t="shared" ref="T69:T102" si="4">IF(S69&gt;=0.85,"ÓPTIMO",IF(S69&gt;=0.65,"SATISFACTORIO",IF(S69&gt;=0.5,"BASE",IF(S69=0,"","NECESITA MEJORAR"))))</f>
        <v>NECESITA MEJORAR</v>
      </c>
    </row>
    <row r="70" spans="1:20">
      <c r="A70" s="41">
        <v>21739359</v>
      </c>
      <c r="B70" s="41">
        <v>0</v>
      </c>
      <c r="C70" s="41" t="s">
        <v>316</v>
      </c>
      <c r="D70" s="42" t="s">
        <v>317</v>
      </c>
      <c r="E70" s="42" t="s">
        <v>240</v>
      </c>
      <c r="F70" s="42" t="s">
        <v>318</v>
      </c>
      <c r="G70" s="39" t="s">
        <v>70</v>
      </c>
      <c r="H70" s="40" t="s">
        <v>71</v>
      </c>
      <c r="I70" s="53">
        <v>45756</v>
      </c>
      <c r="J70" s="45"/>
      <c r="K70" s="57">
        <v>3</v>
      </c>
      <c r="L70" s="58">
        <v>3</v>
      </c>
      <c r="M70" s="58">
        <v>3</v>
      </c>
      <c r="N70" s="57">
        <v>3</v>
      </c>
      <c r="O70" s="58">
        <v>3</v>
      </c>
      <c r="P70" s="72">
        <v>3</v>
      </c>
      <c r="Q70" s="58">
        <v>3</v>
      </c>
      <c r="R70" s="56">
        <f t="shared" si="3"/>
        <v>21</v>
      </c>
      <c r="S70" s="65">
        <f t="shared" ref="S70:S102" si="5">R70/21</f>
        <v>1</v>
      </c>
      <c r="T70" s="54" t="str">
        <f t="shared" si="4"/>
        <v>ÓPTIMO</v>
      </c>
    </row>
    <row r="71" spans="1:20">
      <c r="A71" s="41">
        <v>21741633</v>
      </c>
      <c r="B71" s="41">
        <v>7</v>
      </c>
      <c r="C71" s="41" t="s">
        <v>319</v>
      </c>
      <c r="D71" s="42" t="s">
        <v>320</v>
      </c>
      <c r="E71" s="42" t="s">
        <v>321</v>
      </c>
      <c r="F71" s="42" t="s">
        <v>322</v>
      </c>
      <c r="G71" s="39" t="s">
        <v>70</v>
      </c>
      <c r="H71" s="40" t="s">
        <v>71</v>
      </c>
      <c r="I71" s="53">
        <v>45756</v>
      </c>
      <c r="J71" s="45"/>
      <c r="K71" s="57">
        <v>1</v>
      </c>
      <c r="L71" s="58">
        <v>2</v>
      </c>
      <c r="M71" s="58">
        <v>1</v>
      </c>
      <c r="N71" s="57">
        <v>2</v>
      </c>
      <c r="O71" s="58">
        <v>2</v>
      </c>
      <c r="P71" s="72">
        <v>2</v>
      </c>
      <c r="Q71" s="58">
        <v>2</v>
      </c>
      <c r="R71" s="56">
        <f t="shared" si="3"/>
        <v>12</v>
      </c>
      <c r="S71" s="65">
        <f t="shared" si="5"/>
        <v>0.5714285714285714</v>
      </c>
      <c r="T71" s="54" t="str">
        <f t="shared" si="4"/>
        <v>BASE</v>
      </c>
    </row>
    <row r="72" spans="1:20">
      <c r="A72" s="41">
        <v>21747313</v>
      </c>
      <c r="B72" s="41">
        <v>6</v>
      </c>
      <c r="C72" s="41" t="s">
        <v>323</v>
      </c>
      <c r="D72" s="42" t="s">
        <v>324</v>
      </c>
      <c r="E72" s="42" t="s">
        <v>325</v>
      </c>
      <c r="F72" s="42" t="s">
        <v>326</v>
      </c>
      <c r="G72" s="39" t="s">
        <v>70</v>
      </c>
      <c r="H72" s="40" t="s">
        <v>71</v>
      </c>
      <c r="I72" s="53">
        <v>45756</v>
      </c>
      <c r="J72" s="40"/>
      <c r="K72" s="61">
        <v>1</v>
      </c>
      <c r="L72" s="58">
        <v>2</v>
      </c>
      <c r="M72" s="58">
        <v>1</v>
      </c>
      <c r="N72" s="61">
        <v>2</v>
      </c>
      <c r="O72" s="58">
        <v>2</v>
      </c>
      <c r="P72" s="72">
        <v>2</v>
      </c>
      <c r="Q72" s="58">
        <v>2</v>
      </c>
      <c r="R72" s="56">
        <f t="shared" si="3"/>
        <v>12</v>
      </c>
      <c r="S72" s="65">
        <f t="shared" si="5"/>
        <v>0.5714285714285714</v>
      </c>
      <c r="T72" s="54" t="str">
        <f t="shared" si="4"/>
        <v>BASE</v>
      </c>
    </row>
    <row r="73" spans="1:20">
      <c r="A73" s="41">
        <v>21751813</v>
      </c>
      <c r="B73" s="41" t="s">
        <v>115</v>
      </c>
      <c r="C73" s="41" t="s">
        <v>327</v>
      </c>
      <c r="D73" s="42" t="s">
        <v>328</v>
      </c>
      <c r="E73" s="42" t="s">
        <v>329</v>
      </c>
      <c r="F73" s="42" t="s">
        <v>330</v>
      </c>
      <c r="G73" s="39" t="s">
        <v>70</v>
      </c>
      <c r="H73" s="40" t="s">
        <v>71</v>
      </c>
      <c r="I73" s="53">
        <v>45756</v>
      </c>
      <c r="J73" s="40"/>
      <c r="K73" s="61">
        <v>1</v>
      </c>
      <c r="L73" s="58">
        <v>2</v>
      </c>
      <c r="M73" s="58">
        <v>1</v>
      </c>
      <c r="N73" s="61">
        <v>3</v>
      </c>
      <c r="O73" s="58">
        <v>3</v>
      </c>
      <c r="P73" s="72">
        <v>3</v>
      </c>
      <c r="Q73" s="58">
        <v>3</v>
      </c>
      <c r="R73" s="56">
        <f t="shared" si="3"/>
        <v>16</v>
      </c>
      <c r="S73" s="65">
        <f t="shared" si="5"/>
        <v>0.76190476190476186</v>
      </c>
      <c r="T73" s="54" t="str">
        <f t="shared" si="4"/>
        <v>SATISFACTORIO</v>
      </c>
    </row>
    <row r="74" spans="1:20">
      <c r="A74" s="41">
        <v>21763043</v>
      </c>
      <c r="B74" s="41">
        <v>6</v>
      </c>
      <c r="C74" s="41" t="s">
        <v>331</v>
      </c>
      <c r="D74" s="42" t="s">
        <v>262</v>
      </c>
      <c r="E74" s="42" t="s">
        <v>332</v>
      </c>
      <c r="F74" s="42" t="s">
        <v>333</v>
      </c>
      <c r="G74" s="39" t="s">
        <v>70</v>
      </c>
      <c r="H74" s="40" t="s">
        <v>71</v>
      </c>
      <c r="I74" s="53">
        <v>45756</v>
      </c>
      <c r="J74" s="40"/>
      <c r="K74" s="61">
        <v>1</v>
      </c>
      <c r="L74" s="58">
        <v>2</v>
      </c>
      <c r="M74" s="58">
        <v>1</v>
      </c>
      <c r="N74" s="61">
        <v>2</v>
      </c>
      <c r="O74" s="58">
        <v>3</v>
      </c>
      <c r="P74" s="72">
        <v>2</v>
      </c>
      <c r="Q74" s="58">
        <v>2</v>
      </c>
      <c r="R74" s="56">
        <f t="shared" si="3"/>
        <v>13</v>
      </c>
      <c r="S74" s="65">
        <f t="shared" si="5"/>
        <v>0.61904761904761907</v>
      </c>
      <c r="T74" s="54" t="str">
        <f t="shared" si="4"/>
        <v>BASE</v>
      </c>
    </row>
    <row r="75" spans="1:20">
      <c r="A75" s="41">
        <v>21767884</v>
      </c>
      <c r="B75" s="41">
        <v>6</v>
      </c>
      <c r="C75" s="41" t="s">
        <v>334</v>
      </c>
      <c r="D75" s="42" t="s">
        <v>100</v>
      </c>
      <c r="E75" s="42" t="s">
        <v>335</v>
      </c>
      <c r="F75" s="42" t="s">
        <v>336</v>
      </c>
      <c r="G75" s="39" t="s">
        <v>70</v>
      </c>
      <c r="H75" s="40" t="s">
        <v>71</v>
      </c>
      <c r="I75" s="53">
        <v>45756</v>
      </c>
      <c r="J75" s="40"/>
      <c r="K75" s="61">
        <v>2</v>
      </c>
      <c r="L75" s="58">
        <v>3</v>
      </c>
      <c r="M75" s="58">
        <v>3</v>
      </c>
      <c r="N75" s="61">
        <v>2</v>
      </c>
      <c r="O75" s="58">
        <v>0</v>
      </c>
      <c r="P75" s="72">
        <v>0</v>
      </c>
      <c r="Q75" s="58">
        <v>1</v>
      </c>
      <c r="R75" s="56">
        <f t="shared" si="3"/>
        <v>11</v>
      </c>
      <c r="S75" s="65">
        <f t="shared" si="5"/>
        <v>0.52380952380952384</v>
      </c>
      <c r="T75" s="54" t="str">
        <f t="shared" si="4"/>
        <v>BASE</v>
      </c>
    </row>
    <row r="76" spans="1:20">
      <c r="A76" s="41">
        <v>21769651</v>
      </c>
      <c r="B76" s="41">
        <v>8</v>
      </c>
      <c r="C76" s="41" t="s">
        <v>337</v>
      </c>
      <c r="D76" s="42" t="s">
        <v>338</v>
      </c>
      <c r="E76" s="42" t="s">
        <v>339</v>
      </c>
      <c r="F76" s="42" t="s">
        <v>340</v>
      </c>
      <c r="G76" s="39" t="s">
        <v>70</v>
      </c>
      <c r="H76" s="40" t="s">
        <v>71</v>
      </c>
      <c r="I76" s="53">
        <v>45756</v>
      </c>
      <c r="J76" s="32"/>
      <c r="K76" s="59">
        <v>2</v>
      </c>
      <c r="L76" s="60">
        <v>3</v>
      </c>
      <c r="M76" s="60">
        <v>2</v>
      </c>
      <c r="N76" s="59">
        <v>2</v>
      </c>
      <c r="O76" s="60">
        <v>1</v>
      </c>
      <c r="P76" s="73">
        <v>1</v>
      </c>
      <c r="Q76" s="60">
        <v>2</v>
      </c>
      <c r="R76" s="56">
        <f t="shared" si="3"/>
        <v>13</v>
      </c>
      <c r="S76" s="65">
        <f t="shared" si="5"/>
        <v>0.61904761904761907</v>
      </c>
      <c r="T76" s="54" t="str">
        <f t="shared" si="4"/>
        <v>BASE</v>
      </c>
    </row>
    <row r="77" spans="1:20">
      <c r="A77" s="41">
        <v>21772417</v>
      </c>
      <c r="B77" s="41">
        <v>1</v>
      </c>
      <c r="C77" s="41" t="s">
        <v>341</v>
      </c>
      <c r="D77" s="42" t="s">
        <v>342</v>
      </c>
      <c r="E77" s="42" t="s">
        <v>343</v>
      </c>
      <c r="F77" s="42" t="s">
        <v>344</v>
      </c>
      <c r="G77" s="39" t="s">
        <v>70</v>
      </c>
      <c r="H77" s="40" t="s">
        <v>71</v>
      </c>
      <c r="I77" s="53">
        <v>45756</v>
      </c>
      <c r="J77" s="32"/>
      <c r="K77" s="59">
        <v>3</v>
      </c>
      <c r="L77" s="60">
        <v>3</v>
      </c>
      <c r="M77" s="60">
        <v>3</v>
      </c>
      <c r="N77" s="59">
        <v>3</v>
      </c>
      <c r="O77" s="60">
        <v>3</v>
      </c>
      <c r="P77" s="73">
        <v>3</v>
      </c>
      <c r="Q77" s="60">
        <v>3</v>
      </c>
      <c r="R77" s="56">
        <f t="shared" si="3"/>
        <v>21</v>
      </c>
      <c r="S77" s="65">
        <f t="shared" si="5"/>
        <v>1</v>
      </c>
      <c r="T77" s="54" t="str">
        <f t="shared" si="4"/>
        <v>ÓPTIMO</v>
      </c>
    </row>
    <row r="78" spans="1:20">
      <c r="A78" s="41">
        <v>21776953</v>
      </c>
      <c r="B78" s="41">
        <v>1</v>
      </c>
      <c r="C78" s="41" t="s">
        <v>345</v>
      </c>
      <c r="D78" s="42" t="s">
        <v>346</v>
      </c>
      <c r="E78" s="42" t="s">
        <v>261</v>
      </c>
      <c r="F78" s="42" t="s">
        <v>347</v>
      </c>
      <c r="G78" s="39" t="s">
        <v>70</v>
      </c>
      <c r="H78" s="40" t="s">
        <v>71</v>
      </c>
      <c r="I78" s="53">
        <v>45756</v>
      </c>
      <c r="J78" s="40"/>
      <c r="K78" s="61">
        <v>3</v>
      </c>
      <c r="L78" s="58">
        <v>3</v>
      </c>
      <c r="M78" s="58">
        <v>3</v>
      </c>
      <c r="N78" s="61">
        <v>2</v>
      </c>
      <c r="O78" s="58">
        <v>0</v>
      </c>
      <c r="P78" s="72">
        <v>2</v>
      </c>
      <c r="Q78" s="58">
        <v>2</v>
      </c>
      <c r="R78" s="56">
        <f t="shared" si="3"/>
        <v>15</v>
      </c>
      <c r="S78" s="65">
        <f t="shared" si="5"/>
        <v>0.7142857142857143</v>
      </c>
      <c r="T78" s="54" t="str">
        <f t="shared" si="4"/>
        <v>SATISFACTORIO</v>
      </c>
    </row>
    <row r="79" spans="1:20">
      <c r="A79" s="41">
        <v>21779224</v>
      </c>
      <c r="B79" s="41" t="s">
        <v>115</v>
      </c>
      <c r="C79" s="41" t="s">
        <v>348</v>
      </c>
      <c r="D79" s="42" t="s">
        <v>349</v>
      </c>
      <c r="E79" s="42" t="s">
        <v>182</v>
      </c>
      <c r="F79" s="42" t="s">
        <v>350</v>
      </c>
      <c r="G79" s="39" t="s">
        <v>70</v>
      </c>
      <c r="H79" s="40" t="s">
        <v>71</v>
      </c>
      <c r="I79" s="53">
        <v>45756</v>
      </c>
      <c r="J79" s="40"/>
      <c r="K79" s="61">
        <v>3</v>
      </c>
      <c r="L79" s="58">
        <v>3</v>
      </c>
      <c r="M79" s="58">
        <v>3</v>
      </c>
      <c r="N79" s="61">
        <v>3</v>
      </c>
      <c r="O79" s="58">
        <v>3</v>
      </c>
      <c r="P79" s="72">
        <v>3</v>
      </c>
      <c r="Q79" s="58">
        <v>3</v>
      </c>
      <c r="R79" s="56">
        <f t="shared" si="3"/>
        <v>21</v>
      </c>
      <c r="S79" s="65">
        <f t="shared" si="5"/>
        <v>1</v>
      </c>
      <c r="T79" s="54" t="str">
        <f t="shared" si="4"/>
        <v>ÓPTIMO</v>
      </c>
    </row>
    <row r="80" spans="1:20">
      <c r="A80" s="41">
        <v>21783050</v>
      </c>
      <c r="B80" s="41">
        <v>8</v>
      </c>
      <c r="C80" s="41" t="s">
        <v>351</v>
      </c>
      <c r="D80" s="42" t="s">
        <v>352</v>
      </c>
      <c r="E80" s="42" t="s">
        <v>353</v>
      </c>
      <c r="F80" s="42" t="s">
        <v>354</v>
      </c>
      <c r="G80" s="39" t="s">
        <v>70</v>
      </c>
      <c r="H80" s="40" t="s">
        <v>71</v>
      </c>
      <c r="I80" s="53">
        <v>45756</v>
      </c>
      <c r="J80" s="40"/>
      <c r="K80" s="61">
        <v>3</v>
      </c>
      <c r="L80" s="58">
        <v>3</v>
      </c>
      <c r="M80" s="58">
        <v>2</v>
      </c>
      <c r="N80" s="61">
        <v>3</v>
      </c>
      <c r="O80" s="58">
        <v>3</v>
      </c>
      <c r="P80" s="72">
        <v>3</v>
      </c>
      <c r="Q80" s="58">
        <v>3</v>
      </c>
      <c r="R80" s="56">
        <f t="shared" si="3"/>
        <v>20</v>
      </c>
      <c r="S80" s="65">
        <f t="shared" si="5"/>
        <v>0.95238095238095233</v>
      </c>
      <c r="T80" s="54" t="str">
        <f t="shared" si="4"/>
        <v>ÓPTIMO</v>
      </c>
    </row>
    <row r="81" spans="1:20">
      <c r="A81" s="41">
        <v>21807704</v>
      </c>
      <c r="B81" s="41">
        <v>8</v>
      </c>
      <c r="C81" s="41" t="s">
        <v>355</v>
      </c>
      <c r="D81" s="42" t="s">
        <v>356</v>
      </c>
      <c r="E81" s="42" t="s">
        <v>118</v>
      </c>
      <c r="F81" s="42" t="s">
        <v>357</v>
      </c>
      <c r="G81" s="39" t="s">
        <v>70</v>
      </c>
      <c r="H81" s="40" t="s">
        <v>71</v>
      </c>
      <c r="I81" s="53">
        <v>45756</v>
      </c>
      <c r="J81" s="40"/>
      <c r="K81" s="61">
        <v>3</v>
      </c>
      <c r="L81" s="58">
        <v>3</v>
      </c>
      <c r="M81" s="58">
        <v>3</v>
      </c>
      <c r="N81" s="61">
        <v>3</v>
      </c>
      <c r="O81" s="58">
        <v>3</v>
      </c>
      <c r="P81" s="72">
        <v>3</v>
      </c>
      <c r="Q81" s="58">
        <v>3</v>
      </c>
      <c r="R81" s="56">
        <f t="shared" si="3"/>
        <v>21</v>
      </c>
      <c r="S81" s="65">
        <f t="shared" si="5"/>
        <v>1</v>
      </c>
      <c r="T81" s="54" t="str">
        <f t="shared" si="4"/>
        <v>ÓPTIMO</v>
      </c>
    </row>
    <row r="82" spans="1:20">
      <c r="A82" s="41">
        <v>21819700</v>
      </c>
      <c r="B82" s="41">
        <v>0</v>
      </c>
      <c r="C82" s="41" t="s">
        <v>358</v>
      </c>
      <c r="D82" s="42" t="s">
        <v>359</v>
      </c>
      <c r="E82" s="42" t="s">
        <v>118</v>
      </c>
      <c r="F82" s="42" t="s">
        <v>360</v>
      </c>
      <c r="G82" s="39" t="s">
        <v>70</v>
      </c>
      <c r="H82" s="40" t="s">
        <v>71</v>
      </c>
      <c r="I82" s="53">
        <v>45756</v>
      </c>
      <c r="J82" s="40"/>
      <c r="K82" s="61">
        <v>1</v>
      </c>
      <c r="L82" s="58">
        <v>2</v>
      </c>
      <c r="M82" s="58">
        <v>1</v>
      </c>
      <c r="N82" s="61">
        <v>2</v>
      </c>
      <c r="O82" s="58">
        <v>2</v>
      </c>
      <c r="P82" s="72">
        <v>2</v>
      </c>
      <c r="Q82" s="58">
        <v>2</v>
      </c>
      <c r="R82" s="56">
        <f t="shared" si="3"/>
        <v>12</v>
      </c>
      <c r="S82" s="65">
        <f t="shared" si="5"/>
        <v>0.5714285714285714</v>
      </c>
      <c r="T82" s="54" t="str">
        <f t="shared" si="4"/>
        <v>BASE</v>
      </c>
    </row>
    <row r="83" spans="1:20">
      <c r="A83" s="41">
        <v>21821743</v>
      </c>
      <c r="B83" s="41">
        <v>5</v>
      </c>
      <c r="C83" s="41" t="s">
        <v>361</v>
      </c>
      <c r="D83" s="42" t="s">
        <v>362</v>
      </c>
      <c r="E83" s="42" t="s">
        <v>363</v>
      </c>
      <c r="F83" s="42" t="s">
        <v>364</v>
      </c>
      <c r="G83" s="39" t="s">
        <v>70</v>
      </c>
      <c r="H83" s="40" t="s">
        <v>71</v>
      </c>
      <c r="I83" s="53">
        <v>45756</v>
      </c>
      <c r="J83" s="40"/>
      <c r="K83" s="61">
        <v>3</v>
      </c>
      <c r="L83" s="58">
        <v>3</v>
      </c>
      <c r="M83" s="58">
        <v>3</v>
      </c>
      <c r="N83" s="61">
        <v>3</v>
      </c>
      <c r="O83" s="58">
        <v>3</v>
      </c>
      <c r="P83" s="72">
        <v>2</v>
      </c>
      <c r="Q83" s="58">
        <v>3</v>
      </c>
      <c r="R83" s="56">
        <f t="shared" si="3"/>
        <v>20</v>
      </c>
      <c r="S83" s="65">
        <f t="shared" si="5"/>
        <v>0.95238095238095233</v>
      </c>
      <c r="T83" s="54" t="str">
        <f t="shared" si="4"/>
        <v>ÓPTIMO</v>
      </c>
    </row>
    <row r="84" spans="1:20">
      <c r="A84" s="41">
        <v>21836947</v>
      </c>
      <c r="B84" s="41">
        <v>2</v>
      </c>
      <c r="C84" s="41" t="s">
        <v>365</v>
      </c>
      <c r="D84" s="42" t="s">
        <v>366</v>
      </c>
      <c r="E84" s="42" t="s">
        <v>367</v>
      </c>
      <c r="F84" s="42" t="s">
        <v>368</v>
      </c>
      <c r="G84" s="39" t="s">
        <v>70</v>
      </c>
      <c r="H84" s="40" t="s">
        <v>71</v>
      </c>
      <c r="I84" s="53">
        <v>45756</v>
      </c>
      <c r="J84" s="40"/>
      <c r="K84" s="61">
        <v>2</v>
      </c>
      <c r="L84" s="58">
        <v>3</v>
      </c>
      <c r="M84" s="58">
        <v>2</v>
      </c>
      <c r="N84" s="61">
        <v>3</v>
      </c>
      <c r="O84" s="58">
        <v>3</v>
      </c>
      <c r="P84" s="72">
        <v>2</v>
      </c>
      <c r="Q84" s="58">
        <v>2</v>
      </c>
      <c r="R84" s="56">
        <f t="shared" si="3"/>
        <v>17</v>
      </c>
      <c r="S84" s="65">
        <f t="shared" si="5"/>
        <v>0.80952380952380953</v>
      </c>
      <c r="T84" s="54" t="str">
        <f t="shared" si="4"/>
        <v>SATISFACTORIO</v>
      </c>
    </row>
    <row r="85" spans="1:20">
      <c r="A85" s="41">
        <v>21850279</v>
      </c>
      <c r="B85" s="41">
        <v>2</v>
      </c>
      <c r="C85" s="41" t="s">
        <v>369</v>
      </c>
      <c r="D85" s="42" t="s">
        <v>362</v>
      </c>
      <c r="E85" s="42" t="s">
        <v>370</v>
      </c>
      <c r="F85" s="42" t="s">
        <v>371</v>
      </c>
      <c r="G85" s="39" t="s">
        <v>70</v>
      </c>
      <c r="H85" s="40" t="s">
        <v>71</v>
      </c>
      <c r="I85" s="53">
        <v>45756</v>
      </c>
      <c r="J85" s="40"/>
      <c r="K85" s="61">
        <v>3</v>
      </c>
      <c r="L85" s="58">
        <v>3</v>
      </c>
      <c r="M85" s="58">
        <v>3</v>
      </c>
      <c r="N85" s="61">
        <v>2</v>
      </c>
      <c r="O85" s="58">
        <v>1</v>
      </c>
      <c r="P85" s="72">
        <v>1</v>
      </c>
      <c r="Q85" s="58">
        <v>2</v>
      </c>
      <c r="R85" s="56">
        <f t="shared" si="3"/>
        <v>15</v>
      </c>
      <c r="S85" s="65">
        <f t="shared" si="5"/>
        <v>0.7142857142857143</v>
      </c>
      <c r="T85" s="54" t="str">
        <f t="shared" si="4"/>
        <v>SATISFACTORIO</v>
      </c>
    </row>
    <row r="86" spans="1:20">
      <c r="A86" s="41">
        <v>21855994</v>
      </c>
      <c r="B86" s="41">
        <v>8</v>
      </c>
      <c r="C86" s="41" t="s">
        <v>372</v>
      </c>
      <c r="D86" s="42" t="s">
        <v>373</v>
      </c>
      <c r="E86" s="42" t="s">
        <v>374</v>
      </c>
      <c r="F86" s="42" t="s">
        <v>79</v>
      </c>
      <c r="G86" s="39" t="s">
        <v>70</v>
      </c>
      <c r="H86" s="40" t="s">
        <v>71</v>
      </c>
      <c r="I86" s="53">
        <v>45756</v>
      </c>
      <c r="J86" s="40"/>
      <c r="K86" s="61">
        <v>2</v>
      </c>
      <c r="L86" s="58">
        <v>3</v>
      </c>
      <c r="M86" s="58">
        <v>2</v>
      </c>
      <c r="N86" s="61">
        <v>3</v>
      </c>
      <c r="O86" s="58">
        <v>3</v>
      </c>
      <c r="P86" s="72">
        <v>3</v>
      </c>
      <c r="Q86" s="58">
        <v>3</v>
      </c>
      <c r="R86" s="56">
        <f t="shared" si="3"/>
        <v>19</v>
      </c>
      <c r="S86" s="65">
        <f t="shared" si="5"/>
        <v>0.90476190476190477</v>
      </c>
      <c r="T86" s="54" t="str">
        <f t="shared" si="4"/>
        <v>ÓPTIMO</v>
      </c>
    </row>
    <row r="87" spans="1:20">
      <c r="A87" s="41">
        <v>21858173</v>
      </c>
      <c r="B87" s="41">
        <v>0</v>
      </c>
      <c r="C87" s="41" t="s">
        <v>375</v>
      </c>
      <c r="D87" s="42" t="s">
        <v>108</v>
      </c>
      <c r="E87" s="42" t="s">
        <v>376</v>
      </c>
      <c r="F87" s="42" t="s">
        <v>377</v>
      </c>
      <c r="G87" s="39" t="s">
        <v>70</v>
      </c>
      <c r="H87" s="40" t="s">
        <v>71</v>
      </c>
      <c r="I87" s="53">
        <v>45756</v>
      </c>
      <c r="J87" s="32"/>
      <c r="K87" s="59">
        <v>3</v>
      </c>
      <c r="L87" s="60">
        <v>3</v>
      </c>
      <c r="M87" s="60">
        <v>3</v>
      </c>
      <c r="N87" s="59">
        <v>2</v>
      </c>
      <c r="O87" s="60">
        <v>2</v>
      </c>
      <c r="P87" s="73">
        <v>2</v>
      </c>
      <c r="Q87" s="60">
        <v>2</v>
      </c>
      <c r="R87" s="56">
        <f t="shared" si="3"/>
        <v>17</v>
      </c>
      <c r="S87" s="65">
        <f t="shared" si="5"/>
        <v>0.80952380952380953</v>
      </c>
      <c r="T87" s="54" t="str">
        <f t="shared" si="4"/>
        <v>SATISFACTORIO</v>
      </c>
    </row>
    <row r="88" spans="1:20">
      <c r="A88" s="41">
        <v>21861608</v>
      </c>
      <c r="B88" s="41">
        <v>9</v>
      </c>
      <c r="C88" s="41" t="s">
        <v>378</v>
      </c>
      <c r="D88" s="42" t="s">
        <v>379</v>
      </c>
      <c r="E88" s="42" t="s">
        <v>380</v>
      </c>
      <c r="F88" s="42" t="s">
        <v>381</v>
      </c>
      <c r="G88" s="39" t="s">
        <v>70</v>
      </c>
      <c r="H88" s="40" t="s">
        <v>71</v>
      </c>
      <c r="I88" s="53">
        <v>45756</v>
      </c>
      <c r="J88" s="40"/>
      <c r="K88" s="61">
        <v>3</v>
      </c>
      <c r="L88" s="58">
        <v>3</v>
      </c>
      <c r="M88" s="58">
        <v>3</v>
      </c>
      <c r="N88" s="61">
        <v>2</v>
      </c>
      <c r="O88" s="58">
        <v>2</v>
      </c>
      <c r="P88" s="72">
        <v>2</v>
      </c>
      <c r="Q88" s="58">
        <v>2</v>
      </c>
      <c r="R88" s="56">
        <f t="shared" si="3"/>
        <v>17</v>
      </c>
      <c r="S88" s="65">
        <f t="shared" si="5"/>
        <v>0.80952380952380953</v>
      </c>
      <c r="T88" s="54" t="str">
        <f t="shared" si="4"/>
        <v>SATISFACTORIO</v>
      </c>
    </row>
    <row r="89" spans="1:20">
      <c r="A89" s="41">
        <v>21890049</v>
      </c>
      <c r="B89" s="41">
        <v>6</v>
      </c>
      <c r="C89" s="41" t="s">
        <v>382</v>
      </c>
      <c r="D89" s="42" t="s">
        <v>383</v>
      </c>
      <c r="E89" s="42" t="s">
        <v>306</v>
      </c>
      <c r="F89" s="42" t="s">
        <v>384</v>
      </c>
      <c r="G89" s="39" t="s">
        <v>70</v>
      </c>
      <c r="H89" s="40" t="s">
        <v>71</v>
      </c>
      <c r="I89" s="53">
        <v>45756</v>
      </c>
      <c r="J89" s="40"/>
      <c r="K89" s="61">
        <v>2</v>
      </c>
      <c r="L89" s="58">
        <v>3</v>
      </c>
      <c r="M89" s="58">
        <v>3</v>
      </c>
      <c r="N89" s="61">
        <v>3</v>
      </c>
      <c r="O89" s="58">
        <v>3</v>
      </c>
      <c r="P89" s="72">
        <v>3</v>
      </c>
      <c r="Q89" s="58">
        <v>3</v>
      </c>
      <c r="R89" s="56">
        <f t="shared" si="3"/>
        <v>20</v>
      </c>
      <c r="S89" s="65">
        <f t="shared" si="5"/>
        <v>0.95238095238095233</v>
      </c>
      <c r="T89" s="54" t="str">
        <f t="shared" si="4"/>
        <v>ÓPTIMO</v>
      </c>
    </row>
    <row r="90" spans="1:20">
      <c r="A90" s="41">
        <v>22376768</v>
      </c>
      <c r="B90" s="41">
        <v>0</v>
      </c>
      <c r="C90" s="41" t="s">
        <v>385</v>
      </c>
      <c r="D90" s="42" t="s">
        <v>386</v>
      </c>
      <c r="E90" s="42" t="s">
        <v>387</v>
      </c>
      <c r="F90" s="42" t="s">
        <v>388</v>
      </c>
      <c r="G90" s="39" t="s">
        <v>70</v>
      </c>
      <c r="H90" s="40" t="s">
        <v>71</v>
      </c>
      <c r="I90" s="53">
        <v>45756</v>
      </c>
      <c r="J90" s="32"/>
      <c r="K90" s="59">
        <v>2</v>
      </c>
      <c r="L90" s="60">
        <v>3</v>
      </c>
      <c r="M90" s="60">
        <v>2</v>
      </c>
      <c r="N90" s="59">
        <v>2</v>
      </c>
      <c r="O90" s="60">
        <v>2</v>
      </c>
      <c r="P90" s="73">
        <v>2</v>
      </c>
      <c r="Q90" s="60">
        <v>2</v>
      </c>
      <c r="R90" s="56">
        <f t="shared" si="3"/>
        <v>15</v>
      </c>
      <c r="S90" s="65">
        <f t="shared" si="5"/>
        <v>0.7142857142857143</v>
      </c>
      <c r="T90" s="54" t="str">
        <f t="shared" si="4"/>
        <v>SATISFACTORIO</v>
      </c>
    </row>
    <row r="91" spans="1:20">
      <c r="A91" s="41">
        <v>23679618</v>
      </c>
      <c r="B91" s="41">
        <v>3</v>
      </c>
      <c r="C91" s="41" t="s">
        <v>389</v>
      </c>
      <c r="D91" s="42" t="s">
        <v>390</v>
      </c>
      <c r="E91" s="42" t="s">
        <v>391</v>
      </c>
      <c r="F91" s="42" t="s">
        <v>392</v>
      </c>
      <c r="G91" s="39" t="s">
        <v>70</v>
      </c>
      <c r="H91" s="40" t="s">
        <v>71</v>
      </c>
      <c r="I91" s="53">
        <v>45756</v>
      </c>
      <c r="J91" s="40"/>
      <c r="K91" s="61">
        <v>2</v>
      </c>
      <c r="L91" s="58">
        <v>2</v>
      </c>
      <c r="M91" s="58">
        <v>2</v>
      </c>
      <c r="N91" s="61">
        <v>3</v>
      </c>
      <c r="O91" s="58">
        <v>1</v>
      </c>
      <c r="P91" s="72">
        <v>2</v>
      </c>
      <c r="Q91" s="58">
        <v>2</v>
      </c>
      <c r="R91" s="56">
        <f t="shared" si="3"/>
        <v>14</v>
      </c>
      <c r="S91" s="65">
        <f t="shared" si="5"/>
        <v>0.66666666666666663</v>
      </c>
      <c r="T91" s="54" t="str">
        <f t="shared" si="4"/>
        <v>SATISFACTORIO</v>
      </c>
    </row>
    <row r="92" spans="1:20">
      <c r="A92" s="41">
        <v>23943809</v>
      </c>
      <c r="B92" s="41">
        <v>1</v>
      </c>
      <c r="C92" s="41" t="s">
        <v>393</v>
      </c>
      <c r="D92" s="42" t="s">
        <v>394</v>
      </c>
      <c r="E92" s="42" t="s">
        <v>395</v>
      </c>
      <c r="F92" s="42" t="s">
        <v>396</v>
      </c>
      <c r="G92" s="39" t="s">
        <v>70</v>
      </c>
      <c r="H92" s="40" t="s">
        <v>71</v>
      </c>
      <c r="I92" s="53">
        <v>45756</v>
      </c>
      <c r="J92" s="40"/>
      <c r="K92" s="61">
        <v>1</v>
      </c>
      <c r="L92" s="58">
        <v>2</v>
      </c>
      <c r="M92" s="58">
        <v>1</v>
      </c>
      <c r="N92" s="61">
        <v>3</v>
      </c>
      <c r="O92" s="58">
        <v>1</v>
      </c>
      <c r="P92" s="72">
        <v>2</v>
      </c>
      <c r="Q92" s="58">
        <v>2</v>
      </c>
      <c r="R92" s="56">
        <f t="shared" si="3"/>
        <v>12</v>
      </c>
      <c r="S92" s="65">
        <f t="shared" si="5"/>
        <v>0.5714285714285714</v>
      </c>
      <c r="T92" s="54" t="str">
        <f t="shared" si="4"/>
        <v>BASE</v>
      </c>
    </row>
    <row r="93" spans="1:20">
      <c r="A93" s="41">
        <v>25405375</v>
      </c>
      <c r="B93" s="41">
        <v>9</v>
      </c>
      <c r="C93" s="41" t="s">
        <v>397</v>
      </c>
      <c r="D93" s="42" t="s">
        <v>398</v>
      </c>
      <c r="E93" s="42" t="s">
        <v>229</v>
      </c>
      <c r="F93" s="42" t="s">
        <v>399</v>
      </c>
      <c r="G93" s="39" t="s">
        <v>70</v>
      </c>
      <c r="H93" s="40" t="s">
        <v>71</v>
      </c>
      <c r="I93" s="53">
        <v>45756</v>
      </c>
      <c r="J93" s="40"/>
      <c r="K93" s="61">
        <v>2</v>
      </c>
      <c r="L93" s="58">
        <v>3</v>
      </c>
      <c r="M93" s="58">
        <v>3</v>
      </c>
      <c r="N93" s="61">
        <v>2</v>
      </c>
      <c r="O93" s="58">
        <v>2</v>
      </c>
      <c r="P93" s="72">
        <v>2</v>
      </c>
      <c r="Q93" s="58">
        <v>2</v>
      </c>
      <c r="R93" s="56">
        <f t="shared" si="3"/>
        <v>16</v>
      </c>
      <c r="S93" s="65">
        <f t="shared" si="5"/>
        <v>0.76190476190476186</v>
      </c>
      <c r="T93" s="54" t="str">
        <f t="shared" si="4"/>
        <v>SATISFACTORIO</v>
      </c>
    </row>
    <row r="94" spans="1:20">
      <c r="A94" s="41">
        <v>25833397</v>
      </c>
      <c r="B94" s="41">
        <v>7</v>
      </c>
      <c r="C94" s="41" t="s">
        <v>400</v>
      </c>
      <c r="D94" s="42" t="s">
        <v>401</v>
      </c>
      <c r="E94" s="42" t="s">
        <v>402</v>
      </c>
      <c r="F94" s="42" t="s">
        <v>403</v>
      </c>
      <c r="G94" s="39" t="s">
        <v>70</v>
      </c>
      <c r="H94" s="40" t="s">
        <v>71</v>
      </c>
      <c r="I94" s="53">
        <v>45756</v>
      </c>
      <c r="J94" s="40"/>
      <c r="K94" s="61">
        <v>3</v>
      </c>
      <c r="L94" s="58">
        <v>3</v>
      </c>
      <c r="M94" s="58">
        <v>3</v>
      </c>
      <c r="N94" s="61">
        <v>3</v>
      </c>
      <c r="O94" s="58">
        <v>3</v>
      </c>
      <c r="P94" s="72">
        <v>3</v>
      </c>
      <c r="Q94" s="58">
        <v>3</v>
      </c>
      <c r="R94" s="56">
        <f t="shared" si="3"/>
        <v>21</v>
      </c>
      <c r="S94" s="65">
        <f t="shared" si="5"/>
        <v>1</v>
      </c>
      <c r="T94" s="54" t="str">
        <f t="shared" si="4"/>
        <v>ÓPTIMO</v>
      </c>
    </row>
    <row r="95" spans="1:20">
      <c r="A95" s="41">
        <v>25910113</v>
      </c>
      <c r="B95" s="41">
        <v>1</v>
      </c>
      <c r="C95" s="41" t="s">
        <v>404</v>
      </c>
      <c r="D95" s="42" t="s">
        <v>405</v>
      </c>
      <c r="E95" s="42" t="s">
        <v>406</v>
      </c>
      <c r="F95" s="42" t="s">
        <v>407</v>
      </c>
      <c r="G95" s="39" t="s">
        <v>70</v>
      </c>
      <c r="H95" s="40" t="s">
        <v>71</v>
      </c>
      <c r="I95" s="53">
        <v>45756</v>
      </c>
      <c r="J95" s="40"/>
      <c r="K95" s="61">
        <v>2</v>
      </c>
      <c r="L95" s="58">
        <v>3</v>
      </c>
      <c r="M95" s="58">
        <v>2</v>
      </c>
      <c r="N95" s="61">
        <v>2</v>
      </c>
      <c r="O95" s="58">
        <v>2</v>
      </c>
      <c r="P95" s="72">
        <v>2</v>
      </c>
      <c r="Q95" s="58">
        <v>2</v>
      </c>
      <c r="R95" s="56">
        <f t="shared" si="3"/>
        <v>15</v>
      </c>
      <c r="S95" s="65">
        <f t="shared" si="5"/>
        <v>0.7142857142857143</v>
      </c>
      <c r="T95" s="54" t="str">
        <f t="shared" si="4"/>
        <v>SATISFACTORIO</v>
      </c>
    </row>
    <row r="96" spans="1:20">
      <c r="A96" s="41">
        <v>25987192</v>
      </c>
      <c r="B96" s="41">
        <v>1</v>
      </c>
      <c r="C96" s="41" t="s">
        <v>408</v>
      </c>
      <c r="D96" s="42" t="s">
        <v>409</v>
      </c>
      <c r="E96" s="42" t="s">
        <v>410</v>
      </c>
      <c r="F96" s="42" t="s">
        <v>411</v>
      </c>
      <c r="G96" s="39" t="s">
        <v>70</v>
      </c>
      <c r="H96" s="40" t="s">
        <v>71</v>
      </c>
      <c r="I96" s="53">
        <v>45756</v>
      </c>
      <c r="J96" s="40"/>
      <c r="K96" s="61">
        <v>1</v>
      </c>
      <c r="L96" s="58">
        <v>2</v>
      </c>
      <c r="M96" s="58">
        <v>2</v>
      </c>
      <c r="N96" s="61">
        <v>3</v>
      </c>
      <c r="O96" s="58">
        <v>1</v>
      </c>
      <c r="P96" s="72">
        <v>2</v>
      </c>
      <c r="Q96" s="58">
        <v>2</v>
      </c>
      <c r="R96" s="56">
        <f t="shared" si="3"/>
        <v>13</v>
      </c>
      <c r="S96" s="65">
        <f t="shared" si="5"/>
        <v>0.61904761904761907</v>
      </c>
      <c r="T96" s="54" t="str">
        <f t="shared" si="4"/>
        <v>BASE</v>
      </c>
    </row>
    <row r="97" spans="1:20">
      <c r="A97" s="41">
        <v>26050332</v>
      </c>
      <c r="B97" s="41">
        <v>4</v>
      </c>
      <c r="C97" s="41" t="s">
        <v>412</v>
      </c>
      <c r="D97" s="42" t="s">
        <v>233</v>
      </c>
      <c r="E97" s="42" t="s">
        <v>413</v>
      </c>
      <c r="F97" s="42" t="s">
        <v>414</v>
      </c>
      <c r="G97" s="39" t="s">
        <v>70</v>
      </c>
      <c r="H97" s="40" t="s">
        <v>71</v>
      </c>
      <c r="I97" s="53">
        <v>45756</v>
      </c>
      <c r="J97" s="40"/>
      <c r="K97" s="61">
        <v>3</v>
      </c>
      <c r="L97" s="58">
        <v>3</v>
      </c>
      <c r="M97" s="58">
        <v>3</v>
      </c>
      <c r="N97" s="61">
        <v>3</v>
      </c>
      <c r="O97" s="58">
        <v>2</v>
      </c>
      <c r="P97" s="72">
        <v>2</v>
      </c>
      <c r="Q97" s="58">
        <v>2</v>
      </c>
      <c r="R97" s="56">
        <f t="shared" si="3"/>
        <v>18</v>
      </c>
      <c r="S97" s="65">
        <f t="shared" si="5"/>
        <v>0.8571428571428571</v>
      </c>
      <c r="T97" s="54" t="str">
        <f t="shared" si="4"/>
        <v>ÓPTIMO</v>
      </c>
    </row>
    <row r="98" spans="1:20">
      <c r="A98" s="41">
        <v>26337020</v>
      </c>
      <c r="B98" s="41">
        <v>1</v>
      </c>
      <c r="C98" s="41" t="s">
        <v>415</v>
      </c>
      <c r="D98" s="42" t="s">
        <v>109</v>
      </c>
      <c r="E98" s="42" t="s">
        <v>178</v>
      </c>
      <c r="F98" s="42" t="s">
        <v>416</v>
      </c>
      <c r="G98" s="39" t="s">
        <v>70</v>
      </c>
      <c r="H98" s="40" t="s">
        <v>71</v>
      </c>
      <c r="I98" s="53">
        <v>45756</v>
      </c>
      <c r="J98" s="40"/>
      <c r="K98" s="61">
        <v>3</v>
      </c>
      <c r="L98" s="58">
        <v>3</v>
      </c>
      <c r="M98" s="58">
        <v>3</v>
      </c>
      <c r="N98" s="61">
        <v>2</v>
      </c>
      <c r="O98" s="58">
        <v>0</v>
      </c>
      <c r="P98" s="72">
        <v>2</v>
      </c>
      <c r="Q98" s="58">
        <v>2</v>
      </c>
      <c r="R98" s="56">
        <f t="shared" si="3"/>
        <v>15</v>
      </c>
      <c r="S98" s="65">
        <f t="shared" si="5"/>
        <v>0.7142857142857143</v>
      </c>
      <c r="T98" s="54" t="str">
        <f t="shared" si="4"/>
        <v>SATISFACTORIO</v>
      </c>
    </row>
    <row r="99" spans="1:20">
      <c r="A99" s="41">
        <v>26399629</v>
      </c>
      <c r="B99" s="41">
        <v>1</v>
      </c>
      <c r="C99" s="41" t="s">
        <v>417</v>
      </c>
      <c r="D99" s="42" t="s">
        <v>418</v>
      </c>
      <c r="E99" s="42" t="s">
        <v>419</v>
      </c>
      <c r="F99" s="42" t="s">
        <v>420</v>
      </c>
      <c r="G99" s="39" t="s">
        <v>70</v>
      </c>
      <c r="H99" s="40" t="s">
        <v>71</v>
      </c>
      <c r="I99" s="53">
        <v>45756</v>
      </c>
      <c r="J99" s="40"/>
      <c r="K99" s="61">
        <v>0</v>
      </c>
      <c r="L99" s="58">
        <v>0</v>
      </c>
      <c r="M99" s="58">
        <v>0</v>
      </c>
      <c r="N99" s="61">
        <v>3</v>
      </c>
      <c r="O99" s="58">
        <v>3</v>
      </c>
      <c r="P99" s="72">
        <v>3</v>
      </c>
      <c r="Q99" s="58">
        <v>3</v>
      </c>
      <c r="R99" s="56">
        <f t="shared" si="3"/>
        <v>12</v>
      </c>
      <c r="S99" s="65">
        <f t="shared" si="5"/>
        <v>0.5714285714285714</v>
      </c>
      <c r="T99" s="54" t="str">
        <f t="shared" si="4"/>
        <v>BASE</v>
      </c>
    </row>
    <row r="100" spans="1:20">
      <c r="A100" s="41">
        <v>26752605</v>
      </c>
      <c r="B100" s="41">
        <v>2</v>
      </c>
      <c r="C100" s="41" t="s">
        <v>421</v>
      </c>
      <c r="D100" s="42" t="s">
        <v>422</v>
      </c>
      <c r="E100" s="42" t="s">
        <v>422</v>
      </c>
      <c r="F100" s="42" t="s">
        <v>423</v>
      </c>
      <c r="G100" s="39" t="s">
        <v>70</v>
      </c>
      <c r="H100" s="40" t="s">
        <v>71</v>
      </c>
      <c r="I100" s="53">
        <v>45756</v>
      </c>
      <c r="J100" s="40"/>
      <c r="K100" s="61">
        <v>3</v>
      </c>
      <c r="L100" s="58">
        <v>3</v>
      </c>
      <c r="M100" s="58">
        <v>3</v>
      </c>
      <c r="N100" s="61">
        <v>3</v>
      </c>
      <c r="O100" s="58">
        <v>3</v>
      </c>
      <c r="P100" s="72">
        <v>3</v>
      </c>
      <c r="Q100" s="58">
        <v>3</v>
      </c>
      <c r="R100" s="56">
        <f t="shared" si="3"/>
        <v>21</v>
      </c>
      <c r="S100" s="65">
        <f t="shared" si="5"/>
        <v>1</v>
      </c>
      <c r="T100" s="54" t="str">
        <f t="shared" si="4"/>
        <v>ÓPTIMO</v>
      </c>
    </row>
    <row r="101" spans="1:20">
      <c r="A101" s="41">
        <v>26812981</v>
      </c>
      <c r="B101" s="41">
        <v>2</v>
      </c>
      <c r="C101" s="41" t="s">
        <v>424</v>
      </c>
      <c r="D101" s="42" t="s">
        <v>425</v>
      </c>
      <c r="E101" s="42" t="s">
        <v>426</v>
      </c>
      <c r="F101" s="42" t="s">
        <v>427</v>
      </c>
      <c r="G101" s="39" t="s">
        <v>70</v>
      </c>
      <c r="H101" s="40" t="s">
        <v>71</v>
      </c>
      <c r="I101" s="53">
        <v>45756</v>
      </c>
      <c r="J101" s="40"/>
      <c r="K101" s="61">
        <v>2</v>
      </c>
      <c r="L101" s="58">
        <v>3</v>
      </c>
      <c r="M101" s="58">
        <v>3</v>
      </c>
      <c r="N101" s="61">
        <v>3</v>
      </c>
      <c r="O101" s="58">
        <v>0</v>
      </c>
      <c r="P101" s="72">
        <v>2</v>
      </c>
      <c r="Q101" s="58">
        <v>2</v>
      </c>
      <c r="R101" s="56">
        <f t="shared" si="3"/>
        <v>15</v>
      </c>
      <c r="S101" s="65">
        <f t="shared" si="5"/>
        <v>0.7142857142857143</v>
      </c>
      <c r="T101" s="54" t="str">
        <f t="shared" si="4"/>
        <v>SATISFACTORIO</v>
      </c>
    </row>
    <row r="102" spans="1:20">
      <c r="A102" s="41">
        <v>27028413</v>
      </c>
      <c r="B102" s="41">
        <v>2</v>
      </c>
      <c r="C102" s="41" t="s">
        <v>428</v>
      </c>
      <c r="D102" s="42" t="s">
        <v>429</v>
      </c>
      <c r="E102" s="42" t="s">
        <v>430</v>
      </c>
      <c r="F102" s="42" t="s">
        <v>431</v>
      </c>
      <c r="G102" s="39" t="s">
        <v>70</v>
      </c>
      <c r="H102" s="40" t="s">
        <v>71</v>
      </c>
      <c r="I102" s="53">
        <v>45756</v>
      </c>
      <c r="J102" s="32"/>
      <c r="K102" s="59">
        <v>2</v>
      </c>
      <c r="L102" s="60">
        <v>2</v>
      </c>
      <c r="M102" s="60">
        <v>1</v>
      </c>
      <c r="N102" s="59">
        <v>3</v>
      </c>
      <c r="O102" s="60">
        <v>3</v>
      </c>
      <c r="P102" s="73">
        <v>3</v>
      </c>
      <c r="Q102" s="60">
        <v>3</v>
      </c>
      <c r="R102" s="56">
        <f t="shared" si="3"/>
        <v>17</v>
      </c>
      <c r="S102" s="65">
        <f t="shared" si="5"/>
        <v>0.80952380952380953</v>
      </c>
      <c r="T102" s="54" t="str">
        <f t="shared" si="4"/>
        <v>SATISFACTORIO</v>
      </c>
    </row>
  </sheetData>
  <autoFilter ref="A3:T3" xr:uid="{DE9F2B4C-EC85-4CB8-B705-3F4642D8D0B0}"/>
  <mergeCells count="4">
    <mergeCell ref="R1:T2"/>
    <mergeCell ref="A1:J2"/>
    <mergeCell ref="K1:M2"/>
    <mergeCell ref="N1:Q2"/>
  </mergeCells>
  <phoneticPr fontId="13" type="noConversion"/>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C80E4FF3-F04B-424A-9E02-87A32A990A2A}">
          <x14:formula1>
            <xm:f>'Validación datos NO BORRAR'!$E$4:$E$9</xm:f>
          </x14:formula1>
          <xm:sqref>G4:G102</xm:sqref>
        </x14:dataValidation>
        <x14:dataValidation type="list" allowBlank="1" showInputMessage="1" showErrorMessage="1" xr:uid="{814046D8-0D01-4803-92BA-E5A904CCFC14}">
          <x14:formula1>
            <xm:f>'Validación datos NO BORRAR'!$F$4:$F$7</xm:f>
          </x14:formula1>
          <xm:sqref>H4:H102</xm:sqref>
        </x14:dataValidation>
        <x14:dataValidation type="list" allowBlank="1" showInputMessage="1" showErrorMessage="1" xr:uid="{EEE5D106-6DEF-4A5D-9A4C-E1CD814D0053}">
          <x14:formula1>
            <xm:f>'Validación datos NO BORRAR'!$G$4:$G$6</xm:f>
          </x14:formula1>
          <xm:sqref>J4:J102</xm:sqref>
        </x14:dataValidation>
        <x14:dataValidation type="list" allowBlank="1" showInputMessage="1" showErrorMessage="1" xr:uid="{02475E91-629E-4FD0-893D-FBEA06FFE40C}">
          <x14:formula1>
            <xm:f>'Validación datos NO BORRAR'!$H$4:$H$7</xm:f>
          </x14:formula1>
          <xm:sqref>K4:Q102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A8E9D-2360-4E40-A1FD-817EBA16C544}">
  <dimension ref="A1:N4"/>
  <sheetViews>
    <sheetView zoomScale="90" zoomScaleNormal="90" workbookViewId="0">
      <selection activeCell="D4" sqref="D4"/>
    </sheetView>
  </sheetViews>
  <sheetFormatPr defaultColWidth="11.42578125" defaultRowHeight="15"/>
  <cols>
    <col min="1" max="1" width="18.85546875" customWidth="1"/>
    <col min="2" max="3" width="28.140625" style="62" customWidth="1"/>
    <col min="4" max="13" width="24" style="62" customWidth="1"/>
    <col min="14" max="14" width="11.42578125" style="62"/>
  </cols>
  <sheetData>
    <row r="1" spans="1:13" ht="15" customHeight="1">
      <c r="D1" s="114" t="s">
        <v>432</v>
      </c>
      <c r="E1" s="115"/>
      <c r="F1" s="115"/>
      <c r="G1" s="127" t="s">
        <v>44</v>
      </c>
      <c r="H1" s="128"/>
      <c r="I1" s="128"/>
      <c r="J1" s="128"/>
      <c r="K1" s="102" t="s">
        <v>433</v>
      </c>
      <c r="L1" s="103"/>
      <c r="M1" s="104"/>
    </row>
    <row r="2" spans="1:13" ht="197.25" customHeight="1">
      <c r="D2" s="116"/>
      <c r="E2" s="117"/>
      <c r="F2" s="117"/>
      <c r="G2" s="129"/>
      <c r="H2" s="130"/>
      <c r="I2" s="130"/>
      <c r="J2" s="130"/>
      <c r="K2" s="124"/>
      <c r="L2" s="125"/>
      <c r="M2" s="126"/>
    </row>
    <row r="3" spans="1:13" ht="105.75" customHeight="1">
      <c r="A3" s="29" t="s">
        <v>434</v>
      </c>
      <c r="B3" s="30" t="s">
        <v>435</v>
      </c>
      <c r="C3" s="30" t="s">
        <v>436</v>
      </c>
      <c r="D3" s="31" t="s">
        <v>437</v>
      </c>
      <c r="E3" s="31" t="s">
        <v>438</v>
      </c>
      <c r="F3" s="31" t="s">
        <v>439</v>
      </c>
      <c r="G3" s="48" t="s">
        <v>437</v>
      </c>
      <c r="H3" s="48" t="s">
        <v>438</v>
      </c>
      <c r="I3" s="48" t="s">
        <v>439</v>
      </c>
      <c r="J3" s="48" t="s">
        <v>440</v>
      </c>
      <c r="K3" s="47" t="s">
        <v>441</v>
      </c>
      <c r="L3" s="47" t="s">
        <v>442</v>
      </c>
      <c r="M3" s="47" t="s">
        <v>443</v>
      </c>
    </row>
    <row r="4" spans="1:13">
      <c r="A4" s="66">
        <v>99</v>
      </c>
      <c r="B4" s="66">
        <v>93</v>
      </c>
      <c r="C4" s="67">
        <v>0.94</v>
      </c>
      <c r="D4" s="66"/>
      <c r="E4" s="66"/>
      <c r="F4" s="66"/>
      <c r="G4" s="66"/>
      <c r="H4" s="66"/>
      <c r="I4" s="66"/>
      <c r="J4" s="66"/>
      <c r="K4" s="66">
        <f>SUM(D4:J4)</f>
        <v>0</v>
      </c>
      <c r="L4" s="66"/>
      <c r="M4" s="66"/>
    </row>
  </sheetData>
  <mergeCells count="3">
    <mergeCell ref="K1:M2"/>
    <mergeCell ref="D1:F2"/>
    <mergeCell ref="G1:J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242E-9ED8-434F-A954-D62908371136}">
  <dimension ref="E2:L17"/>
  <sheetViews>
    <sheetView workbookViewId="0">
      <selection activeCell="E2" sqref="E2"/>
    </sheetView>
  </sheetViews>
  <sheetFormatPr defaultColWidth="11.42578125" defaultRowHeight="15"/>
  <cols>
    <col min="5" max="5" width="71" customWidth="1"/>
    <col min="6" max="6" width="20.140625" customWidth="1"/>
    <col min="7" max="7" width="31.7109375" customWidth="1"/>
    <col min="8" max="8" width="16.28515625" customWidth="1"/>
    <col min="12" max="12" width="13.42578125" customWidth="1"/>
    <col min="13" max="13" width="15.28515625" customWidth="1"/>
    <col min="14" max="14" width="16.28515625" customWidth="1"/>
    <col min="15" max="15" width="13.85546875" customWidth="1"/>
    <col min="16" max="16" width="14.42578125" customWidth="1"/>
    <col min="17" max="17" width="16" customWidth="1"/>
    <col min="18" max="18" width="17.140625" customWidth="1"/>
    <col min="19" max="19" width="15.5703125" customWidth="1"/>
    <col min="20" max="20" width="16" customWidth="1"/>
    <col min="21" max="21" width="15" customWidth="1"/>
  </cols>
  <sheetData>
    <row r="2" spans="5:12" ht="64.5" customHeight="1">
      <c r="H2" t="s">
        <v>444</v>
      </c>
    </row>
    <row r="3" spans="5:12">
      <c r="E3" s="33" t="s">
        <v>445</v>
      </c>
      <c r="F3" s="34" t="s">
        <v>53</v>
      </c>
      <c r="G3" s="34" t="s">
        <v>446</v>
      </c>
      <c r="H3" t="s">
        <v>447</v>
      </c>
      <c r="I3" t="s">
        <v>3</v>
      </c>
      <c r="J3" t="s">
        <v>4</v>
      </c>
      <c r="K3" t="s">
        <v>5</v>
      </c>
      <c r="L3" t="s">
        <v>22</v>
      </c>
    </row>
    <row r="4" spans="5:12">
      <c r="E4" s="32" t="s">
        <v>70</v>
      </c>
      <c r="F4" s="35" t="s">
        <v>71</v>
      </c>
      <c r="G4" s="32" t="s">
        <v>448</v>
      </c>
      <c r="H4">
        <v>0</v>
      </c>
      <c r="I4" t="s">
        <v>24</v>
      </c>
      <c r="J4" t="s">
        <v>25</v>
      </c>
      <c r="K4" t="s">
        <v>26</v>
      </c>
      <c r="L4" t="s">
        <v>27</v>
      </c>
    </row>
    <row r="5" spans="5:12">
      <c r="E5" s="32" t="s">
        <v>449</v>
      </c>
      <c r="F5" s="35" t="s">
        <v>89</v>
      </c>
      <c r="G5" s="32" t="s">
        <v>90</v>
      </c>
      <c r="H5">
        <v>1</v>
      </c>
    </row>
    <row r="6" spans="5:12">
      <c r="E6" s="32" t="s">
        <v>450</v>
      </c>
      <c r="F6" s="35" t="s">
        <v>451</v>
      </c>
      <c r="G6" s="32" t="s">
        <v>452</v>
      </c>
      <c r="H6">
        <v>2</v>
      </c>
    </row>
    <row r="7" spans="5:12">
      <c r="E7" s="32" t="s">
        <v>88</v>
      </c>
      <c r="F7" s="32" t="s">
        <v>452</v>
      </c>
      <c r="G7" s="32"/>
      <c r="H7">
        <v>3</v>
      </c>
    </row>
    <row r="8" spans="5:12">
      <c r="E8" s="32" t="s">
        <v>453</v>
      </c>
      <c r="F8" s="32"/>
      <c r="G8" s="32"/>
    </row>
    <row r="9" spans="5:12">
      <c r="E9" s="32" t="s">
        <v>454</v>
      </c>
      <c r="F9" s="32"/>
      <c r="G9" s="32"/>
    </row>
    <row r="10" spans="5:12">
      <c r="E10" s="32"/>
      <c r="F10" s="32"/>
      <c r="G10" s="32"/>
    </row>
    <row r="11" spans="5:12">
      <c r="E11" s="32"/>
      <c r="F11" s="32"/>
      <c r="G11" s="32"/>
    </row>
    <row r="12" spans="5:12">
      <c r="E12" s="32"/>
      <c r="F12" s="32"/>
      <c r="G12" s="32"/>
    </row>
    <row r="13" spans="5:12">
      <c r="E13" s="32"/>
      <c r="F13" s="32"/>
      <c r="G13" s="32"/>
    </row>
    <row r="14" spans="5:12">
      <c r="E14" s="32"/>
      <c r="F14" s="32"/>
      <c r="G14" s="32"/>
    </row>
    <row r="15" spans="5:12">
      <c r="E15" s="32"/>
      <c r="F15" s="32"/>
      <c r="G15" s="32"/>
    </row>
    <row r="16" spans="5:12">
      <c r="E16" s="32"/>
      <c r="F16" s="32"/>
      <c r="G16" s="32"/>
    </row>
    <row r="17" spans="5:7">
      <c r="E17" s="32"/>
      <c r="F17" s="32"/>
      <c r="G17" s="3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75EA-9231-4982-9D48-7B12DA83394B}">
  <dimension ref="A1:C4"/>
  <sheetViews>
    <sheetView workbookViewId="0">
      <selection activeCell="C1" sqref="C1:C2"/>
    </sheetView>
  </sheetViews>
  <sheetFormatPr defaultColWidth="11.42578125" defaultRowHeight="15"/>
  <cols>
    <col min="1" max="1" width="17.5703125" bestFit="1" customWidth="1"/>
  </cols>
  <sheetData>
    <row r="1" spans="1:3" ht="15.75">
      <c r="A1" s="4" t="s">
        <v>455</v>
      </c>
      <c r="C1" t="s">
        <v>456</v>
      </c>
    </row>
    <row r="2" spans="1:3" ht="15.75">
      <c r="A2" s="4" t="s">
        <v>457</v>
      </c>
      <c r="C2" t="s">
        <v>458</v>
      </c>
    </row>
    <row r="3" spans="1:3" ht="15.75">
      <c r="A3" s="4" t="s">
        <v>459</v>
      </c>
    </row>
    <row r="4" spans="1:3" ht="15.75">
      <c r="A4" s="4" t="s">
        <v>460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5CFD3-3D6E-42D6-B56B-E6687F09CA13}">
  <dimension ref="B1:L13"/>
  <sheetViews>
    <sheetView workbookViewId="0">
      <selection activeCell="B9" sqref="B9"/>
    </sheetView>
  </sheetViews>
  <sheetFormatPr defaultColWidth="11.42578125" defaultRowHeight="15"/>
  <cols>
    <col min="1" max="1" width="4.28515625" style="49" customWidth="1"/>
    <col min="2" max="2" width="5.28515625" style="49" customWidth="1"/>
    <col min="3" max="3" width="17.7109375" style="49" customWidth="1"/>
    <col min="4" max="10" width="11.42578125" style="49"/>
    <col min="11" max="11" width="23.140625" style="49" customWidth="1"/>
    <col min="12" max="12" width="62.140625" style="49" customWidth="1"/>
    <col min="13" max="16384" width="11.42578125" style="49"/>
  </cols>
  <sheetData>
    <row r="1" spans="2:12" ht="48.75" customHeight="1">
      <c r="B1" s="132"/>
      <c r="C1" s="132"/>
      <c r="D1" s="132"/>
      <c r="E1" s="132"/>
      <c r="F1" s="132"/>
      <c r="G1" s="132"/>
      <c r="H1" s="132"/>
      <c r="I1" s="132"/>
      <c r="J1" s="132"/>
      <c r="K1" s="132"/>
      <c r="L1" s="132"/>
    </row>
    <row r="2" spans="2:12" ht="13.5" customHeight="1">
      <c r="B2" s="133" t="s">
        <v>461</v>
      </c>
      <c r="C2" s="133"/>
      <c r="D2" s="133"/>
      <c r="E2" s="133"/>
      <c r="F2" s="133"/>
      <c r="G2" s="133"/>
      <c r="H2" s="133"/>
      <c r="I2" s="133"/>
      <c r="J2" s="133"/>
      <c r="K2" s="133"/>
      <c r="L2" s="133"/>
    </row>
    <row r="3" spans="2:12" ht="15" customHeight="1">
      <c r="B3" s="133" t="s">
        <v>462</v>
      </c>
      <c r="C3" s="133"/>
      <c r="D3" s="133"/>
      <c r="E3" s="133"/>
      <c r="F3" s="133"/>
      <c r="G3" s="133"/>
      <c r="H3" s="133"/>
      <c r="I3" s="133"/>
      <c r="J3" s="133"/>
      <c r="K3" s="133"/>
      <c r="L3" s="133"/>
    </row>
    <row r="4" spans="2:12" ht="15" customHeight="1">
      <c r="B4" s="134" t="s">
        <v>463</v>
      </c>
      <c r="C4" s="134"/>
      <c r="D4" s="134"/>
      <c r="E4" s="134"/>
      <c r="F4" s="134"/>
      <c r="G4" s="134"/>
      <c r="H4" s="134"/>
      <c r="I4" s="134"/>
      <c r="J4" s="134"/>
      <c r="K4" s="134"/>
      <c r="L4" s="134"/>
    </row>
    <row r="5" spans="2:12" ht="13.5" customHeight="1">
      <c r="B5" s="125"/>
      <c r="C5" s="125"/>
      <c r="D5" s="125"/>
      <c r="E5" s="125"/>
      <c r="F5" s="125"/>
      <c r="G5" s="125"/>
      <c r="H5" s="125"/>
      <c r="I5" s="125"/>
      <c r="J5" s="125"/>
      <c r="K5" s="125"/>
      <c r="L5" s="125"/>
    </row>
    <row r="6" spans="2:12" ht="13.5" customHeight="1">
      <c r="B6" s="131" t="s">
        <v>464</v>
      </c>
      <c r="C6" s="131"/>
      <c r="D6" s="131"/>
      <c r="E6" s="131"/>
      <c r="F6" s="131"/>
      <c r="G6" s="131"/>
      <c r="H6" s="131"/>
      <c r="I6" s="131"/>
      <c r="J6" s="131"/>
      <c r="K6" s="131"/>
      <c r="L6" s="131"/>
    </row>
    <row r="7" spans="2:12">
      <c r="B7" s="136"/>
      <c r="C7" s="136"/>
      <c r="D7" s="136"/>
      <c r="E7" s="136"/>
      <c r="F7" s="136"/>
      <c r="G7" s="136"/>
      <c r="H7" s="136"/>
      <c r="I7" s="136"/>
      <c r="J7" s="136"/>
      <c r="K7" s="136"/>
      <c r="L7" s="136"/>
    </row>
    <row r="8" spans="2:12">
      <c r="B8" s="137" t="s">
        <v>465</v>
      </c>
      <c r="C8" s="137"/>
      <c r="D8" s="137"/>
      <c r="E8" s="137"/>
      <c r="F8" s="137"/>
      <c r="G8" s="137"/>
      <c r="H8" s="137"/>
      <c r="I8" s="137"/>
      <c r="J8" s="137"/>
      <c r="K8" s="137"/>
      <c r="L8" s="137"/>
    </row>
    <row r="9" spans="2:12" ht="55.5" customHeight="1">
      <c r="B9" s="138" t="s">
        <v>466</v>
      </c>
      <c r="C9" s="138"/>
      <c r="D9" s="138"/>
      <c r="E9" s="138"/>
      <c r="F9" s="138"/>
      <c r="G9" s="138"/>
      <c r="H9" s="138"/>
      <c r="I9" s="138"/>
      <c r="J9" s="138"/>
      <c r="K9" s="138"/>
      <c r="L9" s="138"/>
    </row>
    <row r="10" spans="2:12">
      <c r="B10" s="50" t="s">
        <v>467</v>
      </c>
      <c r="C10" s="50" t="s">
        <v>468</v>
      </c>
      <c r="D10" s="137" t="s">
        <v>469</v>
      </c>
      <c r="E10" s="137"/>
      <c r="F10" s="137"/>
      <c r="G10" s="137"/>
      <c r="H10" s="137"/>
      <c r="I10" s="137"/>
      <c r="J10" s="137"/>
      <c r="K10" s="137"/>
      <c r="L10" s="50" t="s">
        <v>470</v>
      </c>
    </row>
    <row r="11" spans="2:12" ht="275.25" customHeight="1">
      <c r="B11" s="50" t="s">
        <v>471</v>
      </c>
      <c r="C11" s="51" t="s">
        <v>472</v>
      </c>
      <c r="D11" s="135" t="s">
        <v>473</v>
      </c>
      <c r="E11" s="139"/>
      <c r="F11" s="139"/>
      <c r="G11" s="139"/>
      <c r="H11" s="139"/>
      <c r="I11" s="139"/>
      <c r="J11" s="139"/>
      <c r="K11" s="139"/>
      <c r="L11" s="52" t="s">
        <v>474</v>
      </c>
    </row>
    <row r="12" spans="2:12" ht="262.5" customHeight="1">
      <c r="B12" s="50" t="s">
        <v>475</v>
      </c>
      <c r="C12" s="51" t="s">
        <v>476</v>
      </c>
      <c r="D12" s="135" t="s">
        <v>477</v>
      </c>
      <c r="E12" s="139"/>
      <c r="F12" s="139"/>
      <c r="G12" s="139"/>
      <c r="H12" s="139"/>
      <c r="I12" s="139"/>
      <c r="J12" s="139"/>
      <c r="K12" s="139"/>
      <c r="L12" s="52" t="s">
        <v>478</v>
      </c>
    </row>
    <row r="13" spans="2:12" ht="244.5" customHeight="1">
      <c r="B13" s="50" t="s">
        <v>479</v>
      </c>
      <c r="C13" s="51" t="s">
        <v>480</v>
      </c>
      <c r="D13" s="135" t="s">
        <v>481</v>
      </c>
      <c r="E13" s="135"/>
      <c r="F13" s="135"/>
      <c r="G13" s="135"/>
      <c r="H13" s="135"/>
      <c r="I13" s="135"/>
      <c r="J13" s="135"/>
      <c r="K13" s="135"/>
      <c r="L13" s="52" t="s">
        <v>482</v>
      </c>
    </row>
  </sheetData>
  <mergeCells count="13">
    <mergeCell ref="D13:K13"/>
    <mergeCell ref="B7:L7"/>
    <mergeCell ref="B8:L8"/>
    <mergeCell ref="B9:L9"/>
    <mergeCell ref="D10:K10"/>
    <mergeCell ref="D11:K11"/>
    <mergeCell ref="D12:K12"/>
    <mergeCell ref="B6:L6"/>
    <mergeCell ref="B1:L1"/>
    <mergeCell ref="B2:L2"/>
    <mergeCell ref="B3:L3"/>
    <mergeCell ref="B4:L4"/>
    <mergeCell ref="B5:L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CEFAU</dc:creator>
  <cp:keywords/>
  <dc:description/>
  <cp:lastModifiedBy/>
  <cp:revision/>
  <dcterms:created xsi:type="dcterms:W3CDTF">2024-06-12T20:22:02Z</dcterms:created>
  <dcterms:modified xsi:type="dcterms:W3CDTF">2025-10-15T19:34:06Z</dcterms:modified>
  <cp:category/>
  <cp:contentStatus/>
</cp:coreProperties>
</file>