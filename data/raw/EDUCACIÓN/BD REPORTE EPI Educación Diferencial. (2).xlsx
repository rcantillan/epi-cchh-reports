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mc:AlternateContent xmlns:mc="http://schemas.openxmlformats.org/markup-compatibility/2006">
    <mc:Choice Requires="x15">
      <x15ac:absPath xmlns:x15ac="http://schemas.microsoft.com/office/spreadsheetml/2010/11/ac" url="https://uahurtadocl-my.sharepoint.com/personal/cefau_uahurtado_cl/Documents/CEFAU+/PEDAGOGÍA EN EDUCACIÓN DIFER/REPORTES EPI/"/>
    </mc:Choice>
  </mc:AlternateContent>
  <xr:revisionPtr revIDLastSave="328" documentId="13_ncr:1_{3FC49DD2-254D-4BFF-A574-EAD9BAEBD3A6}" xr6:coauthVersionLast="47" xr6:coauthVersionMax="47" xr10:uidLastSave="{1AA09221-BC40-4564-88EB-93CEEFB9122E}"/>
  <bookViews>
    <workbookView xWindow="-90" yWindow="-90" windowWidth="19380" windowHeight="10260" firstSheet="2" activeTab="5"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Individuales'!$A$1:$P$43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2" l="1"/>
  <c r="N7" i="2"/>
  <c r="N8" i="2"/>
  <c r="O8" i="2" s="1"/>
  <c r="N9" i="2"/>
  <c r="O9" i="2" s="1"/>
  <c r="N10" i="2"/>
  <c r="O10" i="2" s="1"/>
  <c r="N11" i="2"/>
  <c r="O11" i="2" s="1"/>
  <c r="N12" i="2"/>
  <c r="O12" i="2" s="1"/>
  <c r="N13" i="2"/>
  <c r="O13" i="2" s="1"/>
  <c r="N14" i="2"/>
  <c r="N15" i="2"/>
  <c r="N16" i="2"/>
  <c r="N17" i="2"/>
  <c r="O17" i="2" s="1"/>
  <c r="N18" i="2"/>
  <c r="O18" i="2" s="1"/>
  <c r="N19" i="2"/>
  <c r="O19" i="2" s="1"/>
  <c r="N20" i="2"/>
  <c r="O20" i="2" s="1"/>
  <c r="N21" i="2"/>
  <c r="O21" i="2" s="1"/>
  <c r="N22" i="2"/>
  <c r="N23" i="2"/>
  <c r="N24" i="2"/>
  <c r="N25" i="2"/>
  <c r="O25" i="2" s="1"/>
  <c r="N26" i="2"/>
  <c r="O26" i="2" s="1"/>
  <c r="N27" i="2"/>
  <c r="O27" i="2" s="1"/>
  <c r="N28" i="2"/>
  <c r="O28" i="2" s="1"/>
  <c r="N29" i="2"/>
  <c r="O29" i="2" s="1"/>
  <c r="N30" i="2"/>
  <c r="N31" i="2"/>
  <c r="N32" i="2"/>
  <c r="O32" i="2" s="1"/>
  <c r="N33" i="2"/>
  <c r="O33" i="2" s="1"/>
  <c r="N34" i="2"/>
  <c r="O34" i="2" s="1"/>
  <c r="N35" i="2"/>
  <c r="O35" i="2" s="1"/>
  <c r="N36" i="2"/>
  <c r="O36" i="2" s="1"/>
  <c r="N37" i="2"/>
  <c r="O37" i="2" s="1"/>
  <c r="N38" i="2"/>
  <c r="N39" i="2"/>
  <c r="N40" i="2"/>
  <c r="N41" i="2"/>
  <c r="O41" i="2" s="1"/>
  <c r="N42" i="2"/>
  <c r="O42" i="2" s="1"/>
  <c r="N43" i="2"/>
  <c r="O43" i="2" s="1"/>
  <c r="O6" i="2"/>
  <c r="O7" i="2"/>
  <c r="O14" i="2"/>
  <c r="O15" i="2"/>
  <c r="O16" i="2"/>
  <c r="O22" i="2"/>
  <c r="O23" i="2"/>
  <c r="O24" i="2"/>
  <c r="O30" i="2"/>
  <c r="O31" i="2"/>
  <c r="O38" i="2"/>
  <c r="O39" i="2"/>
  <c r="O40"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N4" i="2"/>
  <c r="O4" i="2" s="1"/>
  <c r="P4" i="2" s="1"/>
  <c r="N5" i="2"/>
  <c r="O5" i="2" s="1"/>
  <c r="P5" i="2" s="1"/>
  <c r="N3" i="2"/>
  <c r="O3" i="2" s="1"/>
  <c r="P3" i="2"/>
</calcChain>
</file>

<file path=xl/sharedStrings.xml><?xml version="1.0" encoding="utf-8"?>
<sst xmlns="http://schemas.openxmlformats.org/spreadsheetml/2006/main" count="481" uniqueCount="270">
  <si>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</si>
  <si>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</si>
  <si>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</si>
  <si>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</si>
  <si>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</si>
  <si>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</si>
  <si>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</si>
  <si>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</si>
  <si>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</si>
  <si>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</si>
  <si>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</si>
  <si>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</si>
  <si>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</si>
  <si>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</si>
  <si>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</si>
  <si>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</si>
  <si>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</si>
  <si>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</si>
  <si>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</si>
  <si>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</si>
  <si>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</si>
  <si>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</si>
  <si>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</si>
  <si>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</si>
  <si>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</si>
  <si>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</si>
  <si>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</si>
  <si>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</si>
  <si>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</si>
  <si>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</si>
  <si>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</si>
  <si>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</si>
  <si>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</si>
  <si>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</si>
  <si>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</si>
  <si>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</si>
  <si>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</si>
  <si>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</si>
  <si>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</si>
  <si>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</si>
  <si>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</si>
  <si>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</si>
  <si>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</si>
  <si>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t xml:space="preserve">
</t>
    </r>
    <r>
      <rPr>
        <b/>
        <sz val="11"/>
        <color theme="1"/>
        <rFont val="Aptos Narrow"/>
        <family val="2"/>
        <scheme val="minor"/>
      </rPr>
      <t>ACTIVIDAD PROBLEMA 1
Nivel Bajo: 1 punto
Nivel Medio:2 puntos
Nivel Satisfactorio: 3 puntos</t>
    </r>
  </si>
  <si>
    <t xml:space="preserve">
ACTIVIDAD PROBLEMA 2
Nivel Bajo: 1 punto
Nivel Medio:2 puntos
Nivel Satisfactorio: 3 puntos</t>
  </si>
  <si>
    <t>Resultado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</si>
  <si>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</si>
  <si>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</si>
  <si>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</si>
  <si>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</si>
  <si>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</si>
  <si>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</si>
  <si>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</si>
  <si>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</si>
  <si>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</si>
  <si>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</si>
  <si>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Distingue teorías del aprendizaje y enfoques psicopedagógicossobre
fracaso escolar a partir de situaciones escolares para abordar críticamente el 
trabajo con la diversidad.</t>
  </si>
  <si>
    <t>Contrasta enfoques de lectura, escritura y 
matemática a partir de situaciones de aula
(registros de observación) para diseñar, implementar y evaluar colaborativamente 
propuestas que favorezcan el aprendizaje de 
estudiantes que presentan necesidades de apoyo.</t>
  </si>
  <si>
    <t>Comprende la organización escolar a partir de enfoques sobre liderazgo educativo e inclusión para diseñar  propuestas que Favorezcan el desarrollo de escuelas inclusivas a partir del análisis de situaciones escolares reales.</t>
  </si>
  <si>
    <t>PUNTAJE TOTAL ESTUDIANTE (9pts)</t>
  </si>
  <si>
    <t>PORCENTAJE DE LOGRO</t>
  </si>
  <si>
    <t>CATEGORÍA RESULTADO GLOBAL ESTUDIANTE</t>
  </si>
  <si>
    <t>NICOL ALEJANDRA VEGA ALEGRIA</t>
  </si>
  <si>
    <t>VEGA</t>
  </si>
  <si>
    <t>ALEGRIA</t>
  </si>
  <si>
    <t>NICOL ALEJANDRA</t>
  </si>
  <si>
    <t>Interrupción voluntaria (no rinde EPI 2025)</t>
  </si>
  <si>
    <t>No aplica</t>
  </si>
  <si>
    <t xml:space="preserve">no aplica </t>
  </si>
  <si>
    <t>BELEN ANDREA ORELLANA CUADRA</t>
  </si>
  <si>
    <t>ORELLANA</t>
  </si>
  <si>
    <t>CUADRA</t>
  </si>
  <si>
    <t>BELEN ANDREA</t>
  </si>
  <si>
    <t>Avance curricular insuficiente para evaluar ciclo básico (no rinde EPI 2025)</t>
  </si>
  <si>
    <t>No rendida</t>
  </si>
  <si>
    <t>ENGHEL DANIELA PAREDES MACAYA</t>
  </si>
  <si>
    <t>PAREDES</t>
  </si>
  <si>
    <t>MACAYA</t>
  </si>
  <si>
    <t>ENGHEL DANIELA</t>
  </si>
  <si>
    <t>Avance curricular suficiente o adecuado para evaluar ciclo básico</t>
  </si>
  <si>
    <t xml:space="preserve">Rendida </t>
  </si>
  <si>
    <t xml:space="preserve">24-25 marzo </t>
  </si>
  <si>
    <t>CAMILA ELIZABETH HURTADO GÁLVEZ</t>
  </si>
  <si>
    <t>HURTADO</t>
  </si>
  <si>
    <t>GÁLVEZ</t>
  </si>
  <si>
    <t>CAMILA ELIZABETH</t>
  </si>
  <si>
    <t>LUNA RAYEN GONZÁLEZ VALDIVIA</t>
  </si>
  <si>
    <t>GONZÁLEZ</t>
  </si>
  <si>
    <t>VALDIVIA</t>
  </si>
  <si>
    <t>LUNA RAYEN</t>
  </si>
  <si>
    <t>SAVKA NICOLE PAULINA BRITO ESPÓSITO</t>
  </si>
  <si>
    <t>BRITO</t>
  </si>
  <si>
    <t>ESPÓSITO</t>
  </si>
  <si>
    <t>SAVKA NICOLE PAULINA</t>
  </si>
  <si>
    <t>ROMINA CONSTANZA CARRASCO GONZÁLEZ</t>
  </si>
  <si>
    <t>CARRASCO</t>
  </si>
  <si>
    <t>ROMINA CONSTANZA</t>
  </si>
  <si>
    <t>CONSTANZA VALENTINA NEGRETE VILCHES</t>
  </si>
  <si>
    <t>NEGRETE</t>
  </si>
  <si>
    <t>VILCHES</t>
  </si>
  <si>
    <t>CONSTANZA VALENTINA</t>
  </si>
  <si>
    <t>MARÍA JESÚS ÓRDENES QUILODRÁN</t>
  </si>
  <si>
    <t>ÓRDENES</t>
  </si>
  <si>
    <t>QUILODRÁN</t>
  </si>
  <si>
    <t>MARÍA JESÚS</t>
  </si>
  <si>
    <t>CAROLINA BELÉN FUENTES TRUJILLO</t>
  </si>
  <si>
    <t>FUENTES</t>
  </si>
  <si>
    <t>TRUJILLO</t>
  </si>
  <si>
    <t>CAROLINA BELÉN</t>
  </si>
  <si>
    <t>Retracto</t>
  </si>
  <si>
    <t>BELÉN ANAÍS FARÍAS INOSTROZA</t>
  </si>
  <si>
    <t>FARÍAS</t>
  </si>
  <si>
    <t>INOSTROZA</t>
  </si>
  <si>
    <t>BELÉN ANAÍS</t>
  </si>
  <si>
    <t>SEBASTIÁN MARCELO LABRAÑA VÉLIZ</t>
  </si>
  <si>
    <t>LABRAÑA</t>
  </si>
  <si>
    <t>VÉLIZ</t>
  </si>
  <si>
    <t>SEBASTIÁN MARCELO</t>
  </si>
  <si>
    <t>ORIELLE BEATRIZ MERINO SAAVEDRA</t>
  </si>
  <si>
    <t>MERINO</t>
  </si>
  <si>
    <t>SAAVEDRA</t>
  </si>
  <si>
    <t>ORIELLE BEATRIZ</t>
  </si>
  <si>
    <t>FERNANDA BELÉN MILLAQUEO GARRIDO</t>
  </si>
  <si>
    <t>MILLAQUEO</t>
  </si>
  <si>
    <t>GARRIDO</t>
  </si>
  <si>
    <t>FERNANDA BELÉN</t>
  </si>
  <si>
    <t>CONSTANZA BELÉN PÉREZ ASTETE</t>
  </si>
  <si>
    <t>PÉREZ</t>
  </si>
  <si>
    <t>ASTETE</t>
  </si>
  <si>
    <t>CONSTANZA BELÉN</t>
  </si>
  <si>
    <t>JAVIERA CONSTANZA GUERRA BAEZA</t>
  </si>
  <si>
    <t>GUERRA</t>
  </si>
  <si>
    <t>BAEZA</t>
  </si>
  <si>
    <t>JAVIERA CONSTANZA</t>
  </si>
  <si>
    <t>PÍA FERNANDA PALOMINOS PORTILLA</t>
  </si>
  <si>
    <t>PALOMINOS</t>
  </si>
  <si>
    <t>PORTILLA</t>
  </si>
  <si>
    <t>PÍA FERNANDA</t>
  </si>
  <si>
    <t>KIARA ANAÍS DÍAZ SANTIBÁÑEZ</t>
  </si>
  <si>
    <t>DÍAZ</t>
  </si>
  <si>
    <t>SANTIBÁÑEZ</t>
  </si>
  <si>
    <t>KIARA ANAÍS</t>
  </si>
  <si>
    <t>K</t>
  </si>
  <si>
    <t>BENJAMÍN ANDRÉS BARRA ULLOA</t>
  </si>
  <si>
    <t>BARRA</t>
  </si>
  <si>
    <t>ULLOA</t>
  </si>
  <si>
    <t>BENJAMÍN ANDRÉS</t>
  </si>
  <si>
    <t>VALENTINA PAZ GONZÁLEZ VALENZUELA</t>
  </si>
  <si>
    <t>VALENZUELA</t>
  </si>
  <si>
    <t>VALENTINA PAZ</t>
  </si>
  <si>
    <t>NATALIA CHRISTELL PEÑALOZA MÁRQUEZ</t>
  </si>
  <si>
    <t>PEÑALOZA</t>
  </si>
  <si>
    <t>MÁRQUEZ</t>
  </si>
  <si>
    <t>NATALIA CHRISTELL</t>
  </si>
  <si>
    <t>ANTONELLA FERNANDA FRIGERIO CÁCERES</t>
  </si>
  <si>
    <t>FRIGERIO</t>
  </si>
  <si>
    <t>CÁCERES</t>
  </si>
  <si>
    <t>ANTONELLA FERNANDA</t>
  </si>
  <si>
    <t>KATALINA  ANAIS BAVESTRELLO ESCÁRATE</t>
  </si>
  <si>
    <t>BAVESTRELLO</t>
  </si>
  <si>
    <t>ESCÁRATE</t>
  </si>
  <si>
    <t>KATALINA  ANAIS</t>
  </si>
  <si>
    <t>PILAR ESTEFANÍA FERNÁNDEZ VÉLIZ</t>
  </si>
  <si>
    <t>FERNÁNDEZ</t>
  </si>
  <si>
    <t>PILAR ESTEFANÍA</t>
  </si>
  <si>
    <t>CARLOS ANDRÉS REYES VALDIVIA</t>
  </si>
  <si>
    <t>REYES</t>
  </si>
  <si>
    <t>CARLOS ANDRÉS</t>
  </si>
  <si>
    <t>JAVIERA PAZ PONCE PÉREZ</t>
  </si>
  <si>
    <t>PONCE</t>
  </si>
  <si>
    <t>JAVIERA PAZ</t>
  </si>
  <si>
    <t>CAROLINA IGNACIA DÍAZ RODRÍGUEZ</t>
  </si>
  <si>
    <t>RODRÍGUEZ</t>
  </si>
  <si>
    <t>CAROLINA IGNACIA</t>
  </si>
  <si>
    <t>KIARA AYLLIN RAMÍREZ CONTRERAS</t>
  </si>
  <si>
    <t>RAMÍREZ</t>
  </si>
  <si>
    <t>CONTRERAS</t>
  </si>
  <si>
    <t>KIARA AYLLIN</t>
  </si>
  <si>
    <t>Expulsión</t>
  </si>
  <si>
    <t>AYLEEN ANDREA ARAVENA MUÑOZ</t>
  </si>
  <si>
    <t>ARAVENA</t>
  </si>
  <si>
    <t>MUÑOZ</t>
  </si>
  <si>
    <t>AYLEEN ANDREA</t>
  </si>
  <si>
    <t>GISSEL ANTONELLA VIVEROS REUQUE</t>
  </si>
  <si>
    <t>VIVEROS</t>
  </si>
  <si>
    <t>REUQUE</t>
  </si>
  <si>
    <t>GISSEL ANTONELLA</t>
  </si>
  <si>
    <t>MAYRA ANDREA MADRID JAQUE</t>
  </si>
  <si>
    <t>MADRID</t>
  </si>
  <si>
    <t>JAQUE</t>
  </si>
  <si>
    <t>MAYRA ANDREA</t>
  </si>
  <si>
    <t>BELÉN YAZIARA ESPINOZA GARRIDO</t>
  </si>
  <si>
    <t>ESPINOZA</t>
  </si>
  <si>
    <t>BELÉN YAZIARA</t>
  </si>
  <si>
    <t>KARIN IGNACIA LUCERO BURGOS</t>
  </si>
  <si>
    <t>LUCERO</t>
  </si>
  <si>
    <t>BURGOS</t>
  </si>
  <si>
    <t>KARIN IGNACIA</t>
  </si>
  <si>
    <t>FERNANDA ANTONIA TORO MOLINA</t>
  </si>
  <si>
    <t>TORO</t>
  </si>
  <si>
    <t>MOLINA</t>
  </si>
  <si>
    <t>FERNANDA ANTONIA</t>
  </si>
  <si>
    <t>FRANCISCA ANTONIA LOBOS GONZÁLEZ</t>
  </si>
  <si>
    <t>LOBOS</t>
  </si>
  <si>
    <t>FRANCISCA ANTONIA</t>
  </si>
  <si>
    <t>JAVIERA CONSTANZA QUIROGA URIBE</t>
  </si>
  <si>
    <t>QUIROGA</t>
  </si>
  <si>
    <t>URIBE</t>
  </si>
  <si>
    <t>BELÉN ESTEFANY VÁSQUEZ MALLEA</t>
  </si>
  <si>
    <t>VÁSQUEZ</t>
  </si>
  <si>
    <t>MALLEA</t>
  </si>
  <si>
    <t>BELÉN ESTEFANY</t>
  </si>
  <si>
    <t>JOSEFINA VALENTINA SILVA ARRIAGADA</t>
  </si>
  <si>
    <t>SILVA</t>
  </si>
  <si>
    <t>ARRIAGADA</t>
  </si>
  <si>
    <t>JOSEFINA VALENTINA</t>
  </si>
  <si>
    <t>ISIDORA SOFÍA NORIEGA MUÑOZ</t>
  </si>
  <si>
    <t>NORIEGA</t>
  </si>
  <si>
    <t>ISIDORA SOFÍA</t>
  </si>
  <si>
    <t>JOSEFA IGNACIA VALENTINA VENEGAS ABDO</t>
  </si>
  <si>
    <t>VENEGAS</t>
  </si>
  <si>
    <t>ABDO</t>
  </si>
  <si>
    <t>JOSEFA IGNACIA VALENTINA</t>
  </si>
  <si>
    <t>ALELHY DANAE HUERTA ARIAS</t>
  </si>
  <si>
    <t>HUERTA</t>
  </si>
  <si>
    <t>ARIAS</t>
  </si>
  <si>
    <t>ALELHY DANAE</t>
  </si>
  <si>
    <t xml:space="preserve"> N Estudiantes habilitados para rendir</t>
  </si>
  <si>
    <t xml:space="preserve"> N Estudiantes que rindieron</t>
  </si>
  <si>
    <t xml:space="preserve">Porcentaje de cobertura EPI </t>
  </si>
  <si>
    <t>Estado de Habilitación para rendir</t>
  </si>
  <si>
    <t>JUSTIFICATIVO DE NO RENDICIÓN</t>
  </si>
  <si>
    <t>Puntajes según
 categoría</t>
  </si>
  <si>
    <t>Niveles de logro</t>
  </si>
  <si>
    <t>Justifica</t>
  </si>
  <si>
    <t>No justifica</t>
  </si>
  <si>
    <t>Nivel Bajo</t>
  </si>
  <si>
    <t>EPI pendiente periodo anterior</t>
  </si>
  <si>
    <t>Rendida no válida</t>
  </si>
  <si>
    <t>Nivel Medio</t>
  </si>
  <si>
    <t>Nivel Satisfactorio</t>
  </si>
  <si>
    <t>NOMBRE DE LA FACULTAD</t>
  </si>
  <si>
    <t xml:space="preserve">NOMBRE DEL PROGRAMA ACADÉMICO </t>
  </si>
  <si>
    <r>
      <t xml:space="preserve">PLAN DE ESTUDIO </t>
    </r>
    <r>
      <rPr>
        <b/>
        <sz val="11"/>
        <color rgb="FF0070C0"/>
        <rFont val="Aptos Narrow"/>
        <family val="2"/>
      </rPr>
      <t>AÑO</t>
    </r>
  </si>
  <si>
    <t>Instrucciones: completar items en color azul. Se incorporan ejemplos que pueden se considerados por las unidades académicas para la elaboración de sus propuestas.</t>
  </si>
  <si>
    <t> </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</si>
  <si>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</si>
  <si>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</si>
  <si>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</si>
  <si>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</si>
  <si>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</si>
  <si>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</si>
  <si>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</si>
  <si>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</si>
  <si>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rgb="FFD86DCD"/>
        <rFont val="Aptos Narrow"/>
        <family val="2"/>
      </rPr>
      <t xml:space="preserve"> </t>
    </r>
    <r>
      <rPr>
        <i/>
        <sz val="11"/>
        <color rgb="FF0070C0"/>
        <rFont val="Aptos Narrow"/>
        <family val="2"/>
      </rPr>
      <t>de contenidos y metodologías programaciones de las actividades curriculares del ciclo básico
-implementar evaluación diagnóstica durante ciclo básico, para detectar -de manera temprana- posibles dificultades que podrían interferir en el alcance del perfil intermedio.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</si>
  <si>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</si>
  <si>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</si>
  <si>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</si>
  <si>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t>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del ciclo de profundización, particularmente en lo referido a metodologías y evaluaciones.
- incorporar, en programaciones del ciclo básico, actividades de aprendizaje y evaluaciones orientadas a favorecer las competencias más descendidas en la EPI.
- analizar comparativamente las calificaciones obtenidas en el ciclo básico con los resultados de EPI, para evaluar nudos críticos en la implementación del plan de estudio que puedan ser abordados con anticipación.</t>
  </si>
  <si>
    <t>Ejs.
- programaciones de las actividades curriculares XXXX; XXXX; XXXX</t>
  </si>
  <si>
    <t xml:space="preserve">III. </t>
  </si>
  <si>
    <t>LARGO PLAZO</t>
  </si>
  <si>
    <t>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generar instancias para la colaboración entre docentes para con el propósito de compartir mejores prácticas y desarrollar estrategias pedagógicas más coherentes y efectivas en el ciclo básico del plan de estudio</t>
  </si>
  <si>
    <t>Ejs.
- programa OFC
-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</si>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</sst>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sz val="11"/>
      <color theme="1"/>
      <name val="Calibri"/>
      <family val="2"/>
    </font>
    <font>
      <sz val="10"/>
      <color theme="1"/>
      <name val="Calibri"/>
      <family val="2"/>
    </font>
    <font>
      <sz val="11"/>
      <color theme="1"/>
      <name val="Aptos Narrow"/>
      <family val="2"/>
      <scheme val="minor"/>
    </font>
    <font>
      <sz val="11"/>
      <color rgb="FF000000"/>
      <name val="Aptos Narrow"/>
      <family val="2"/>
    </font>
    <font>
      <b/>
      <sz val="11"/>
      <color rgb="FF0070C0"/>
      <name val="Aptos Narrow"/>
      <family val="2"/>
    </font>
    <font>
      <b/>
      <sz val="11"/>
      <name val="Aptos Narrow"/>
      <family val="2"/>
    </font>
    <font>
      <i/>
      <sz val="11"/>
      <color rgb="FF0070C0"/>
      <name val="Aptos Narrow"/>
      <family val="2"/>
    </font>
    <font>
      <b/>
      <sz val="11"/>
      <color rgb="FF000000"/>
      <name val="Aptos Narrow"/>
      <family val="2"/>
    </font>
    <font>
      <i/>
      <sz val="11"/>
      <color rgb="FFD86DCD"/>
      <name val="Aptos Narrow"/>
      <family val="2"/>
    </font>
    <font>
      <sz val="11"/>
      <color rgb="FF000000"/>
      <name val="Aptos Narrow"/>
      <family val="2"/>
      <scheme val="minor"/>
    </font>
  </fonts>
  <fills count="13">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D9D9D9"/>
        <bgColor rgb="FF000000"/>
      </patternFill>
    </fill>
    <fill>
      <patternFill patternType="solid">
        <fgColor rgb="FFFFFF00"/>
        <bgColor indexed="64"/>
      </patternFill>
    </fill>
    <fill>
      <patternFill patternType="solid">
        <fgColor theme="0"/>
        <bgColor indexed="64"/>
      </patternFill>
    </fill>
    <fill>
      <patternFill patternType="solid">
        <fgColor rgb="FFFFCCCC"/>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right/>
      <top style="thin">
        <color rgb="FF000000"/>
      </top>
      <bottom style="thin">
        <color rgb="FF000000"/>
      </bottom>
      <diagonal/>
    </border>
    <border>
      <left/>
      <right/>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s>
  <cellStyleXfs count="2">
    <xf numFmtId="0" fontId="0" fillId="0" borderId="0"/>
    <xf numFmtId="9" fontId="10" fillId="0" borderId="0" applyFont="0" applyFill="0" applyBorder="0" applyAlignment="0" applyProtection="0"/>
  </cellStyleXfs>
  <cellXfs count="157">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0" fontId="1" fillId="0" borderId="34" xfId="0" applyFont="1" applyBorder="1" applyAlignment="1">
      <alignment wrapText="1"/>
    </xf>
    <xf numFmtId="0" fontId="1" fillId="0" borderId="35" xfId="0" applyFont="1" applyBorder="1" applyAlignment="1">
      <alignment wrapText="1"/>
    </xf>
    <xf numFmtId="0" fontId="1" fillId="0" borderId="16" xfId="0" applyFont="1" applyBorder="1" applyAlignment="1">
      <alignment wrapText="1"/>
    </xf>
    <xf numFmtId="0" fontId="8" fillId="0" borderId="1" xfId="0" applyFont="1" applyBorder="1" applyAlignment="1">
      <alignment horizontal="center" vertical="top"/>
    </xf>
    <xf numFmtId="0" fontId="8" fillId="0" borderId="1" xfId="0" applyFont="1" applyBorder="1" applyAlignment="1">
      <alignment horizontal="left" vertical="top"/>
    </xf>
    <xf numFmtId="0" fontId="0" fillId="0" borderId="34" xfId="0" applyBorder="1"/>
    <xf numFmtId="0" fontId="0" fillId="0" borderId="37" xfId="0" applyBorder="1"/>
    <xf numFmtId="0" fontId="0" fillId="0" borderId="35" xfId="0" applyBorder="1"/>
    <xf numFmtId="0" fontId="0" fillId="0" borderId="34" xfId="0" applyBorder="1" applyAlignment="1">
      <alignment wrapText="1"/>
    </xf>
    <xf numFmtId="0" fontId="0" fillId="0" borderId="16" xfId="0" applyBorder="1" applyAlignment="1">
      <alignment wrapText="1"/>
    </xf>
    <xf numFmtId="0" fontId="0" fillId="0" borderId="35" xfId="0" applyBorder="1" applyAlignment="1">
      <alignment wrapText="1"/>
    </xf>
    <xf numFmtId="0" fontId="0" fillId="0" borderId="37" xfId="0" applyBorder="1" applyAlignment="1">
      <alignment wrapText="1"/>
    </xf>
    <xf numFmtId="0" fontId="0" fillId="0" borderId="16" xfId="0" applyBorder="1" applyAlignment="1">
      <alignment horizontal="center"/>
    </xf>
    <xf numFmtId="1" fontId="8" fillId="0" borderId="1" xfId="0" applyNumberFormat="1" applyFont="1" applyBorder="1" applyAlignment="1">
      <alignment horizontal="center" vertical="top" wrapText="1"/>
    </xf>
    <xf numFmtId="0" fontId="2" fillId="0" borderId="39" xfId="0" applyFont="1" applyBorder="1" applyAlignment="1">
      <alignment horizontal="center" vertical="center" wrapText="1"/>
    </xf>
    <xf numFmtId="0" fontId="0" fillId="0" borderId="40" xfId="0" applyBorder="1"/>
    <xf numFmtId="0" fontId="4" fillId="0" borderId="16" xfId="0" applyFont="1" applyBorder="1" applyAlignment="1">
      <alignment horizontal="center" wrapText="1"/>
    </xf>
    <xf numFmtId="0" fontId="1" fillId="0" borderId="41" xfId="0" applyFont="1" applyBorder="1"/>
    <xf numFmtId="0" fontId="1" fillId="0" borderId="21" xfId="0" applyFont="1" applyBorder="1"/>
    <xf numFmtId="0" fontId="1" fillId="0" borderId="1" xfId="0" applyFont="1" applyBorder="1"/>
    <xf numFmtId="0" fontId="1" fillId="0" borderId="2" xfId="0" applyFont="1" applyBorder="1"/>
    <xf numFmtId="0" fontId="4" fillId="0" borderId="0" xfId="0" applyFont="1" applyAlignment="1">
      <alignment vertical="center"/>
    </xf>
    <xf numFmtId="0" fontId="9" fillId="0" borderId="1" xfId="0" applyFont="1" applyBorder="1" applyAlignment="1">
      <alignment horizontal="center" vertical="top" wrapText="1"/>
    </xf>
    <xf numFmtId="1" fontId="9" fillId="0" borderId="1" xfId="0" applyNumberFormat="1" applyFont="1" applyBorder="1" applyAlignment="1">
      <alignment horizontal="center" vertical="top" wrapText="1"/>
    </xf>
    <xf numFmtId="0" fontId="4" fillId="7" borderId="7" xfId="0" applyFont="1" applyFill="1" applyBorder="1" applyAlignment="1">
      <alignment horizontal="center" vertical="top" wrapText="1"/>
    </xf>
    <xf numFmtId="0" fontId="9" fillId="0" borderId="2" xfId="0" applyFont="1" applyBorder="1" applyAlignment="1">
      <alignment horizontal="center" vertical="top" wrapText="1"/>
    </xf>
    <xf numFmtId="1" fontId="8" fillId="0" borderId="2" xfId="0" applyNumberFormat="1" applyFont="1" applyBorder="1" applyAlignment="1">
      <alignment horizontal="center" vertical="top" wrapText="1"/>
    </xf>
    <xf numFmtId="0" fontId="2" fillId="6" borderId="48" xfId="0" applyFont="1" applyFill="1" applyBorder="1" applyAlignment="1">
      <alignment horizontal="center" vertical="center" wrapText="1"/>
    </xf>
    <xf numFmtId="0" fontId="2" fillId="6" borderId="49" xfId="0" applyFont="1" applyFill="1" applyBorder="1" applyAlignment="1">
      <alignment horizontal="center" vertical="center" wrapText="1"/>
    </xf>
    <xf numFmtId="0" fontId="2" fillId="6" borderId="50"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0" fillId="2" borderId="17" xfId="0" applyFill="1" applyBorder="1" applyAlignment="1">
      <alignment horizontal="left" vertical="center" wrapText="1"/>
    </xf>
    <xf numFmtId="0" fontId="0" fillId="2" borderId="4" xfId="0" applyFill="1" applyBorder="1" applyAlignment="1">
      <alignment horizontal="left" vertical="center" wrapText="1"/>
    </xf>
    <xf numFmtId="0" fontId="2" fillId="0" borderId="6" xfId="0" applyFont="1" applyBorder="1" applyAlignment="1">
      <alignment horizontal="center" vertical="center" wrapText="1"/>
    </xf>
    <xf numFmtId="9" fontId="1" fillId="0" borderId="2" xfId="1" applyFont="1" applyBorder="1"/>
    <xf numFmtId="0" fontId="0" fillId="8" borderId="6" xfId="0" applyFill="1" applyBorder="1" applyAlignment="1">
      <alignment horizontal="left" vertical="center" wrapText="1"/>
    </xf>
    <xf numFmtId="0" fontId="11" fillId="0" borderId="0" xfId="0" applyFont="1"/>
    <xf numFmtId="0" fontId="15" fillId="9" borderId="21" xfId="0" applyFont="1" applyFill="1" applyBorder="1"/>
    <xf numFmtId="0" fontId="15" fillId="9" borderId="20" xfId="0" applyFont="1" applyFill="1" applyBorder="1"/>
    <xf numFmtId="0" fontId="14" fillId="0" borderId="20" xfId="0" applyFont="1" applyBorder="1" applyAlignment="1">
      <alignment wrapText="1"/>
    </xf>
    <xf numFmtId="15" fontId="0" fillId="0" borderId="38" xfId="0" applyNumberFormat="1" applyBorder="1"/>
    <xf numFmtId="0" fontId="0" fillId="10" borderId="35" xfId="0" applyFill="1" applyBorder="1" applyAlignment="1">
      <alignment wrapText="1"/>
    </xf>
    <xf numFmtId="0" fontId="1" fillId="10" borderId="1" xfId="0" applyFont="1" applyFill="1" applyBorder="1" applyAlignment="1">
      <alignment wrapText="1"/>
    </xf>
    <xf numFmtId="0" fontId="0" fillId="7" borderId="16" xfId="0" applyFill="1" applyBorder="1" applyAlignment="1">
      <alignment wrapText="1"/>
    </xf>
    <xf numFmtId="0" fontId="0" fillId="7" borderId="16" xfId="0" applyFill="1" applyBorder="1"/>
    <xf numFmtId="0" fontId="1" fillId="7" borderId="16" xfId="0" applyFont="1" applyFill="1" applyBorder="1" applyAlignment="1">
      <alignment wrapText="1"/>
    </xf>
    <xf numFmtId="1" fontId="8" fillId="11" borderId="1" xfId="0" applyNumberFormat="1" applyFont="1" applyFill="1" applyBorder="1" applyAlignment="1">
      <alignment horizontal="center" vertical="top" wrapText="1"/>
    </xf>
    <xf numFmtId="0" fontId="0" fillId="11" borderId="34" xfId="0" applyFill="1" applyBorder="1" applyAlignment="1">
      <alignment wrapText="1"/>
    </xf>
    <xf numFmtId="0" fontId="0" fillId="11" borderId="16" xfId="0" applyFill="1" applyBorder="1" applyAlignment="1">
      <alignment wrapText="1"/>
    </xf>
    <xf numFmtId="15" fontId="0" fillId="11" borderId="38" xfId="0" applyNumberFormat="1" applyFill="1" applyBorder="1"/>
    <xf numFmtId="0" fontId="0" fillId="11" borderId="35" xfId="0" applyFill="1" applyBorder="1" applyAlignment="1">
      <alignment wrapText="1"/>
    </xf>
    <xf numFmtId="0" fontId="1" fillId="11" borderId="1" xfId="0" applyFont="1" applyFill="1" applyBorder="1" applyAlignment="1">
      <alignment wrapText="1"/>
    </xf>
    <xf numFmtId="0" fontId="0" fillId="12" borderId="16" xfId="0" applyFill="1" applyBorder="1" applyAlignment="1">
      <alignment wrapText="1"/>
    </xf>
    <xf numFmtId="0" fontId="0" fillId="10" borderId="1" xfId="0" applyFill="1" applyBorder="1"/>
    <xf numFmtId="0" fontId="1" fillId="10" borderId="16" xfId="0" applyFont="1" applyFill="1" applyBorder="1" applyAlignment="1">
      <alignment wrapText="1"/>
    </xf>
    <xf numFmtId="0" fontId="17" fillId="0" borderId="34" xfId="0" applyFont="1" applyBorder="1" applyAlignment="1">
      <alignment wrapText="1"/>
    </xf>
    <xf numFmtId="9" fontId="0" fillId="0" borderId="16" xfId="0" applyNumberFormat="1" applyBorder="1"/>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0" borderId="8" xfId="0" applyFont="1" applyBorder="1" applyAlignment="1">
      <alignment horizontal="center" vertical="center"/>
    </xf>
    <xf numFmtId="0" fontId="4" fillId="0" borderId="30" xfId="0" applyFont="1" applyBorder="1" applyAlignment="1">
      <alignment horizontal="center" vertical="center"/>
    </xf>
    <xf numFmtId="0" fontId="4" fillId="0" borderId="9" xfId="0" applyFont="1" applyBorder="1" applyAlignment="1">
      <alignment horizontal="center" vertical="center"/>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0" fillId="5" borderId="8" xfId="0" applyFill="1" applyBorder="1" applyAlignment="1">
      <alignment horizontal="center" vertical="top" wrapText="1"/>
    </xf>
    <xf numFmtId="0" fontId="0" fillId="5" borderId="9" xfId="0" applyFill="1" applyBorder="1" applyAlignment="1">
      <alignment horizontal="center" vertical="top" wrapText="1"/>
    </xf>
    <xf numFmtId="0" fontId="0" fillId="0" borderId="40" xfId="0" applyBorder="1" applyAlignment="1">
      <alignment horizontal="center"/>
    </xf>
    <xf numFmtId="0" fontId="0" fillId="0" borderId="44" xfId="0" applyBorder="1" applyAlignment="1">
      <alignment horizontal="center"/>
    </xf>
    <xf numFmtId="0" fontId="0" fillId="0" borderId="0" xfId="0" applyAlignment="1">
      <alignment horizontal="center"/>
    </xf>
    <xf numFmtId="0" fontId="0" fillId="0" borderId="31" xfId="0" applyBorder="1" applyAlignment="1">
      <alignment horizontal="center"/>
    </xf>
    <xf numFmtId="0" fontId="4" fillId="0" borderId="7" xfId="0" applyFont="1" applyBorder="1" applyAlignment="1">
      <alignment horizontal="center" vertical="center"/>
    </xf>
    <xf numFmtId="0" fontId="4" fillId="0" borderId="42" xfId="0" applyFont="1" applyBorder="1" applyAlignment="1">
      <alignment horizontal="center" vertical="center"/>
    </xf>
    <xf numFmtId="0" fontId="4" fillId="0" borderId="7" xfId="0" applyFont="1" applyBorder="1" applyAlignment="1">
      <alignment horizontal="center" vertical="center" wrapText="1"/>
    </xf>
    <xf numFmtId="0" fontId="4" fillId="0" borderId="42" xfId="0" applyFont="1" applyBorder="1" applyAlignment="1">
      <alignment horizontal="center" vertical="center" wrapText="1"/>
    </xf>
    <xf numFmtId="0" fontId="0" fillId="2" borderId="45" xfId="0" applyFill="1" applyBorder="1" applyAlignment="1">
      <alignment horizontal="left" vertical="center" wrapText="1"/>
    </xf>
    <xf numFmtId="0" fontId="0" fillId="2" borderId="25" xfId="0" applyFill="1" applyBorder="1" applyAlignment="1">
      <alignment horizontal="left" vertical="center" wrapText="1"/>
    </xf>
    <xf numFmtId="0" fontId="0" fillId="2" borderId="43" xfId="0" applyFill="1" applyBorder="1" applyAlignment="1">
      <alignment horizontal="left" vertical="center" wrapText="1"/>
    </xf>
    <xf numFmtId="0" fontId="0" fillId="2" borderId="30" xfId="0" applyFill="1" applyBorder="1" applyAlignment="1">
      <alignment horizontal="left" vertical="center" wrapText="1"/>
    </xf>
    <xf numFmtId="0" fontId="0" fillId="2" borderId="0" xfId="0" applyFill="1" applyAlignment="1">
      <alignment horizontal="left" vertical="center" wrapText="1"/>
    </xf>
    <xf numFmtId="0" fontId="0" fillId="2" borderId="32" xfId="0" applyFill="1" applyBorder="1" applyAlignment="1">
      <alignment horizontal="left" vertical="center" wrapText="1"/>
    </xf>
    <xf numFmtId="0" fontId="4" fillId="7" borderId="3" xfId="0" applyFont="1" applyFill="1" applyBorder="1" applyAlignment="1">
      <alignment horizontal="center" vertical="top" wrapText="1"/>
    </xf>
    <xf numFmtId="0" fontId="4" fillId="7" borderId="5" xfId="0" applyFont="1" applyFill="1" applyBorder="1" applyAlignment="1">
      <alignment horizontal="center" vertical="top" wrapText="1"/>
    </xf>
    <xf numFmtId="0" fontId="0" fillId="8" borderId="46" xfId="0" applyFill="1" applyBorder="1" applyAlignment="1">
      <alignment horizontal="center" vertical="center" wrapText="1"/>
    </xf>
    <xf numFmtId="0" fontId="0" fillId="8" borderId="47" xfId="0" applyFill="1" applyBorder="1" applyAlignment="1">
      <alignment horizontal="center" vertical="center" wrapText="1"/>
    </xf>
    <xf numFmtId="0" fontId="14" fillId="0" borderId="36" xfId="0" applyFont="1" applyBorder="1" applyAlignment="1">
      <alignment wrapText="1"/>
    </xf>
    <xf numFmtId="0" fontId="14" fillId="0" borderId="44" xfId="0" applyFont="1" applyBorder="1" applyAlignment="1">
      <alignment wrapText="1"/>
    </xf>
    <xf numFmtId="0" fontId="11" fillId="0" borderId="40" xfId="0" applyFont="1" applyBorder="1" applyAlignment="1">
      <alignment wrapText="1"/>
    </xf>
    <xf numFmtId="0" fontId="11" fillId="0" borderId="36" xfId="0" applyFont="1" applyBorder="1" applyAlignment="1">
      <alignment wrapText="1"/>
    </xf>
    <xf numFmtId="0" fontId="11" fillId="0" borderId="44" xfId="0" applyFont="1" applyBorder="1" applyAlignment="1">
      <alignment wrapText="1"/>
    </xf>
    <xf numFmtId="0" fontId="11" fillId="0" borderId="0" xfId="0" applyFont="1" applyAlignment="1"/>
    <xf numFmtId="0" fontId="12" fillId="0" borderId="0" xfId="0" applyFont="1" applyAlignment="1"/>
    <xf numFmtId="0" fontId="13" fillId="0" borderId="0" xfId="0" applyFont="1" applyAlignment="1"/>
    <xf numFmtId="0" fontId="14" fillId="0" borderId="0" xfId="0" applyFont="1" applyAlignment="1"/>
    <xf numFmtId="0" fontId="11" fillId="0" borderId="38" xfId="0" applyFont="1" applyBorder="1" applyAlignment="1"/>
    <xf numFmtId="0" fontId="15" fillId="9" borderId="40" xfId="0" applyFont="1" applyFill="1" applyBorder="1" applyAlignment="1"/>
    <xf numFmtId="0" fontId="15" fillId="9" borderId="36" xfId="0" applyFont="1" applyFill="1" applyBorder="1" applyAlignment="1"/>
    <xf numFmtId="0" fontId="15" fillId="9" borderId="44" xfId="0" applyFont="1" applyFill="1" applyBorder="1" applyAlignment="1"/>
  </cellXfs>
  <cellStyles count="2">
    <cellStyle name="Normal" xfId="0" builtinId="0"/>
    <cellStyle name="Porcentaje" xfId="1" builtinId="5"/>
  </cellStyles>
  <dxfs count="0"/>
  <tableStyles count="0" defaultTableStyle="TableStyleMedium2" defaultPivotStyle="PivotStyleMedium9"/>
  <colors>
    <mruColors>
      <color rgb="FFFFCCCC"/>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409575</xdr:colOff>
      <xdr:row>0</xdr:row>
      <xdr:rowOff>0</xdr:rowOff>
    </xdr:from>
    <xdr:to>
      <xdr:col>19</xdr:col>
      <xdr:colOff>534800</xdr:colOff>
      <xdr:row>36</xdr:row>
      <xdr:rowOff>143852</xdr:rowOff>
    </xdr:to>
    <xdr:pic>
      <xdr:nvPicPr>
        <xdr:cNvPr id="5" name="Imagen 4">
          <a:extLst>
            <a:ext uri="{FF2B5EF4-FFF2-40B4-BE49-F238E27FC236}">
              <a16:creationId xmlns:a16="http://schemas.microsoft.com/office/drawing/2014/main" id="{8A429B0D-F501-6D34-3D7D-515A1AF0566B}"/>
            </a:ext>
          </a:extLst>
        </xdr:cNvPr>
        <xdr:cNvPicPr>
          <a:picLocks noChangeAspect="1"/>
        </xdr:cNvPicPr>
      </xdr:nvPicPr>
      <xdr:blipFill>
        <a:blip xmlns:r="http://schemas.openxmlformats.org/officeDocument/2006/relationships" r:embed="rId1"/>
        <a:stretch>
          <a:fillRect/>
        </a:stretch>
      </xdr:blipFill>
      <xdr:spPr>
        <a:xfrm>
          <a:off x="4981575" y="0"/>
          <a:ext cx="10031225" cy="7001852"/>
        </a:xfrm>
        <a:prstGeom prst="rect">
          <a:avLst/>
        </a:prstGeom>
      </xdr:spPr>
    </xdr:pic>
    <xdr:clientData/>
  </xdr:twoCellAnchor>
  <xdr:twoCellAnchor editAs="oneCell">
    <xdr:from>
      <xdr:col>6</xdr:col>
      <xdr:colOff>365125</xdr:colOff>
      <xdr:row>34</xdr:row>
      <xdr:rowOff>168275</xdr:rowOff>
    </xdr:from>
    <xdr:to>
      <xdr:col>19</xdr:col>
      <xdr:colOff>147402</xdr:colOff>
      <xdr:row>51</xdr:row>
      <xdr:rowOff>82990</xdr:rowOff>
    </xdr:to>
    <xdr:pic>
      <xdr:nvPicPr>
        <xdr:cNvPr id="7" name="Imagen 6">
          <a:extLst>
            <a:ext uri="{FF2B5EF4-FFF2-40B4-BE49-F238E27FC236}">
              <a16:creationId xmlns:a16="http://schemas.microsoft.com/office/drawing/2014/main" id="{D2AB7F16-F40A-451F-D687-44D4654A0504}"/>
            </a:ext>
          </a:extLst>
        </xdr:cNvPr>
        <xdr:cNvPicPr>
          <a:picLocks noChangeAspect="1"/>
        </xdr:cNvPicPr>
      </xdr:nvPicPr>
      <xdr:blipFill>
        <a:blip xmlns:r="http://schemas.openxmlformats.org/officeDocument/2006/relationships" r:embed="rId2"/>
        <a:stretch>
          <a:fillRect/>
        </a:stretch>
      </xdr:blipFill>
      <xdr:spPr>
        <a:xfrm>
          <a:off x="4937125" y="6645275"/>
          <a:ext cx="9688277" cy="3153215"/>
        </a:xfrm>
        <a:prstGeom prst="rect">
          <a:avLst/>
        </a:prstGeom>
      </xdr:spPr>
    </xdr:pic>
    <xdr:clientData/>
  </xdr:twoCellAnchor>
  <xdr:twoCellAnchor editAs="oneCell">
    <xdr:from>
      <xdr:col>6</xdr:col>
      <xdr:colOff>276225</xdr:colOff>
      <xdr:row>52</xdr:row>
      <xdr:rowOff>28575</xdr:rowOff>
    </xdr:from>
    <xdr:to>
      <xdr:col>19</xdr:col>
      <xdr:colOff>468134</xdr:colOff>
      <xdr:row>84</xdr:row>
      <xdr:rowOff>847</xdr:rowOff>
    </xdr:to>
    <xdr:pic>
      <xdr:nvPicPr>
        <xdr:cNvPr id="8" name="Imagen 7">
          <a:extLst>
            <a:ext uri="{FF2B5EF4-FFF2-40B4-BE49-F238E27FC236}">
              <a16:creationId xmlns:a16="http://schemas.microsoft.com/office/drawing/2014/main" id="{D40B6CF4-6C71-449B-26AE-02E23175E4E4}"/>
            </a:ext>
          </a:extLst>
        </xdr:cNvPr>
        <xdr:cNvPicPr>
          <a:picLocks noChangeAspect="1"/>
        </xdr:cNvPicPr>
      </xdr:nvPicPr>
      <xdr:blipFill>
        <a:blip xmlns:r="http://schemas.openxmlformats.org/officeDocument/2006/relationships" r:embed="rId3"/>
        <a:stretch>
          <a:fillRect/>
        </a:stretch>
      </xdr:blipFill>
      <xdr:spPr>
        <a:xfrm>
          <a:off x="4848225" y="9934575"/>
          <a:ext cx="10097909" cy="60682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workbookViewId="0">
      <selection activeCell="C17" sqref="C17"/>
    </sheetView>
  </sheetViews>
  <sheetFormatPr defaultColWidth="11.42578125" defaultRowHeight="14.8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6" thickBot="1"/>
    <row r="4" spans="1:8" ht="15.6" thickBot="1">
      <c r="C4" s="91" t="s">
        <v>2</v>
      </c>
      <c r="D4" s="92"/>
      <c r="E4" s="92"/>
      <c r="F4" s="92"/>
      <c r="G4" s="93"/>
    </row>
    <row r="5" spans="1:8">
      <c r="C5" s="6" t="s">
        <v>3</v>
      </c>
      <c r="D5" s="6" t="s">
        <v>4</v>
      </c>
      <c r="E5" s="7" t="s">
        <v>5</v>
      </c>
      <c r="F5" s="6" t="s">
        <v>6</v>
      </c>
      <c r="G5" s="8" t="s">
        <v>7</v>
      </c>
    </row>
    <row r="6" spans="1:8" ht="15.6" thickBot="1">
      <c r="C6" s="9" t="s">
        <v>8</v>
      </c>
      <c r="D6" s="9" t="s">
        <v>9</v>
      </c>
      <c r="E6" s="10" t="s">
        <v>10</v>
      </c>
      <c r="F6" s="9" t="s">
        <v>11</v>
      </c>
      <c r="G6" s="11" t="s">
        <v>12</v>
      </c>
    </row>
    <row r="7" spans="1:8" ht="45" thickBot="1">
      <c r="C7" s="12" t="s">
        <v>13</v>
      </c>
      <c r="D7" s="13" t="s">
        <v>14</v>
      </c>
      <c r="E7" s="13" t="s">
        <v>15</v>
      </c>
      <c r="F7" s="13" t="s">
        <v>16</v>
      </c>
      <c r="G7" s="14" t="s">
        <v>17</v>
      </c>
    </row>
    <row r="8" spans="1:8">
      <c r="C8" s="15"/>
      <c r="D8" s="15"/>
      <c r="E8" s="15"/>
      <c r="F8" s="15"/>
      <c r="G8" s="16"/>
    </row>
    <row r="9" spans="1:8">
      <c r="A9" t="s">
        <v>18</v>
      </c>
      <c r="B9" s="17" t="s">
        <v>19</v>
      </c>
    </row>
    <row r="10" spans="1:8">
      <c r="B10" s="94" t="s">
        <v>20</v>
      </c>
      <c r="C10" s="95"/>
      <c r="D10" s="95"/>
      <c r="E10" s="95"/>
      <c r="F10" s="95"/>
      <c r="G10" s="95"/>
    </row>
    <row r="11" spans="1:8">
      <c r="B11" s="95"/>
      <c r="C11" s="95"/>
      <c r="D11" s="95"/>
      <c r="E11" s="95"/>
      <c r="F11" s="95"/>
      <c r="G11" s="95"/>
    </row>
    <row r="12" spans="1:8">
      <c r="B12" s="95"/>
      <c r="C12" s="95"/>
      <c r="D12" s="95"/>
      <c r="E12" s="95"/>
      <c r="F12" s="95"/>
      <c r="G12" s="95"/>
    </row>
    <row r="14" spans="1:8" ht="15.6" thickBot="1"/>
    <row r="15" spans="1:8" ht="15.6" thickBot="1">
      <c r="C15" s="91" t="s">
        <v>21</v>
      </c>
      <c r="D15" s="92"/>
      <c r="E15" s="92"/>
      <c r="F15" s="92"/>
      <c r="G15" s="93"/>
    </row>
    <row r="16" spans="1:8" ht="15.6" thickBot="1">
      <c r="B16" s="18"/>
      <c r="C16" s="19" t="s">
        <v>3</v>
      </c>
      <c r="D16" s="20" t="s">
        <v>4</v>
      </c>
      <c r="E16" s="21" t="s">
        <v>5</v>
      </c>
      <c r="F16" s="96" t="s">
        <v>22</v>
      </c>
      <c r="G16" s="97"/>
      <c r="H16" s="22"/>
    </row>
    <row r="17" spans="2:8" ht="15.6" thickBot="1">
      <c r="B17" s="23" t="s">
        <v>23</v>
      </c>
      <c r="C17" s="24" t="s">
        <v>24</v>
      </c>
      <c r="D17" s="25" t="s">
        <v>25</v>
      </c>
      <c r="E17" s="26" t="s">
        <v>26</v>
      </c>
      <c r="F17" s="98" t="s">
        <v>27</v>
      </c>
      <c r="G17" s="99"/>
      <c r="H17" s="22"/>
    </row>
    <row r="18" spans="2:8" ht="133.5" thickBot="1">
      <c r="B18" s="100" t="s">
        <v>28</v>
      </c>
      <c r="C18" s="27" t="s">
        <v>29</v>
      </c>
      <c r="D18" s="27" t="s">
        <v>30</v>
      </c>
      <c r="E18" s="27" t="s">
        <v>31</v>
      </c>
      <c r="F18" s="103" t="s">
        <v>32</v>
      </c>
      <c r="G18" s="104"/>
      <c r="H18" s="28" t="s">
        <v>33</v>
      </c>
    </row>
    <row r="19" spans="2:8">
      <c r="B19" s="101"/>
      <c r="C19" s="105" t="s">
        <v>34</v>
      </c>
      <c r="D19" s="105"/>
      <c r="E19" s="105" t="s">
        <v>35</v>
      </c>
      <c r="F19" s="105"/>
      <c r="G19" s="106"/>
      <c r="H19" s="22"/>
    </row>
    <row r="20" spans="2:8">
      <c r="B20" s="102"/>
      <c r="C20" s="107" t="s">
        <v>36</v>
      </c>
      <c r="D20" s="107"/>
      <c r="E20" s="107"/>
      <c r="F20" s="107"/>
      <c r="G20" s="108"/>
      <c r="H20" s="22"/>
    </row>
    <row r="21" spans="2:8" ht="15" customHeight="1">
      <c r="B21" s="109" t="s">
        <v>37</v>
      </c>
      <c r="C21" s="112" t="s">
        <v>38</v>
      </c>
      <c r="D21" s="113" t="s">
        <v>39</v>
      </c>
      <c r="E21" s="113" t="s">
        <v>40</v>
      </c>
      <c r="F21" s="116" t="s">
        <v>41</v>
      </c>
      <c r="G21" s="90"/>
    </row>
    <row r="22" spans="2:8">
      <c r="B22" s="110"/>
      <c r="C22" s="110"/>
      <c r="D22" s="110"/>
      <c r="E22" s="114"/>
      <c r="F22" s="117"/>
      <c r="G22" s="90"/>
    </row>
    <row r="23" spans="2:8">
      <c r="B23" s="110"/>
      <c r="C23" s="110"/>
      <c r="D23" s="110"/>
      <c r="E23" s="114"/>
      <c r="F23" s="117"/>
      <c r="G23" s="90"/>
    </row>
    <row r="24" spans="2:8">
      <c r="B24" s="110"/>
      <c r="C24" s="110"/>
      <c r="D24" s="110"/>
      <c r="E24" s="114"/>
      <c r="F24" s="117"/>
      <c r="G24" s="90"/>
    </row>
    <row r="25" spans="2:8">
      <c r="B25" s="110"/>
      <c r="C25" s="110"/>
      <c r="D25" s="110"/>
      <c r="E25" s="114"/>
      <c r="F25" s="117"/>
      <c r="G25" s="90"/>
    </row>
    <row r="26" spans="2:8">
      <c r="B26" s="110"/>
      <c r="C26" s="110"/>
      <c r="D26" s="110"/>
      <c r="E26" s="114"/>
      <c r="F26" s="117"/>
      <c r="G26" s="90"/>
    </row>
    <row r="27" spans="2:8">
      <c r="B27" s="110"/>
      <c r="C27" s="110"/>
      <c r="D27" s="110"/>
      <c r="E27" s="114"/>
      <c r="F27" s="117"/>
      <c r="G27" s="90"/>
    </row>
    <row r="28" spans="2:8">
      <c r="B28" s="110"/>
      <c r="C28" s="110"/>
      <c r="D28" s="110"/>
      <c r="E28" s="114"/>
      <c r="F28" s="117"/>
      <c r="G28" s="90"/>
    </row>
    <row r="29" spans="2:8">
      <c r="B29" s="110"/>
      <c r="C29" s="110"/>
      <c r="D29" s="110"/>
      <c r="E29" s="114"/>
      <c r="F29" s="117"/>
      <c r="G29" s="90"/>
    </row>
    <row r="30" spans="2:8">
      <c r="B30" s="110"/>
      <c r="C30" s="110"/>
      <c r="D30" s="110"/>
      <c r="E30" s="114"/>
      <c r="F30" s="117"/>
      <c r="G30" s="90"/>
    </row>
    <row r="31" spans="2:8">
      <c r="B31" s="110"/>
      <c r="C31" s="110"/>
      <c r="D31" s="110"/>
      <c r="E31" s="114"/>
      <c r="F31" s="117"/>
      <c r="G31" s="90"/>
    </row>
    <row r="32" spans="2:8">
      <c r="B32" s="110"/>
      <c r="C32" s="110"/>
      <c r="D32" s="110"/>
      <c r="E32" s="114"/>
      <c r="F32" s="117"/>
      <c r="G32" s="90"/>
    </row>
    <row r="33" spans="2:7">
      <c r="B33" s="110"/>
      <c r="C33" s="110"/>
      <c r="D33" s="110"/>
      <c r="E33" s="114"/>
      <c r="F33" s="117"/>
      <c r="G33" s="90"/>
    </row>
    <row r="34" spans="2:7">
      <c r="B34" s="111"/>
      <c r="C34" s="111"/>
      <c r="D34" s="111"/>
      <c r="E34" s="115"/>
      <c r="F34" s="117"/>
      <c r="G34" s="90"/>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zoomScale="50" workbookViewId="0">
      <selection activeCell="U43" sqref="U43"/>
    </sheetView>
  </sheetViews>
  <sheetFormatPr defaultColWidth="11.42578125" defaultRowHeight="14.8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R50"/>
  <sheetViews>
    <sheetView zoomScale="49" workbookViewId="0">
      <selection activeCell="P7" sqref="P7"/>
    </sheetView>
  </sheetViews>
  <sheetFormatPr defaultColWidth="9.140625" defaultRowHeight="15" customHeight="1"/>
  <cols>
    <col min="1" max="1" width="14.28515625" customWidth="1"/>
    <col min="2" max="2" width="11.42578125" customWidth="1"/>
    <col min="3" max="3" width="60" customWidth="1"/>
    <col min="4" max="4" width="20.85546875" customWidth="1"/>
    <col min="5" max="5" width="23" customWidth="1"/>
    <col min="6" max="6" width="31.85546875" customWidth="1"/>
    <col min="7" max="7" width="59.140625" customWidth="1"/>
    <col min="8" max="10" width="14.28515625" customWidth="1"/>
    <col min="11" max="11" width="35.28515625" customWidth="1"/>
    <col min="12" max="12" width="41.5703125" customWidth="1"/>
    <col min="13" max="13" width="38" customWidth="1"/>
    <col min="14" max="15" width="14.28515625" customWidth="1"/>
    <col min="16" max="16" width="41.7109375" customWidth="1"/>
    <col min="17" max="17" width="14.28515625" customWidth="1"/>
    <col min="18" max="18" width="18" customWidth="1"/>
  </cols>
  <sheetData>
    <row r="1" spans="1:18" s="5" customFormat="1" ht="148.35" customHeight="1" thickBot="1">
      <c r="A1" s="121" t="s">
        <v>42</v>
      </c>
      <c r="B1" s="122"/>
      <c r="C1" s="122"/>
      <c r="D1" s="122"/>
      <c r="E1" s="122"/>
      <c r="F1" s="122"/>
      <c r="G1" s="122"/>
      <c r="H1" s="122"/>
      <c r="I1" s="122"/>
      <c r="J1" s="123"/>
      <c r="K1" s="124" t="s">
        <v>43</v>
      </c>
      <c r="L1" s="125"/>
      <c r="M1" s="57" t="s">
        <v>44</v>
      </c>
      <c r="N1" s="118" t="s">
        <v>45</v>
      </c>
      <c r="O1" s="119"/>
      <c r="P1" s="120"/>
      <c r="Q1" s="54"/>
      <c r="R1" s="54"/>
    </row>
    <row r="2" spans="1:18" s="3" customFormat="1" ht="132.6" customHeight="1" thickBot="1">
      <c r="A2" s="60" t="s">
        <v>46</v>
      </c>
      <c r="B2" s="61" t="s">
        <v>47</v>
      </c>
      <c r="C2" s="61" t="s">
        <v>48</v>
      </c>
      <c r="D2" s="61" t="s">
        <v>49</v>
      </c>
      <c r="E2" s="61" t="s">
        <v>50</v>
      </c>
      <c r="F2" s="61" t="s">
        <v>51</v>
      </c>
      <c r="G2" s="62" t="s">
        <v>52</v>
      </c>
      <c r="H2" s="63" t="s">
        <v>53</v>
      </c>
      <c r="I2" s="63" t="s">
        <v>54</v>
      </c>
      <c r="J2" s="63" t="s">
        <v>55</v>
      </c>
      <c r="K2" s="64" t="s">
        <v>56</v>
      </c>
      <c r="L2" s="65" t="s">
        <v>57</v>
      </c>
      <c r="M2" s="68" t="s">
        <v>58</v>
      </c>
      <c r="N2" s="66" t="s">
        <v>59</v>
      </c>
      <c r="O2" s="66" t="s">
        <v>60</v>
      </c>
      <c r="P2" s="66" t="s">
        <v>61</v>
      </c>
    </row>
    <row r="3" spans="1:18">
      <c r="A3" s="58">
        <v>18277224</v>
      </c>
      <c r="B3" s="58">
        <v>0</v>
      </c>
      <c r="C3" s="58" t="s">
        <v>62</v>
      </c>
      <c r="D3" s="59" t="s">
        <v>63</v>
      </c>
      <c r="E3" s="59" t="s">
        <v>64</v>
      </c>
      <c r="F3" s="59" t="s">
        <v>65</v>
      </c>
      <c r="G3" s="50" t="s">
        <v>66</v>
      </c>
      <c r="H3" s="51" t="s">
        <v>67</v>
      </c>
      <c r="I3" t="s">
        <v>68</v>
      </c>
      <c r="J3" s="51" t="s">
        <v>67</v>
      </c>
      <c r="K3" s="42" t="s">
        <v>67</v>
      </c>
      <c r="L3" s="42" t="s">
        <v>67</v>
      </c>
      <c r="M3" s="42" t="s">
        <v>67</v>
      </c>
      <c r="N3" s="53">
        <f>SUM(K3:M3)</f>
        <v>0</v>
      </c>
      <c r="O3" s="67">
        <f>N3/9</f>
        <v>0</v>
      </c>
      <c r="P3" s="50" t="str">
        <f>IF(H3="Rendida ",IF(O3&lt;49.5%,"Por Mejorar",IF(O3&lt;64.5%,"Base",IF(O3&lt;84.5%,"Satisfactorio","Óptimo"))),"No rendida o no válida")</f>
        <v>No rendida o no válida</v>
      </c>
    </row>
    <row r="4" spans="1:18" ht="29.25">
      <c r="A4" s="55">
        <v>18579652</v>
      </c>
      <c r="B4" s="55">
        <v>3</v>
      </c>
      <c r="C4" s="58" t="s">
        <v>69</v>
      </c>
      <c r="D4" s="46" t="s">
        <v>70</v>
      </c>
      <c r="E4" s="46" t="s">
        <v>71</v>
      </c>
      <c r="F4" s="46" t="s">
        <v>72</v>
      </c>
      <c r="G4" s="33" t="s">
        <v>73</v>
      </c>
      <c r="H4" s="78" t="s">
        <v>74</v>
      </c>
      <c r="I4" t="s">
        <v>68</v>
      </c>
      <c r="J4" s="87" t="s">
        <v>67</v>
      </c>
      <c r="K4" s="42" t="s">
        <v>67</v>
      </c>
      <c r="L4" s="42" t="s">
        <v>67</v>
      </c>
      <c r="M4" s="42" t="s">
        <v>67</v>
      </c>
      <c r="N4" s="53">
        <f t="shared" ref="N4:N43" si="0">SUM(K4:M4)</f>
        <v>0</v>
      </c>
      <c r="O4" s="67">
        <f t="shared" ref="O4:O43" si="1">N4/9</f>
        <v>0</v>
      </c>
      <c r="P4" s="50" t="str">
        <f t="shared" ref="P4:P43" si="2">IF(H4="Rendida ",IF(O4&lt;49.5%,"Por Mejorar",IF(O4&lt;64.5%,"Base",IF(O4&lt;84.5%,"Satisfactorio","Óptimo"))),"No rendida o no válida")</f>
        <v>No rendida o no válida</v>
      </c>
    </row>
    <row r="5" spans="1:18">
      <c r="A5" s="55">
        <v>19317832</v>
      </c>
      <c r="B5" s="55">
        <v>4</v>
      </c>
      <c r="C5" s="58" t="s">
        <v>75</v>
      </c>
      <c r="D5" s="46" t="s">
        <v>76</v>
      </c>
      <c r="E5" s="46" t="s">
        <v>77</v>
      </c>
      <c r="F5" s="46" t="s">
        <v>78</v>
      </c>
      <c r="G5" s="88" t="s">
        <v>79</v>
      </c>
      <c r="H5" s="78" t="s">
        <v>80</v>
      </c>
      <c r="I5" s="73" t="s">
        <v>81</v>
      </c>
      <c r="J5" s="35"/>
      <c r="K5" s="34">
        <v>3</v>
      </c>
      <c r="L5" s="2">
        <v>1</v>
      </c>
      <c r="M5" s="53">
        <v>3</v>
      </c>
      <c r="N5" s="53">
        <f t="shared" si="0"/>
        <v>7</v>
      </c>
      <c r="O5" s="67">
        <f t="shared" si="1"/>
        <v>0.77777777777777779</v>
      </c>
      <c r="P5" s="50" t="str">
        <f t="shared" si="2"/>
        <v>Satisfactorio</v>
      </c>
    </row>
    <row r="6" spans="1:18">
      <c r="A6" s="55">
        <v>19516972</v>
      </c>
      <c r="B6" s="55">
        <v>1</v>
      </c>
      <c r="C6" s="58" t="s">
        <v>82</v>
      </c>
      <c r="D6" s="46" t="s">
        <v>83</v>
      </c>
      <c r="E6" s="46" t="s">
        <v>84</v>
      </c>
      <c r="F6" s="46" t="s">
        <v>85</v>
      </c>
      <c r="G6" s="41" t="s">
        <v>66</v>
      </c>
      <c r="H6" s="42" t="s">
        <v>67</v>
      </c>
      <c r="I6" s="73" t="s">
        <v>68</v>
      </c>
      <c r="J6" s="42" t="s">
        <v>67</v>
      </c>
      <c r="K6" s="42" t="s">
        <v>67</v>
      </c>
      <c r="L6" s="42" t="s">
        <v>67</v>
      </c>
      <c r="M6" s="42" t="s">
        <v>67</v>
      </c>
      <c r="N6" s="53">
        <f t="shared" si="0"/>
        <v>0</v>
      </c>
      <c r="O6" s="67">
        <f t="shared" si="1"/>
        <v>0</v>
      </c>
      <c r="P6" s="50" t="str">
        <f t="shared" si="2"/>
        <v>No rendida o no válida</v>
      </c>
    </row>
    <row r="7" spans="1:18">
      <c r="A7" s="55">
        <v>20420864</v>
      </c>
      <c r="B7" s="55">
        <v>6</v>
      </c>
      <c r="C7" s="58" t="s">
        <v>86</v>
      </c>
      <c r="D7" s="46" t="s">
        <v>87</v>
      </c>
      <c r="E7" s="46" t="s">
        <v>88</v>
      </c>
      <c r="F7" s="46" t="s">
        <v>89</v>
      </c>
      <c r="G7" s="41" t="s">
        <v>79</v>
      </c>
      <c r="H7" s="76" t="s">
        <v>80</v>
      </c>
      <c r="I7" s="73" t="s">
        <v>81</v>
      </c>
      <c r="J7" s="42"/>
      <c r="K7" s="43">
        <v>2</v>
      </c>
      <c r="L7" s="2">
        <v>2</v>
      </c>
      <c r="M7" s="52">
        <v>2</v>
      </c>
      <c r="N7" s="53">
        <f t="shared" si="0"/>
        <v>6</v>
      </c>
      <c r="O7" s="67">
        <f t="shared" si="1"/>
        <v>0.66666666666666663</v>
      </c>
      <c r="P7" s="50" t="str">
        <f t="shared" si="2"/>
        <v>Satisfactorio</v>
      </c>
    </row>
    <row r="8" spans="1:18">
      <c r="A8" s="55">
        <v>20532555</v>
      </c>
      <c r="B8" s="55">
        <v>7</v>
      </c>
      <c r="C8" s="58" t="s">
        <v>90</v>
      </c>
      <c r="D8" s="46" t="s">
        <v>91</v>
      </c>
      <c r="E8" s="46" t="s">
        <v>92</v>
      </c>
      <c r="F8" s="46" t="s">
        <v>93</v>
      </c>
      <c r="G8" s="41" t="s">
        <v>79</v>
      </c>
      <c r="H8" s="76" t="s">
        <v>80</v>
      </c>
      <c r="I8" s="73" t="s">
        <v>81</v>
      </c>
      <c r="J8" s="42"/>
      <c r="K8" s="43">
        <v>3</v>
      </c>
      <c r="L8" s="2">
        <v>2</v>
      </c>
      <c r="M8" s="2">
        <v>3</v>
      </c>
      <c r="N8" s="53">
        <f t="shared" si="0"/>
        <v>8</v>
      </c>
      <c r="O8" s="67">
        <f t="shared" si="1"/>
        <v>0.88888888888888884</v>
      </c>
      <c r="P8" s="50" t="str">
        <f t="shared" si="2"/>
        <v>Óptimo</v>
      </c>
    </row>
    <row r="9" spans="1:18">
      <c r="A9" s="55">
        <v>20817429</v>
      </c>
      <c r="B9" s="55">
        <v>0</v>
      </c>
      <c r="C9" s="58" t="s">
        <v>94</v>
      </c>
      <c r="D9" s="46" t="s">
        <v>95</v>
      </c>
      <c r="E9" s="46" t="s">
        <v>87</v>
      </c>
      <c r="F9" s="46" t="s">
        <v>96</v>
      </c>
      <c r="G9" s="41" t="s">
        <v>66</v>
      </c>
      <c r="H9" s="42" t="s">
        <v>67</v>
      </c>
      <c r="I9" s="73" t="s">
        <v>68</v>
      </c>
      <c r="J9" s="42" t="s">
        <v>67</v>
      </c>
      <c r="K9" s="42" t="s">
        <v>67</v>
      </c>
      <c r="L9" s="42" t="s">
        <v>67</v>
      </c>
      <c r="M9" s="42" t="s">
        <v>67</v>
      </c>
      <c r="N9" s="53">
        <f t="shared" si="0"/>
        <v>0</v>
      </c>
      <c r="O9" s="67">
        <f t="shared" si="1"/>
        <v>0</v>
      </c>
      <c r="P9" s="50" t="str">
        <f t="shared" si="2"/>
        <v>No rendida o no válida</v>
      </c>
    </row>
    <row r="10" spans="1:18">
      <c r="A10" s="55">
        <v>20878978</v>
      </c>
      <c r="B10" s="55">
        <v>3</v>
      </c>
      <c r="C10" s="58" t="s">
        <v>97</v>
      </c>
      <c r="D10" s="79" t="s">
        <v>98</v>
      </c>
      <c r="E10" s="79" t="s">
        <v>99</v>
      </c>
      <c r="F10" s="79" t="s">
        <v>100</v>
      </c>
      <c r="G10" s="80" t="s">
        <v>79</v>
      </c>
      <c r="H10" s="85" t="s">
        <v>80</v>
      </c>
      <c r="I10" s="82" t="s">
        <v>81</v>
      </c>
      <c r="J10" s="81"/>
      <c r="K10" s="83">
        <v>2</v>
      </c>
      <c r="L10" s="84">
        <v>2</v>
      </c>
      <c r="M10" s="84">
        <v>3</v>
      </c>
      <c r="N10" s="53">
        <f t="shared" si="0"/>
        <v>7</v>
      </c>
      <c r="O10" s="67">
        <f t="shared" si="1"/>
        <v>0.77777777777777779</v>
      </c>
      <c r="P10" s="50" t="str">
        <f t="shared" si="2"/>
        <v>Satisfactorio</v>
      </c>
    </row>
    <row r="11" spans="1:18">
      <c r="A11" s="55">
        <v>20889024</v>
      </c>
      <c r="B11" s="55">
        <v>7</v>
      </c>
      <c r="C11" s="58" t="s">
        <v>101</v>
      </c>
      <c r="D11" s="46" t="s">
        <v>102</v>
      </c>
      <c r="E11" s="46" t="s">
        <v>103</v>
      </c>
      <c r="F11" s="46" t="s">
        <v>104</v>
      </c>
      <c r="G11" s="41" t="s">
        <v>79</v>
      </c>
      <c r="H11" s="76" t="s">
        <v>80</v>
      </c>
      <c r="I11" s="73" t="s">
        <v>81</v>
      </c>
      <c r="J11" s="42"/>
      <c r="K11" s="43">
        <v>3</v>
      </c>
      <c r="L11" s="2">
        <v>1</v>
      </c>
      <c r="M11" s="2">
        <v>3</v>
      </c>
      <c r="N11" s="53">
        <f t="shared" si="0"/>
        <v>7</v>
      </c>
      <c r="O11" s="67">
        <f t="shared" si="1"/>
        <v>0.77777777777777779</v>
      </c>
      <c r="P11" s="50" t="str">
        <f t="shared" si="2"/>
        <v>Satisfactorio</v>
      </c>
    </row>
    <row r="12" spans="1:18">
      <c r="A12" s="55">
        <v>21084959</v>
      </c>
      <c r="B12" s="55">
        <v>9</v>
      </c>
      <c r="C12" s="58" t="s">
        <v>105</v>
      </c>
      <c r="D12" s="46" t="s">
        <v>106</v>
      </c>
      <c r="E12" s="46" t="s">
        <v>107</v>
      </c>
      <c r="F12" s="46" t="s">
        <v>108</v>
      </c>
      <c r="G12" s="41" t="s">
        <v>109</v>
      </c>
      <c r="H12" s="42" t="s">
        <v>67</v>
      </c>
      <c r="I12" s="73" t="s">
        <v>68</v>
      </c>
      <c r="J12" s="42" t="s">
        <v>67</v>
      </c>
      <c r="K12" s="42" t="s">
        <v>67</v>
      </c>
      <c r="L12" s="42" t="s">
        <v>67</v>
      </c>
      <c r="M12" s="42" t="s">
        <v>67</v>
      </c>
      <c r="N12" s="53">
        <f t="shared" si="0"/>
        <v>0</v>
      </c>
      <c r="O12" s="67">
        <f t="shared" si="1"/>
        <v>0</v>
      </c>
      <c r="P12" s="50" t="str">
        <f t="shared" si="2"/>
        <v>No rendida o no válida</v>
      </c>
    </row>
    <row r="13" spans="1:18">
      <c r="A13" s="55">
        <v>21087893</v>
      </c>
      <c r="B13" s="55">
        <v>9</v>
      </c>
      <c r="C13" s="58" t="s">
        <v>110</v>
      </c>
      <c r="D13" s="46" t="s">
        <v>111</v>
      </c>
      <c r="E13" s="46" t="s">
        <v>112</v>
      </c>
      <c r="F13" s="46" t="s">
        <v>113</v>
      </c>
      <c r="G13" s="41" t="s">
        <v>66</v>
      </c>
      <c r="H13" s="42" t="s">
        <v>67</v>
      </c>
      <c r="I13" s="73" t="s">
        <v>68</v>
      </c>
      <c r="J13" s="42" t="s">
        <v>67</v>
      </c>
      <c r="K13" s="42" t="s">
        <v>67</v>
      </c>
      <c r="L13" s="42" t="s">
        <v>67</v>
      </c>
      <c r="M13" s="42" t="s">
        <v>67</v>
      </c>
      <c r="N13" s="53">
        <f t="shared" si="0"/>
        <v>0</v>
      </c>
      <c r="O13" s="67">
        <f t="shared" si="1"/>
        <v>0</v>
      </c>
      <c r="P13" s="50" t="str">
        <f t="shared" si="2"/>
        <v>No rendida o no válida</v>
      </c>
    </row>
    <row r="14" spans="1:18">
      <c r="A14" s="55">
        <v>21171506</v>
      </c>
      <c r="B14" s="55">
        <v>5</v>
      </c>
      <c r="C14" s="58" t="s">
        <v>114</v>
      </c>
      <c r="D14" s="46" t="s">
        <v>115</v>
      </c>
      <c r="E14" s="46" t="s">
        <v>116</v>
      </c>
      <c r="F14" s="46" t="s">
        <v>117</v>
      </c>
      <c r="G14" s="41" t="s">
        <v>109</v>
      </c>
      <c r="H14" s="42" t="s">
        <v>67</v>
      </c>
      <c r="I14" s="73" t="s">
        <v>81</v>
      </c>
      <c r="J14" s="42" t="s">
        <v>67</v>
      </c>
      <c r="K14" s="42" t="s">
        <v>67</v>
      </c>
      <c r="L14" s="42" t="s">
        <v>67</v>
      </c>
      <c r="M14" s="42" t="s">
        <v>67</v>
      </c>
      <c r="N14" s="53">
        <f t="shared" si="0"/>
        <v>0</v>
      </c>
      <c r="O14" s="67">
        <f t="shared" si="1"/>
        <v>0</v>
      </c>
      <c r="P14" s="50" t="str">
        <f t="shared" si="2"/>
        <v>No rendida o no válida</v>
      </c>
    </row>
    <row r="15" spans="1:18">
      <c r="A15" s="55">
        <v>21211019</v>
      </c>
      <c r="B15" s="55">
        <v>1</v>
      </c>
      <c r="C15" s="58" t="s">
        <v>118</v>
      </c>
      <c r="D15" s="46" t="s">
        <v>119</v>
      </c>
      <c r="E15" s="46" t="s">
        <v>120</v>
      </c>
      <c r="F15" s="46" t="s">
        <v>121</v>
      </c>
      <c r="G15" s="41" t="s">
        <v>79</v>
      </c>
      <c r="H15" s="76" t="s">
        <v>80</v>
      </c>
      <c r="I15" s="73" t="s">
        <v>81</v>
      </c>
      <c r="J15" s="42"/>
      <c r="K15" s="43">
        <v>3</v>
      </c>
      <c r="L15" s="2">
        <v>1</v>
      </c>
      <c r="M15" s="2">
        <v>2</v>
      </c>
      <c r="N15" s="53">
        <f t="shared" si="0"/>
        <v>6</v>
      </c>
      <c r="O15" s="67">
        <f t="shared" si="1"/>
        <v>0.66666666666666663</v>
      </c>
      <c r="P15" s="50" t="str">
        <f t="shared" si="2"/>
        <v>Satisfactorio</v>
      </c>
    </row>
    <row r="16" spans="1:18">
      <c r="A16" s="55">
        <v>21278666</v>
      </c>
      <c r="B16" s="55">
        <v>7</v>
      </c>
      <c r="C16" s="58" t="s">
        <v>122</v>
      </c>
      <c r="D16" s="46" t="s">
        <v>123</v>
      </c>
      <c r="E16" s="46" t="s">
        <v>124</v>
      </c>
      <c r="F16" s="46" t="s">
        <v>125</v>
      </c>
      <c r="G16" s="38" t="s">
        <v>79</v>
      </c>
      <c r="H16" s="77" t="s">
        <v>80</v>
      </c>
      <c r="I16" s="82" t="s">
        <v>81</v>
      </c>
      <c r="J16" s="29"/>
      <c r="K16" s="40">
        <v>2</v>
      </c>
      <c r="L16" s="1">
        <v>2</v>
      </c>
      <c r="M16" s="1">
        <v>3</v>
      </c>
      <c r="N16" s="53">
        <f t="shared" si="0"/>
        <v>7</v>
      </c>
      <c r="O16" s="67">
        <f t="shared" si="1"/>
        <v>0.77777777777777779</v>
      </c>
      <c r="P16" s="50" t="str">
        <f t="shared" si="2"/>
        <v>Satisfactorio</v>
      </c>
    </row>
    <row r="17" spans="1:16">
      <c r="A17" s="55">
        <v>21301476</v>
      </c>
      <c r="B17" s="55">
        <v>5</v>
      </c>
      <c r="C17" s="58" t="s">
        <v>126</v>
      </c>
      <c r="D17" s="46" t="s">
        <v>127</v>
      </c>
      <c r="E17" s="46" t="s">
        <v>128</v>
      </c>
      <c r="F17" s="46" t="s">
        <v>129</v>
      </c>
      <c r="G17" s="41" t="s">
        <v>79</v>
      </c>
      <c r="H17" s="76" t="s">
        <v>80</v>
      </c>
      <c r="I17" s="73" t="s">
        <v>81</v>
      </c>
      <c r="J17" s="42"/>
      <c r="K17" s="43">
        <v>1</v>
      </c>
      <c r="L17" s="2">
        <v>2</v>
      </c>
      <c r="M17" s="2">
        <v>3</v>
      </c>
      <c r="N17" s="53">
        <f t="shared" si="0"/>
        <v>6</v>
      </c>
      <c r="O17" s="67">
        <f t="shared" si="1"/>
        <v>0.66666666666666663</v>
      </c>
      <c r="P17" s="50" t="str">
        <f t="shared" si="2"/>
        <v>Satisfactorio</v>
      </c>
    </row>
    <row r="18" spans="1:16">
      <c r="A18" s="55">
        <v>21343105</v>
      </c>
      <c r="B18" s="55">
        <v>6</v>
      </c>
      <c r="C18" s="58" t="s">
        <v>130</v>
      </c>
      <c r="D18" s="46" t="s">
        <v>131</v>
      </c>
      <c r="E18" s="46" t="s">
        <v>132</v>
      </c>
      <c r="F18" s="46" t="s">
        <v>133</v>
      </c>
      <c r="G18" s="41" t="s">
        <v>79</v>
      </c>
      <c r="H18" s="76" t="s">
        <v>80</v>
      </c>
      <c r="I18" s="73" t="s">
        <v>81</v>
      </c>
      <c r="J18" s="42"/>
      <c r="K18" s="43">
        <v>3</v>
      </c>
      <c r="L18" s="2">
        <v>2</v>
      </c>
      <c r="M18" s="2">
        <v>3</v>
      </c>
      <c r="N18" s="53">
        <f t="shared" si="0"/>
        <v>8</v>
      </c>
      <c r="O18" s="67">
        <f t="shared" si="1"/>
        <v>0.88888888888888884</v>
      </c>
      <c r="P18" s="50" t="str">
        <f t="shared" si="2"/>
        <v>Óptimo</v>
      </c>
    </row>
    <row r="19" spans="1:16">
      <c r="A19" s="55">
        <v>21391610</v>
      </c>
      <c r="B19" s="55">
        <v>6</v>
      </c>
      <c r="C19" s="58" t="s">
        <v>134</v>
      </c>
      <c r="D19" s="46" t="s">
        <v>135</v>
      </c>
      <c r="E19" s="46" t="s">
        <v>136</v>
      </c>
      <c r="F19" s="46" t="s">
        <v>137</v>
      </c>
      <c r="G19" s="41" t="s">
        <v>79</v>
      </c>
      <c r="H19" s="76" t="s">
        <v>80</v>
      </c>
      <c r="I19" s="73" t="s">
        <v>81</v>
      </c>
      <c r="J19" s="42"/>
      <c r="K19" s="43">
        <v>1</v>
      </c>
      <c r="L19" s="2">
        <v>2</v>
      </c>
      <c r="M19" s="2">
        <v>3</v>
      </c>
      <c r="N19" s="53">
        <f t="shared" si="0"/>
        <v>6</v>
      </c>
      <c r="O19" s="67">
        <f t="shared" si="1"/>
        <v>0.66666666666666663</v>
      </c>
      <c r="P19" s="50" t="str">
        <f t="shared" si="2"/>
        <v>Satisfactorio</v>
      </c>
    </row>
    <row r="20" spans="1:16">
      <c r="A20" s="55">
        <v>21412976</v>
      </c>
      <c r="B20" s="55">
        <v>0</v>
      </c>
      <c r="C20" s="58" t="s">
        <v>138</v>
      </c>
      <c r="D20" s="46" t="s">
        <v>139</v>
      </c>
      <c r="E20" s="46" t="s">
        <v>140</v>
      </c>
      <c r="F20" s="46" t="s">
        <v>141</v>
      </c>
      <c r="G20" s="41" t="s">
        <v>109</v>
      </c>
      <c r="H20" s="42" t="s">
        <v>67</v>
      </c>
      <c r="I20" s="73" t="s">
        <v>68</v>
      </c>
      <c r="J20" s="42"/>
      <c r="K20" s="43"/>
      <c r="L20" s="2"/>
      <c r="M20" s="2"/>
      <c r="N20" s="53">
        <f t="shared" si="0"/>
        <v>0</v>
      </c>
      <c r="O20" s="67">
        <f t="shared" si="1"/>
        <v>0</v>
      </c>
      <c r="P20" s="50" t="str">
        <f t="shared" si="2"/>
        <v>No rendida o no válida</v>
      </c>
    </row>
    <row r="21" spans="1:16">
      <c r="A21" s="55">
        <v>21443959</v>
      </c>
      <c r="B21" s="56" t="s">
        <v>142</v>
      </c>
      <c r="C21" s="58" t="s">
        <v>143</v>
      </c>
      <c r="D21" s="46" t="s">
        <v>144</v>
      </c>
      <c r="E21" s="46" t="s">
        <v>145</v>
      </c>
      <c r="F21" s="46" t="s">
        <v>146</v>
      </c>
      <c r="G21" s="41" t="s">
        <v>79</v>
      </c>
      <c r="H21" s="76" t="s">
        <v>80</v>
      </c>
      <c r="I21" s="73" t="s">
        <v>81</v>
      </c>
      <c r="J21" s="42"/>
      <c r="K21" s="43">
        <v>2</v>
      </c>
      <c r="L21" s="2">
        <v>1</v>
      </c>
      <c r="M21" s="2">
        <v>2</v>
      </c>
      <c r="N21" s="53">
        <f t="shared" si="0"/>
        <v>5</v>
      </c>
      <c r="O21" s="67">
        <f t="shared" si="1"/>
        <v>0.55555555555555558</v>
      </c>
      <c r="P21" s="50" t="str">
        <f t="shared" si="2"/>
        <v>Base</v>
      </c>
    </row>
    <row r="22" spans="1:16">
      <c r="A22" s="55">
        <v>21447598</v>
      </c>
      <c r="B22" s="55">
        <v>7</v>
      </c>
      <c r="C22" s="58" t="s">
        <v>147</v>
      </c>
      <c r="D22" s="46" t="s">
        <v>87</v>
      </c>
      <c r="E22" s="46" t="s">
        <v>148</v>
      </c>
      <c r="F22" s="46" t="s">
        <v>149</v>
      </c>
      <c r="G22" s="41" t="s">
        <v>109</v>
      </c>
      <c r="H22" s="42" t="s">
        <v>67</v>
      </c>
      <c r="I22" s="73" t="s">
        <v>68</v>
      </c>
      <c r="J22" s="73" t="s">
        <v>68</v>
      </c>
      <c r="K22" s="73" t="s">
        <v>68</v>
      </c>
      <c r="L22" s="73" t="s">
        <v>68</v>
      </c>
      <c r="M22" s="73" t="s">
        <v>68</v>
      </c>
      <c r="N22" s="53">
        <f t="shared" si="0"/>
        <v>0</v>
      </c>
      <c r="O22" s="67">
        <f t="shared" si="1"/>
        <v>0</v>
      </c>
      <c r="P22" s="50" t="str">
        <f t="shared" si="2"/>
        <v>No rendida o no válida</v>
      </c>
    </row>
    <row r="23" spans="1:16">
      <c r="A23" s="55">
        <v>21462646</v>
      </c>
      <c r="B23" s="55">
        <v>2</v>
      </c>
      <c r="C23" s="58" t="s">
        <v>150</v>
      </c>
      <c r="D23" s="46" t="s">
        <v>151</v>
      </c>
      <c r="E23" s="46" t="s">
        <v>152</v>
      </c>
      <c r="F23" s="46" t="s">
        <v>153</v>
      </c>
      <c r="G23" s="41" t="s">
        <v>109</v>
      </c>
      <c r="H23" s="42" t="s">
        <v>67</v>
      </c>
      <c r="I23" s="73" t="s">
        <v>68</v>
      </c>
      <c r="J23" s="73" t="s">
        <v>68</v>
      </c>
      <c r="K23" s="73" t="s">
        <v>68</v>
      </c>
      <c r="L23" s="73" t="s">
        <v>68</v>
      </c>
      <c r="M23" s="73" t="s">
        <v>68</v>
      </c>
      <c r="N23" s="53">
        <f t="shared" si="0"/>
        <v>0</v>
      </c>
      <c r="O23" s="67">
        <f t="shared" si="1"/>
        <v>0</v>
      </c>
      <c r="P23" s="50" t="str">
        <f t="shared" si="2"/>
        <v>No rendida o no válida</v>
      </c>
    </row>
    <row r="24" spans="1:16">
      <c r="A24" s="55">
        <v>21477030</v>
      </c>
      <c r="B24" s="56" t="s">
        <v>142</v>
      </c>
      <c r="C24" s="58" t="s">
        <v>154</v>
      </c>
      <c r="D24" s="46" t="s">
        <v>155</v>
      </c>
      <c r="E24" s="46" t="s">
        <v>156</v>
      </c>
      <c r="F24" s="46" t="s">
        <v>157</v>
      </c>
      <c r="G24" s="38" t="s">
        <v>66</v>
      </c>
      <c r="H24" s="29" t="s">
        <v>67</v>
      </c>
      <c r="I24" s="73" t="s">
        <v>68</v>
      </c>
      <c r="J24" s="73" t="s">
        <v>68</v>
      </c>
      <c r="K24" s="73" t="s">
        <v>68</v>
      </c>
      <c r="L24" s="73" t="s">
        <v>68</v>
      </c>
      <c r="M24" s="73" t="s">
        <v>68</v>
      </c>
      <c r="N24" s="53">
        <f t="shared" si="0"/>
        <v>0</v>
      </c>
      <c r="O24" s="67">
        <f t="shared" si="1"/>
        <v>0</v>
      </c>
      <c r="P24" s="50" t="str">
        <f t="shared" si="2"/>
        <v>No rendida o no válida</v>
      </c>
    </row>
    <row r="25" spans="1:16">
      <c r="A25" s="55">
        <v>21490359</v>
      </c>
      <c r="B25" s="55">
        <v>8</v>
      </c>
      <c r="C25" s="58" t="s">
        <v>158</v>
      </c>
      <c r="D25" s="46" t="s">
        <v>159</v>
      </c>
      <c r="E25" s="46" t="s">
        <v>160</v>
      </c>
      <c r="F25" s="46" t="s">
        <v>161</v>
      </c>
      <c r="G25" s="38" t="s">
        <v>79</v>
      </c>
      <c r="H25" s="77" t="s">
        <v>80</v>
      </c>
      <c r="I25" s="73" t="s">
        <v>81</v>
      </c>
      <c r="J25" s="29"/>
      <c r="K25" s="40">
        <v>1</v>
      </c>
      <c r="L25" s="86">
        <v>0</v>
      </c>
      <c r="M25" s="1">
        <v>3</v>
      </c>
      <c r="N25" s="53">
        <f t="shared" si="0"/>
        <v>4</v>
      </c>
      <c r="O25" s="67">
        <f t="shared" si="1"/>
        <v>0.44444444444444442</v>
      </c>
      <c r="P25" s="50" t="str">
        <f t="shared" si="2"/>
        <v>Por Mejorar</v>
      </c>
    </row>
    <row r="26" spans="1:16">
      <c r="A26" s="55">
        <v>21521126</v>
      </c>
      <c r="B26" s="55">
        <v>6</v>
      </c>
      <c r="C26" s="58" t="s">
        <v>162</v>
      </c>
      <c r="D26" s="46" t="s">
        <v>163</v>
      </c>
      <c r="E26" s="46" t="s">
        <v>116</v>
      </c>
      <c r="F26" s="46" t="s">
        <v>164</v>
      </c>
      <c r="G26" s="41" t="s">
        <v>66</v>
      </c>
      <c r="H26" s="42" t="s">
        <v>67</v>
      </c>
      <c r="I26" s="73" t="s">
        <v>68</v>
      </c>
      <c r="J26" s="42"/>
      <c r="K26" s="43"/>
      <c r="L26" s="2"/>
      <c r="M26" s="2"/>
      <c r="N26" s="53">
        <f t="shared" si="0"/>
        <v>0</v>
      </c>
      <c r="O26" s="67">
        <f t="shared" si="1"/>
        <v>0</v>
      </c>
      <c r="P26" s="50" t="str">
        <f t="shared" si="2"/>
        <v>No rendida o no válida</v>
      </c>
    </row>
    <row r="27" spans="1:16">
      <c r="A27" s="55">
        <v>21571867</v>
      </c>
      <c r="B27" s="55">
        <v>0</v>
      </c>
      <c r="C27" s="58" t="s">
        <v>165</v>
      </c>
      <c r="D27" s="46" t="s">
        <v>166</v>
      </c>
      <c r="E27" s="46" t="s">
        <v>88</v>
      </c>
      <c r="F27" s="46" t="s">
        <v>167</v>
      </c>
      <c r="G27" s="41" t="s">
        <v>79</v>
      </c>
      <c r="H27" s="76" t="s">
        <v>80</v>
      </c>
      <c r="I27" s="73" t="s">
        <v>81</v>
      </c>
      <c r="J27" s="42"/>
      <c r="K27" s="43">
        <v>3</v>
      </c>
      <c r="L27" s="2">
        <v>2</v>
      </c>
      <c r="M27" s="2">
        <v>2</v>
      </c>
      <c r="N27" s="53">
        <f t="shared" si="0"/>
        <v>7</v>
      </c>
      <c r="O27" s="67">
        <f t="shared" si="1"/>
        <v>0.77777777777777779</v>
      </c>
      <c r="P27" s="50" t="str">
        <f t="shared" si="2"/>
        <v>Satisfactorio</v>
      </c>
    </row>
    <row r="28" spans="1:16">
      <c r="A28" s="55">
        <v>21572496</v>
      </c>
      <c r="B28" s="55">
        <v>4</v>
      </c>
      <c r="C28" s="58" t="s">
        <v>168</v>
      </c>
      <c r="D28" s="46" t="s">
        <v>169</v>
      </c>
      <c r="E28" s="46" t="s">
        <v>127</v>
      </c>
      <c r="F28" s="46" t="s">
        <v>170</v>
      </c>
      <c r="G28" s="41" t="s">
        <v>79</v>
      </c>
      <c r="H28" s="76" t="s">
        <v>80</v>
      </c>
      <c r="I28" s="73" t="s">
        <v>81</v>
      </c>
      <c r="J28" s="42"/>
      <c r="K28" s="43">
        <v>1</v>
      </c>
      <c r="L28" s="2">
        <v>1</v>
      </c>
      <c r="M28" s="2">
        <v>3</v>
      </c>
      <c r="N28" s="53">
        <f t="shared" si="0"/>
        <v>5</v>
      </c>
      <c r="O28" s="67">
        <f t="shared" si="1"/>
        <v>0.55555555555555558</v>
      </c>
      <c r="P28" s="50" t="str">
        <f t="shared" si="2"/>
        <v>Base</v>
      </c>
    </row>
    <row r="29" spans="1:16">
      <c r="A29" s="55">
        <v>21577653</v>
      </c>
      <c r="B29" s="55">
        <v>0</v>
      </c>
      <c r="C29" s="58" t="s">
        <v>171</v>
      </c>
      <c r="D29" s="46" t="s">
        <v>139</v>
      </c>
      <c r="E29" s="46" t="s">
        <v>172</v>
      </c>
      <c r="F29" s="46" t="s">
        <v>173</v>
      </c>
      <c r="G29" s="41" t="s">
        <v>79</v>
      </c>
      <c r="H29" s="76" t="s">
        <v>80</v>
      </c>
      <c r="I29" s="73" t="s">
        <v>81</v>
      </c>
      <c r="J29" s="42"/>
      <c r="K29" s="74">
        <v>0</v>
      </c>
      <c r="L29" s="75">
        <v>0</v>
      </c>
      <c r="M29" s="2">
        <v>1</v>
      </c>
      <c r="N29" s="53">
        <f t="shared" si="0"/>
        <v>1</v>
      </c>
      <c r="O29" s="67">
        <f t="shared" si="1"/>
        <v>0.1111111111111111</v>
      </c>
      <c r="P29" s="50" t="str">
        <f t="shared" si="2"/>
        <v>Por Mejorar</v>
      </c>
    </row>
    <row r="30" spans="1:16">
      <c r="A30" s="55">
        <v>21621334</v>
      </c>
      <c r="B30" s="55">
        <v>3</v>
      </c>
      <c r="C30" s="58" t="s">
        <v>174</v>
      </c>
      <c r="D30" s="46" t="s">
        <v>175</v>
      </c>
      <c r="E30" s="46" t="s">
        <v>176</v>
      </c>
      <c r="F30" s="46" t="s">
        <v>177</v>
      </c>
      <c r="G30" s="41" t="s">
        <v>178</v>
      </c>
      <c r="H30" s="42" t="s">
        <v>67</v>
      </c>
      <c r="I30" s="73" t="s">
        <v>68</v>
      </c>
      <c r="J30" s="73" t="s">
        <v>68</v>
      </c>
      <c r="K30" s="73" t="s">
        <v>68</v>
      </c>
      <c r="L30" s="73" t="s">
        <v>68</v>
      </c>
      <c r="M30" s="73" t="s">
        <v>68</v>
      </c>
      <c r="N30" s="53">
        <f t="shared" si="0"/>
        <v>0</v>
      </c>
      <c r="O30" s="67">
        <f t="shared" si="1"/>
        <v>0</v>
      </c>
      <c r="P30" s="50" t="str">
        <f t="shared" si="2"/>
        <v>No rendida o no válida</v>
      </c>
    </row>
    <row r="31" spans="1:16">
      <c r="A31" s="55">
        <v>21624886</v>
      </c>
      <c r="B31" s="55">
        <v>4</v>
      </c>
      <c r="C31" s="58" t="s">
        <v>179</v>
      </c>
      <c r="D31" s="46" t="s">
        <v>180</v>
      </c>
      <c r="E31" s="46" t="s">
        <v>181</v>
      </c>
      <c r="F31" s="46" t="s">
        <v>182</v>
      </c>
      <c r="G31" s="41" t="s">
        <v>178</v>
      </c>
      <c r="H31" s="42" t="s">
        <v>67</v>
      </c>
      <c r="I31" s="73" t="s">
        <v>68</v>
      </c>
      <c r="J31" s="73" t="s">
        <v>68</v>
      </c>
      <c r="K31" s="73" t="s">
        <v>68</v>
      </c>
      <c r="L31" s="73" t="s">
        <v>68</v>
      </c>
      <c r="M31" s="73" t="s">
        <v>68</v>
      </c>
      <c r="N31" s="53">
        <f t="shared" si="0"/>
        <v>0</v>
      </c>
      <c r="O31" s="67">
        <f t="shared" si="1"/>
        <v>0</v>
      </c>
      <c r="P31" s="50" t="str">
        <f t="shared" si="2"/>
        <v>No rendida o no válida</v>
      </c>
    </row>
    <row r="32" spans="1:16">
      <c r="A32" s="55">
        <v>21629084</v>
      </c>
      <c r="B32" s="55">
        <v>4</v>
      </c>
      <c r="C32" s="58" t="s">
        <v>183</v>
      </c>
      <c r="D32" s="46" t="s">
        <v>184</v>
      </c>
      <c r="E32" s="46" t="s">
        <v>185</v>
      </c>
      <c r="F32" s="46" t="s">
        <v>186</v>
      </c>
      <c r="G32" s="41" t="s">
        <v>79</v>
      </c>
      <c r="H32" s="76" t="s">
        <v>80</v>
      </c>
      <c r="I32" s="73" t="s">
        <v>81</v>
      </c>
      <c r="J32" s="42"/>
      <c r="K32" s="43">
        <v>1</v>
      </c>
      <c r="L32" s="2">
        <v>2</v>
      </c>
      <c r="M32" s="2">
        <v>2</v>
      </c>
      <c r="N32" s="53">
        <f t="shared" si="0"/>
        <v>5</v>
      </c>
      <c r="O32" s="67">
        <f t="shared" si="1"/>
        <v>0.55555555555555558</v>
      </c>
      <c r="P32" s="50" t="str">
        <f t="shared" si="2"/>
        <v>Base</v>
      </c>
    </row>
    <row r="33" spans="1:16">
      <c r="A33" s="55">
        <v>21637030</v>
      </c>
      <c r="B33" s="55">
        <v>9</v>
      </c>
      <c r="C33" s="58" t="s">
        <v>187</v>
      </c>
      <c r="D33" s="46" t="s">
        <v>188</v>
      </c>
      <c r="E33" s="46" t="s">
        <v>189</v>
      </c>
      <c r="F33" s="46" t="s">
        <v>190</v>
      </c>
      <c r="G33" s="41" t="s">
        <v>109</v>
      </c>
      <c r="H33" s="42" t="s">
        <v>67</v>
      </c>
      <c r="I33" s="73" t="s">
        <v>68</v>
      </c>
      <c r="J33" s="73" t="s">
        <v>68</v>
      </c>
      <c r="K33" s="73" t="s">
        <v>68</v>
      </c>
      <c r="L33" s="73" t="s">
        <v>68</v>
      </c>
      <c r="M33" s="73" t="s">
        <v>68</v>
      </c>
      <c r="N33" s="53">
        <f t="shared" si="0"/>
        <v>0</v>
      </c>
      <c r="O33" s="67">
        <f t="shared" si="1"/>
        <v>0</v>
      </c>
      <c r="P33" s="50" t="str">
        <f t="shared" si="2"/>
        <v>No rendida o no válida</v>
      </c>
    </row>
    <row r="34" spans="1:16">
      <c r="A34" s="55">
        <v>21653788</v>
      </c>
      <c r="B34" s="55">
        <v>2</v>
      </c>
      <c r="C34" s="58" t="s">
        <v>191</v>
      </c>
      <c r="D34" s="46" t="s">
        <v>192</v>
      </c>
      <c r="E34" s="46" t="s">
        <v>124</v>
      </c>
      <c r="F34" s="46" t="s">
        <v>193</v>
      </c>
      <c r="G34" s="41" t="s">
        <v>79</v>
      </c>
      <c r="H34" s="76" t="s">
        <v>80</v>
      </c>
      <c r="I34" s="73" t="s">
        <v>81</v>
      </c>
      <c r="J34" s="42"/>
      <c r="K34" s="43">
        <v>1</v>
      </c>
      <c r="L34" s="2">
        <v>2</v>
      </c>
      <c r="M34" s="2">
        <v>2</v>
      </c>
      <c r="N34" s="53">
        <f t="shared" si="0"/>
        <v>5</v>
      </c>
      <c r="O34" s="67">
        <f t="shared" si="1"/>
        <v>0.55555555555555558</v>
      </c>
      <c r="P34" s="50" t="str">
        <f t="shared" si="2"/>
        <v>Base</v>
      </c>
    </row>
    <row r="35" spans="1:16">
      <c r="A35" s="55">
        <v>21659779</v>
      </c>
      <c r="B35" s="55">
        <v>6</v>
      </c>
      <c r="C35" s="58" t="s">
        <v>194</v>
      </c>
      <c r="D35" s="46" t="s">
        <v>195</v>
      </c>
      <c r="E35" s="46" t="s">
        <v>196</v>
      </c>
      <c r="F35" s="46" t="s">
        <v>197</v>
      </c>
      <c r="G35" s="41" t="s">
        <v>109</v>
      </c>
      <c r="H35" s="42" t="s">
        <v>67</v>
      </c>
      <c r="I35" s="73" t="s">
        <v>68</v>
      </c>
      <c r="J35" s="73" t="s">
        <v>68</v>
      </c>
      <c r="K35" s="73" t="s">
        <v>68</v>
      </c>
      <c r="L35" s="73" t="s">
        <v>68</v>
      </c>
      <c r="M35" s="73" t="s">
        <v>68</v>
      </c>
      <c r="N35" s="53">
        <f t="shared" si="0"/>
        <v>0</v>
      </c>
      <c r="O35" s="67">
        <f t="shared" si="1"/>
        <v>0</v>
      </c>
      <c r="P35" s="50" t="str">
        <f t="shared" si="2"/>
        <v>No rendida o no válida</v>
      </c>
    </row>
    <row r="36" spans="1:16">
      <c r="A36" s="55">
        <v>21681577</v>
      </c>
      <c r="B36" s="55">
        <v>7</v>
      </c>
      <c r="C36" s="58" t="s">
        <v>198</v>
      </c>
      <c r="D36" s="46" t="s">
        <v>199</v>
      </c>
      <c r="E36" s="46" t="s">
        <v>200</v>
      </c>
      <c r="F36" s="46" t="s">
        <v>201</v>
      </c>
      <c r="G36" s="41" t="s">
        <v>109</v>
      </c>
      <c r="H36" s="42" t="s">
        <v>67</v>
      </c>
      <c r="I36" s="73" t="s">
        <v>68</v>
      </c>
      <c r="J36" s="73" t="s">
        <v>68</v>
      </c>
      <c r="K36" s="73" t="s">
        <v>68</v>
      </c>
      <c r="L36" s="73" t="s">
        <v>68</v>
      </c>
      <c r="M36" s="73" t="s">
        <v>68</v>
      </c>
      <c r="N36" s="53">
        <f t="shared" si="0"/>
        <v>0</v>
      </c>
      <c r="O36" s="67">
        <f t="shared" si="1"/>
        <v>0</v>
      </c>
      <c r="P36" s="50" t="str">
        <f t="shared" si="2"/>
        <v>No rendida o no válida</v>
      </c>
    </row>
    <row r="37" spans="1:16">
      <c r="A37" s="55">
        <v>21757455</v>
      </c>
      <c r="B37" s="55">
        <v>2</v>
      </c>
      <c r="C37" s="58" t="s">
        <v>202</v>
      </c>
      <c r="D37" s="46" t="s">
        <v>203</v>
      </c>
      <c r="E37" s="46" t="s">
        <v>87</v>
      </c>
      <c r="F37" s="46" t="s">
        <v>204</v>
      </c>
      <c r="G37" s="41" t="s">
        <v>79</v>
      </c>
      <c r="H37" s="76" t="s">
        <v>80</v>
      </c>
      <c r="I37" s="73" t="s">
        <v>81</v>
      </c>
      <c r="J37" s="42"/>
      <c r="K37" s="43">
        <v>3</v>
      </c>
      <c r="L37" s="2">
        <v>3</v>
      </c>
      <c r="M37" s="2">
        <v>3</v>
      </c>
      <c r="N37" s="53">
        <f t="shared" si="0"/>
        <v>9</v>
      </c>
      <c r="O37" s="67">
        <f t="shared" si="1"/>
        <v>1</v>
      </c>
      <c r="P37" s="50" t="str">
        <f t="shared" si="2"/>
        <v>Óptimo</v>
      </c>
    </row>
    <row r="38" spans="1:16">
      <c r="A38" s="55">
        <v>21760613</v>
      </c>
      <c r="B38" s="55">
        <v>6</v>
      </c>
      <c r="C38" s="58" t="s">
        <v>205</v>
      </c>
      <c r="D38" s="46" t="s">
        <v>206</v>
      </c>
      <c r="E38" s="46" t="s">
        <v>207</v>
      </c>
      <c r="F38" s="46" t="s">
        <v>133</v>
      </c>
      <c r="G38" s="41" t="s">
        <v>79</v>
      </c>
      <c r="H38" s="76" t="s">
        <v>80</v>
      </c>
      <c r="I38" s="73" t="s">
        <v>81</v>
      </c>
      <c r="J38" s="42"/>
      <c r="K38" s="43">
        <v>3</v>
      </c>
      <c r="L38" s="2">
        <v>2</v>
      </c>
      <c r="M38" s="2">
        <v>2</v>
      </c>
      <c r="N38" s="53">
        <f t="shared" si="0"/>
        <v>7</v>
      </c>
      <c r="O38" s="67">
        <f t="shared" si="1"/>
        <v>0.77777777777777779</v>
      </c>
      <c r="P38" s="50" t="str">
        <f t="shared" si="2"/>
        <v>Satisfactorio</v>
      </c>
    </row>
    <row r="39" spans="1:16">
      <c r="A39" s="55">
        <v>21761269</v>
      </c>
      <c r="B39" s="55">
        <v>1</v>
      </c>
      <c r="C39" s="58" t="s">
        <v>208</v>
      </c>
      <c r="D39" s="46" t="s">
        <v>209</v>
      </c>
      <c r="E39" s="46" t="s">
        <v>210</v>
      </c>
      <c r="F39" s="46" t="s">
        <v>211</v>
      </c>
      <c r="G39" s="38" t="s">
        <v>79</v>
      </c>
      <c r="H39" s="77" t="s">
        <v>80</v>
      </c>
      <c r="I39" s="73" t="s">
        <v>81</v>
      </c>
      <c r="J39" s="29"/>
      <c r="K39" s="43">
        <v>2</v>
      </c>
      <c r="L39" s="2">
        <v>2</v>
      </c>
      <c r="M39" s="2">
        <v>2</v>
      </c>
      <c r="N39" s="53">
        <f t="shared" si="0"/>
        <v>6</v>
      </c>
      <c r="O39" s="67">
        <f t="shared" si="1"/>
        <v>0.66666666666666663</v>
      </c>
      <c r="P39" s="50" t="str">
        <f t="shared" si="2"/>
        <v>Satisfactorio</v>
      </c>
    </row>
    <row r="40" spans="1:16">
      <c r="A40" s="55">
        <v>21766753</v>
      </c>
      <c r="B40" s="55">
        <v>4</v>
      </c>
      <c r="C40" s="58" t="s">
        <v>212</v>
      </c>
      <c r="D40" s="46" t="s">
        <v>213</v>
      </c>
      <c r="E40" s="46" t="s">
        <v>214</v>
      </c>
      <c r="F40" s="46" t="s">
        <v>215</v>
      </c>
      <c r="G40" s="41" t="s">
        <v>79</v>
      </c>
      <c r="H40" s="76" t="s">
        <v>80</v>
      </c>
      <c r="I40" s="73" t="s">
        <v>81</v>
      </c>
      <c r="J40" s="42"/>
      <c r="K40" s="43">
        <v>2</v>
      </c>
      <c r="L40" s="2">
        <v>2</v>
      </c>
      <c r="M40" s="2">
        <v>2</v>
      </c>
      <c r="N40" s="53">
        <f t="shared" si="0"/>
        <v>6</v>
      </c>
      <c r="O40" s="67">
        <f t="shared" si="1"/>
        <v>0.66666666666666663</v>
      </c>
      <c r="P40" s="50" t="str">
        <f t="shared" si="2"/>
        <v>Satisfactorio</v>
      </c>
    </row>
    <row r="41" spans="1:16">
      <c r="A41" s="55">
        <v>21767997</v>
      </c>
      <c r="B41" s="55">
        <v>4</v>
      </c>
      <c r="C41" s="58" t="s">
        <v>216</v>
      </c>
      <c r="D41" s="46" t="s">
        <v>217</v>
      </c>
      <c r="E41" s="46" t="s">
        <v>181</v>
      </c>
      <c r="F41" s="46" t="s">
        <v>218</v>
      </c>
      <c r="G41" s="41" t="s">
        <v>79</v>
      </c>
      <c r="H41" s="76" t="s">
        <v>80</v>
      </c>
      <c r="I41" s="73" t="s">
        <v>81</v>
      </c>
      <c r="J41" s="42"/>
      <c r="K41" s="43">
        <v>2</v>
      </c>
      <c r="L41" s="2">
        <v>2</v>
      </c>
      <c r="M41" s="2">
        <v>3</v>
      </c>
      <c r="N41" s="53">
        <f t="shared" si="0"/>
        <v>7</v>
      </c>
      <c r="O41" s="67">
        <f t="shared" si="1"/>
        <v>0.77777777777777779</v>
      </c>
      <c r="P41" s="50" t="str">
        <f t="shared" si="2"/>
        <v>Satisfactorio</v>
      </c>
    </row>
    <row r="42" spans="1:16">
      <c r="A42" s="55">
        <v>21782464</v>
      </c>
      <c r="B42" s="55">
        <v>8</v>
      </c>
      <c r="C42" s="58" t="s">
        <v>219</v>
      </c>
      <c r="D42" s="46" t="s">
        <v>220</v>
      </c>
      <c r="E42" s="46" t="s">
        <v>221</v>
      </c>
      <c r="F42" s="46" t="s">
        <v>222</v>
      </c>
      <c r="G42" s="41" t="s">
        <v>109</v>
      </c>
      <c r="H42" s="42" t="s">
        <v>67</v>
      </c>
      <c r="I42" s="73" t="s">
        <v>68</v>
      </c>
      <c r="J42" s="42" t="s">
        <v>67</v>
      </c>
      <c r="K42" s="42" t="s">
        <v>67</v>
      </c>
      <c r="L42" s="42" t="s">
        <v>67</v>
      </c>
      <c r="M42" s="42" t="s">
        <v>67</v>
      </c>
      <c r="N42" s="53">
        <f t="shared" si="0"/>
        <v>0</v>
      </c>
      <c r="O42" s="67">
        <f t="shared" si="1"/>
        <v>0</v>
      </c>
      <c r="P42" s="50" t="str">
        <f t="shared" si="2"/>
        <v>No rendida o no válida</v>
      </c>
    </row>
    <row r="43" spans="1:16">
      <c r="A43" s="55">
        <v>21797977</v>
      </c>
      <c r="B43" s="55">
        <v>3</v>
      </c>
      <c r="C43" s="58" t="s">
        <v>223</v>
      </c>
      <c r="D43" s="46" t="s">
        <v>224</v>
      </c>
      <c r="E43" s="46" t="s">
        <v>225</v>
      </c>
      <c r="F43" s="46" t="s">
        <v>226</v>
      </c>
      <c r="G43" s="41" t="s">
        <v>178</v>
      </c>
      <c r="H43" s="42" t="s">
        <v>67</v>
      </c>
      <c r="I43" s="73" t="s">
        <v>68</v>
      </c>
      <c r="J43" s="42" t="s">
        <v>67</v>
      </c>
      <c r="K43" s="42" t="s">
        <v>67</v>
      </c>
      <c r="L43" s="42" t="s">
        <v>67</v>
      </c>
      <c r="M43" s="42" t="s">
        <v>67</v>
      </c>
      <c r="N43" s="53">
        <f t="shared" si="0"/>
        <v>0</v>
      </c>
      <c r="O43" s="67">
        <f t="shared" si="1"/>
        <v>0</v>
      </c>
      <c r="P43" s="50" t="str">
        <f t="shared" si="2"/>
        <v>No rendida o no válida</v>
      </c>
    </row>
    <row r="44" spans="1:16">
      <c r="A44" s="36"/>
      <c r="B44" s="36"/>
      <c r="C44" s="36"/>
      <c r="D44" s="37"/>
      <c r="E44" s="37"/>
      <c r="F44" s="37"/>
      <c r="G44" s="41"/>
      <c r="H44" s="42"/>
      <c r="I44" s="73"/>
      <c r="J44" s="42"/>
      <c r="K44" s="42"/>
      <c r="L44" s="42"/>
      <c r="M44" s="42"/>
      <c r="N44" s="2"/>
      <c r="O44" s="2"/>
      <c r="P44" s="33"/>
    </row>
    <row r="45" spans="1:16">
      <c r="A45" s="36"/>
      <c r="B45" s="36"/>
      <c r="C45" s="36"/>
      <c r="D45" s="37"/>
      <c r="E45" s="37"/>
      <c r="F45" s="37"/>
      <c r="G45" s="41"/>
      <c r="H45" s="42"/>
      <c r="I45" s="73"/>
      <c r="J45" s="42"/>
      <c r="K45" s="43"/>
      <c r="L45" s="2"/>
      <c r="M45" s="2"/>
      <c r="N45" s="2"/>
      <c r="O45" s="2"/>
      <c r="P45" s="33"/>
    </row>
    <row r="46" spans="1:16">
      <c r="A46" s="36"/>
      <c r="B46" s="36"/>
      <c r="C46" s="36"/>
      <c r="D46" s="37"/>
      <c r="E46" s="37"/>
      <c r="F46" s="37"/>
      <c r="G46" s="41"/>
      <c r="H46" s="42"/>
      <c r="I46" s="44"/>
      <c r="J46" s="42"/>
      <c r="K46" s="43"/>
      <c r="L46" s="2"/>
      <c r="M46" s="2"/>
      <c r="N46" s="2"/>
      <c r="O46" s="2"/>
      <c r="P46" s="33"/>
    </row>
    <row r="47" spans="1:16">
      <c r="A47" s="36"/>
      <c r="B47" s="36"/>
      <c r="C47" s="36"/>
      <c r="D47" s="37"/>
      <c r="E47" s="37"/>
      <c r="F47" s="37"/>
      <c r="G47" s="38"/>
      <c r="H47" s="29"/>
      <c r="I47" s="39"/>
      <c r="J47" s="29"/>
      <c r="K47" s="40"/>
      <c r="L47" s="1"/>
      <c r="M47" s="1"/>
      <c r="N47" s="1"/>
      <c r="O47" s="1"/>
      <c r="P47" s="38"/>
    </row>
    <row r="48" spans="1:16">
      <c r="A48" s="36"/>
      <c r="B48" s="36"/>
      <c r="C48" s="36"/>
      <c r="D48" s="37"/>
      <c r="E48" s="37"/>
      <c r="F48" s="37"/>
      <c r="G48" s="41"/>
      <c r="H48" s="42"/>
      <c r="I48" s="44"/>
      <c r="J48" s="42"/>
      <c r="K48" s="43"/>
      <c r="L48" s="2"/>
      <c r="M48" s="2"/>
      <c r="N48" s="2"/>
      <c r="O48" s="2"/>
      <c r="P48" s="33"/>
    </row>
    <row r="49" spans="1:16">
      <c r="A49" s="36"/>
      <c r="B49" s="36"/>
      <c r="C49" s="36"/>
      <c r="D49" s="37"/>
      <c r="E49" s="37"/>
      <c r="F49" s="37"/>
      <c r="G49" s="41"/>
      <c r="H49" s="42"/>
      <c r="I49" s="44"/>
      <c r="J49" s="42"/>
      <c r="K49" s="43"/>
      <c r="L49" s="2"/>
      <c r="M49" s="2"/>
      <c r="N49" s="2"/>
      <c r="O49" s="2"/>
      <c r="P49" s="33"/>
    </row>
    <row r="50" spans="1:16">
      <c r="A50" s="36"/>
      <c r="B50" s="36"/>
      <c r="C50" s="36"/>
      <c r="D50" s="37"/>
      <c r="E50" s="37"/>
      <c r="F50" s="37"/>
      <c r="G50" s="41"/>
      <c r="H50" s="42"/>
      <c r="I50" s="44"/>
      <c r="J50" s="42"/>
      <c r="K50" s="43"/>
      <c r="L50" s="2"/>
      <c r="M50" s="2"/>
      <c r="N50" s="2"/>
      <c r="O50" s="2"/>
      <c r="P50" s="33"/>
    </row>
  </sheetData>
  <autoFilter ref="A1:P43" xr:uid="{DE9F2B4C-EC85-4CB8-B705-3F4642D8D0B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10" showButton="0"/>
    <filterColumn colId="13" showButton="0"/>
    <filterColumn colId="14" showButton="0"/>
  </autoFilter>
  <mergeCells count="3">
    <mergeCell ref="N1:P1"/>
    <mergeCell ref="A1:J1"/>
    <mergeCell ref="K1:L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80E4FF3-F04B-424A-9E02-87A32A990A2A}">
          <x14:formula1>
            <xm:f>'Validación datos NO BORRAR'!$E$4:$E$9</xm:f>
          </x14:formula1>
          <xm:sqref>G3:G50</xm:sqref>
        </x14:dataValidation>
        <x14:dataValidation type="list" allowBlank="1" showInputMessage="1" showErrorMessage="1" xr:uid="{814046D8-0D01-4803-92BA-E5A904CCFC14}">
          <x14:formula1>
            <xm:f>'Validación datos NO BORRAR'!$F$4:$F$7</xm:f>
          </x14:formula1>
          <xm:sqref>H3:H50 J42:M43</xm:sqref>
        </x14:dataValidation>
        <x14:dataValidation type="list" allowBlank="1" showInputMessage="1" showErrorMessage="1" xr:uid="{EEE5D106-6DEF-4A5D-9A4C-E1CD814D0053}">
          <x14:formula1>
            <xm:f>'Validación datos NO BORRAR'!$G$4:$G$6</xm:f>
          </x14:formula1>
          <xm:sqref>K6:M6 K9:M9 K12:M14 J3:J21 J25:J29 J32 J34 J37:J41 J44:J50 K44:M44 K3:M4</xm:sqref>
        </x14:dataValidation>
        <x14:dataValidation type="list" allowBlank="1" showInputMessage="1" showErrorMessage="1" xr:uid="{718AF777-73DD-4896-9041-50C29E81F611}">
          <x14:formula1>
            <xm:f>Hoja1!$A$1:$A$4</xm:f>
          </x14:formula1>
          <xm:sqref>K45:M50</xm:sqref>
        </x14:dataValidation>
        <x14:dataValidation type="list" allowBlank="1" showInputMessage="1" showErrorMessage="1" xr:uid="{F21FF465-19DA-419B-A59E-E81CF61745F2}">
          <x14:formula1>
            <xm:f>'Validación datos NO BORRAR'!$H$4:$H$8</xm:f>
          </x14:formula1>
          <xm:sqref>K37:M41 K7:M8 K10:M11 K15:M21 K25:M29 K32:M32 K34:M34 K5:M5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G5"/>
  <sheetViews>
    <sheetView workbookViewId="0">
      <selection activeCell="D5" sqref="D5"/>
    </sheetView>
  </sheetViews>
  <sheetFormatPr defaultColWidth="11.42578125" defaultRowHeight="14.85"/>
  <cols>
    <col min="1" max="1" width="18.85546875" customWidth="1"/>
    <col min="2" max="3" width="28.140625" customWidth="1"/>
    <col min="4" max="4" width="34" customWidth="1"/>
    <col min="5" max="5" width="53" customWidth="1"/>
    <col min="6" max="6" width="43.7109375" customWidth="1"/>
  </cols>
  <sheetData>
    <row r="1" spans="1:7" ht="197.25" customHeight="1" thickBot="1">
      <c r="A1" s="128"/>
      <c r="B1" s="128"/>
      <c r="C1" s="129"/>
      <c r="D1" s="124" t="s">
        <v>43</v>
      </c>
      <c r="E1" s="125"/>
      <c r="F1" s="140" t="s">
        <v>44</v>
      </c>
      <c r="G1" s="141"/>
    </row>
    <row r="2" spans="1:7" ht="105.75" customHeight="1">
      <c r="A2" s="132" t="s">
        <v>227</v>
      </c>
      <c r="B2" s="130" t="s">
        <v>228</v>
      </c>
      <c r="C2" s="130" t="s">
        <v>229</v>
      </c>
      <c r="D2" s="134" t="s">
        <v>56</v>
      </c>
      <c r="E2" s="137" t="s">
        <v>57</v>
      </c>
      <c r="F2" s="142" t="s">
        <v>58</v>
      </c>
      <c r="G2" s="143"/>
    </row>
    <row r="3" spans="1:7">
      <c r="A3" s="133"/>
      <c r="B3" s="131"/>
      <c r="C3" s="131"/>
      <c r="D3" s="135"/>
      <c r="E3" s="138"/>
      <c r="F3" s="142"/>
      <c r="G3" s="143"/>
    </row>
    <row r="4" spans="1:7" ht="15.6" thickBot="1">
      <c r="A4" s="133"/>
      <c r="B4" s="131"/>
      <c r="C4" s="131"/>
      <c r="D4" s="136"/>
      <c r="E4" s="139"/>
      <c r="F4" s="142"/>
      <c r="G4" s="143"/>
    </row>
    <row r="5" spans="1:7">
      <c r="A5" s="29">
        <v>22</v>
      </c>
      <c r="B5" s="29">
        <v>22</v>
      </c>
      <c r="C5" s="89">
        <v>1</v>
      </c>
      <c r="D5" s="29"/>
      <c r="E5" s="48"/>
      <c r="F5" s="126"/>
      <c r="G5" s="127"/>
    </row>
  </sheetData>
  <mergeCells count="10">
    <mergeCell ref="F5:G5"/>
    <mergeCell ref="A1:C1"/>
    <mergeCell ref="C2:C4"/>
    <mergeCell ref="B2:B4"/>
    <mergeCell ref="A2:A4"/>
    <mergeCell ref="D1:E1"/>
    <mergeCell ref="D2:D4"/>
    <mergeCell ref="E2:E4"/>
    <mergeCell ref="F1:G1"/>
    <mergeCell ref="F2: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2:I17"/>
  <sheetViews>
    <sheetView topLeftCell="E1" workbookViewId="0">
      <selection activeCell="I4" sqref="I4"/>
    </sheetView>
  </sheetViews>
  <sheetFormatPr defaultColWidth="11.42578125" defaultRowHeight="14.85"/>
  <cols>
    <col min="5" max="5" width="71" customWidth="1"/>
    <col min="6" max="6" width="20.140625" customWidth="1"/>
    <col min="7" max="7" width="31.7109375" customWidth="1"/>
    <col min="8" max="8" width="23.28515625" customWidth="1"/>
    <col min="9" max="9" width="19.7109375" customWidth="1"/>
  </cols>
  <sheetData>
    <row r="2" spans="5:9" ht="64.5" customHeight="1"/>
    <row r="3" spans="5:9" ht="33.75" customHeight="1">
      <c r="E3" s="30" t="s">
        <v>230</v>
      </c>
      <c r="F3" s="31" t="s">
        <v>53</v>
      </c>
      <c r="G3" s="47" t="s">
        <v>231</v>
      </c>
      <c r="H3" s="49" t="s">
        <v>232</v>
      </c>
      <c r="I3" s="30" t="s">
        <v>233</v>
      </c>
    </row>
    <row r="4" spans="5:9">
      <c r="E4" s="29" t="s">
        <v>79</v>
      </c>
      <c r="F4" s="32" t="s">
        <v>80</v>
      </c>
      <c r="G4" s="48" t="s">
        <v>234</v>
      </c>
      <c r="H4" s="45">
        <v>0</v>
      </c>
      <c r="I4" s="29" t="s">
        <v>7</v>
      </c>
    </row>
    <row r="5" spans="5:9">
      <c r="E5" s="29" t="s">
        <v>73</v>
      </c>
      <c r="F5" s="32" t="s">
        <v>74</v>
      </c>
      <c r="G5" s="48" t="s">
        <v>235</v>
      </c>
      <c r="H5" s="45">
        <v>1</v>
      </c>
      <c r="I5" s="29" t="s">
        <v>236</v>
      </c>
    </row>
    <row r="6" spans="5:9">
      <c r="E6" s="29" t="s">
        <v>237</v>
      </c>
      <c r="F6" s="32" t="s">
        <v>238</v>
      </c>
      <c r="G6" s="48" t="s">
        <v>67</v>
      </c>
      <c r="H6" s="45">
        <v>2</v>
      </c>
      <c r="I6" s="29" t="s">
        <v>239</v>
      </c>
    </row>
    <row r="7" spans="5:9">
      <c r="E7" s="29" t="s">
        <v>66</v>
      </c>
      <c r="F7" s="29" t="s">
        <v>67</v>
      </c>
      <c r="G7" s="48"/>
      <c r="H7" s="45">
        <v>3</v>
      </c>
      <c r="I7" s="29" t="s">
        <v>240</v>
      </c>
    </row>
    <row r="8" spans="5:9">
      <c r="E8" s="29" t="s">
        <v>178</v>
      </c>
      <c r="F8" s="29"/>
      <c r="G8" s="48"/>
      <c r="H8" s="45"/>
      <c r="I8" s="29"/>
    </row>
    <row r="9" spans="5:9">
      <c r="E9" s="29" t="s">
        <v>109</v>
      </c>
      <c r="F9" s="29"/>
      <c r="G9" s="48"/>
      <c r="H9" s="29"/>
      <c r="I9" s="29"/>
    </row>
    <row r="10" spans="5:9">
      <c r="E10" s="29"/>
      <c r="F10" s="29"/>
      <c r="G10" s="48"/>
      <c r="H10" s="29"/>
      <c r="I10" s="29"/>
    </row>
    <row r="11" spans="5:9">
      <c r="E11" s="29"/>
      <c r="F11" s="29"/>
      <c r="G11" s="48"/>
      <c r="H11" s="29"/>
      <c r="I11" s="29"/>
    </row>
    <row r="12" spans="5:9">
      <c r="E12" s="29"/>
      <c r="F12" s="29"/>
      <c r="G12" s="48"/>
      <c r="H12" s="29"/>
      <c r="I12" s="29"/>
    </row>
    <row r="13" spans="5:9">
      <c r="E13" s="29"/>
      <c r="F13" s="29"/>
      <c r="G13" s="48"/>
      <c r="H13" s="29"/>
      <c r="I13" s="29"/>
    </row>
    <row r="14" spans="5:9">
      <c r="E14" s="29"/>
      <c r="F14" s="29"/>
      <c r="G14" s="48"/>
      <c r="H14" s="29"/>
      <c r="I14" s="29"/>
    </row>
    <row r="15" spans="5:9">
      <c r="E15" s="29"/>
      <c r="F15" s="29"/>
      <c r="G15" s="48"/>
      <c r="H15" s="29"/>
      <c r="I15" s="29"/>
    </row>
    <row r="16" spans="5:9">
      <c r="E16" s="29"/>
      <c r="F16" s="29"/>
      <c r="G16" s="48"/>
      <c r="H16" s="29"/>
      <c r="I16" s="29"/>
    </row>
    <row r="17" spans="5:9">
      <c r="E17" s="29"/>
      <c r="F17" s="29"/>
      <c r="G17" s="48"/>
      <c r="H17" s="29"/>
      <c r="I17"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3AA9-BE3F-4FF7-B1FD-2A2144788386}">
  <dimension ref="A1:L13"/>
  <sheetViews>
    <sheetView tabSelected="1" topLeftCell="A11" workbookViewId="0">
      <selection activeCell="P11" sqref="P11"/>
    </sheetView>
  </sheetViews>
  <sheetFormatPr defaultRowHeight="15"/>
  <cols>
    <col min="3" max="3" width="15.5703125" bestFit="1" customWidth="1"/>
    <col min="11" max="11" width="45.28515625" customWidth="1"/>
    <col min="12" max="12" width="56.28515625" customWidth="1"/>
  </cols>
  <sheetData>
    <row r="1" spans="1:12">
      <c r="A1" s="69"/>
      <c r="B1" s="149"/>
      <c r="C1" s="149"/>
      <c r="D1" s="149"/>
      <c r="E1" s="149"/>
      <c r="F1" s="149"/>
      <c r="G1" s="149"/>
      <c r="H1" s="149"/>
      <c r="I1" s="149"/>
      <c r="J1" s="149"/>
      <c r="K1" s="149"/>
      <c r="L1" s="149"/>
    </row>
    <row r="2" spans="1:12">
      <c r="A2" s="69"/>
      <c r="B2" s="150" t="s">
        <v>241</v>
      </c>
      <c r="C2" s="150"/>
      <c r="D2" s="150"/>
      <c r="E2" s="150"/>
      <c r="F2" s="150"/>
      <c r="G2" s="150"/>
      <c r="H2" s="150"/>
      <c r="I2" s="150"/>
      <c r="J2" s="150"/>
      <c r="K2" s="150"/>
      <c r="L2" s="150"/>
    </row>
    <row r="3" spans="1:12">
      <c r="A3" s="69"/>
      <c r="B3" s="150" t="s">
        <v>242</v>
      </c>
      <c r="C3" s="150"/>
      <c r="D3" s="150"/>
      <c r="E3" s="150"/>
      <c r="F3" s="150"/>
      <c r="G3" s="150"/>
      <c r="H3" s="150"/>
      <c r="I3" s="150"/>
      <c r="J3" s="150"/>
      <c r="K3" s="150"/>
      <c r="L3" s="150"/>
    </row>
    <row r="4" spans="1:12">
      <c r="A4" s="69"/>
      <c r="B4" s="151" t="s">
        <v>243</v>
      </c>
      <c r="C4" s="151"/>
      <c r="D4" s="151"/>
      <c r="E4" s="151"/>
      <c r="F4" s="151"/>
      <c r="G4" s="151"/>
      <c r="H4" s="151"/>
      <c r="I4" s="151"/>
      <c r="J4" s="151"/>
      <c r="K4" s="151"/>
      <c r="L4" s="151"/>
    </row>
    <row r="5" spans="1:12">
      <c r="A5" s="69"/>
      <c r="B5" s="149"/>
      <c r="C5" s="149"/>
      <c r="D5" s="149"/>
      <c r="E5" s="149"/>
      <c r="F5" s="149"/>
      <c r="G5" s="149"/>
      <c r="H5" s="149"/>
      <c r="I5" s="149"/>
      <c r="J5" s="149"/>
      <c r="K5" s="149"/>
      <c r="L5" s="149"/>
    </row>
    <row r="6" spans="1:12">
      <c r="A6" s="69"/>
      <c r="B6" s="152" t="s">
        <v>244</v>
      </c>
      <c r="C6" s="152"/>
      <c r="D6" s="152"/>
      <c r="E6" s="152"/>
      <c r="F6" s="152"/>
      <c r="G6" s="152"/>
      <c r="H6" s="152"/>
      <c r="I6" s="152"/>
      <c r="J6" s="152"/>
      <c r="K6" s="152"/>
      <c r="L6" s="152"/>
    </row>
    <row r="7" spans="1:12">
      <c r="A7" s="69"/>
      <c r="B7" s="153" t="s">
        <v>245</v>
      </c>
      <c r="C7" s="153"/>
      <c r="D7" s="153"/>
      <c r="E7" s="153"/>
      <c r="F7" s="153"/>
      <c r="G7" s="153"/>
      <c r="H7" s="153"/>
      <c r="I7" s="153"/>
      <c r="J7" s="153"/>
      <c r="K7" s="153"/>
      <c r="L7" s="153"/>
    </row>
    <row r="8" spans="1:12">
      <c r="A8" s="69"/>
      <c r="B8" s="154" t="s">
        <v>246</v>
      </c>
      <c r="C8" s="155"/>
      <c r="D8" s="155"/>
      <c r="E8" s="155"/>
      <c r="F8" s="155"/>
      <c r="G8" s="155"/>
      <c r="H8" s="155"/>
      <c r="I8" s="155"/>
      <c r="J8" s="155"/>
      <c r="K8" s="155"/>
      <c r="L8" s="156"/>
    </row>
    <row r="9" spans="1:12">
      <c r="A9" s="69"/>
      <c r="B9" s="146" t="s">
        <v>247</v>
      </c>
      <c r="C9" s="147"/>
      <c r="D9" s="147"/>
      <c r="E9" s="147"/>
      <c r="F9" s="147"/>
      <c r="G9" s="147"/>
      <c r="H9" s="147"/>
      <c r="I9" s="147"/>
      <c r="J9" s="147"/>
      <c r="K9" s="147"/>
      <c r="L9" s="148"/>
    </row>
    <row r="10" spans="1:12">
      <c r="A10" s="69"/>
      <c r="B10" s="70" t="s">
        <v>248</v>
      </c>
      <c r="C10" s="71" t="s">
        <v>249</v>
      </c>
      <c r="D10" s="155" t="s">
        <v>250</v>
      </c>
      <c r="E10" s="155"/>
      <c r="F10" s="155"/>
      <c r="G10" s="155"/>
      <c r="H10" s="155"/>
      <c r="I10" s="155"/>
      <c r="J10" s="155"/>
      <c r="K10" s="156"/>
      <c r="L10" s="71" t="s">
        <v>251</v>
      </c>
    </row>
    <row r="11" spans="1:12" ht="245.25">
      <c r="A11" s="69"/>
      <c r="B11" s="70" t="s">
        <v>252</v>
      </c>
      <c r="C11" s="71" t="s">
        <v>253</v>
      </c>
      <c r="D11" s="144" t="s">
        <v>254</v>
      </c>
      <c r="E11" s="144"/>
      <c r="F11" s="144"/>
      <c r="G11" s="144"/>
      <c r="H11" s="144"/>
      <c r="I11" s="144"/>
      <c r="J11" s="144"/>
      <c r="K11" s="145"/>
      <c r="L11" s="72" t="s">
        <v>255</v>
      </c>
    </row>
    <row r="12" spans="1:12" ht="159">
      <c r="A12" s="69"/>
      <c r="B12" s="70" t="s">
        <v>256</v>
      </c>
      <c r="C12" s="71" t="s">
        <v>257</v>
      </c>
      <c r="D12" s="144" t="s">
        <v>258</v>
      </c>
      <c r="E12" s="144"/>
      <c r="F12" s="144"/>
      <c r="G12" s="144"/>
      <c r="H12" s="144"/>
      <c r="I12" s="144"/>
      <c r="J12" s="144"/>
      <c r="K12" s="145"/>
      <c r="L12" s="72" t="s">
        <v>259</v>
      </c>
    </row>
    <row r="13" spans="1:12" ht="216.75">
      <c r="A13" s="69"/>
      <c r="B13" s="70" t="s">
        <v>260</v>
      </c>
      <c r="C13" s="71" t="s">
        <v>261</v>
      </c>
      <c r="D13" s="144" t="s">
        <v>262</v>
      </c>
      <c r="E13" s="144"/>
      <c r="F13" s="144"/>
      <c r="G13" s="144"/>
      <c r="H13" s="144"/>
      <c r="I13" s="144"/>
      <c r="J13" s="144"/>
      <c r="K13" s="145"/>
      <c r="L13" s="72" t="s">
        <v>263</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4.85"/>
  <cols>
    <col min="1" max="1" width="17.5703125" bestFit="1" customWidth="1"/>
  </cols>
  <sheetData>
    <row r="1" spans="1:3" ht="15.95">
      <c r="A1" s="4" t="s">
        <v>264</v>
      </c>
      <c r="C1" t="s">
        <v>265</v>
      </c>
    </row>
    <row r="2" spans="1:3" ht="15.95">
      <c r="A2" s="4" t="s">
        <v>266</v>
      </c>
      <c r="C2" t="s">
        <v>267</v>
      </c>
    </row>
    <row r="3" spans="1:3" ht="15.95">
      <c r="A3" s="4" t="s">
        <v>268</v>
      </c>
    </row>
    <row r="4" spans="1:3" ht="15.95">
      <c r="A4" s="4"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CENTRO DE EVALUACION PARA LA FORMACION ACADEMICA</cp:lastModifiedBy>
  <cp:revision/>
  <dcterms:created xsi:type="dcterms:W3CDTF">2024-06-12T20:22:02Z</dcterms:created>
  <dcterms:modified xsi:type="dcterms:W3CDTF">2025-08-20T15:03:56Z</dcterms:modified>
  <cp:category/>
  <cp:contentStatus/>
</cp:coreProperties>
</file>