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vubal\Desktop\Roberto Cantillán\EPI 2025 COMPRIMIDO\PSICOLOGÍA\"/>
    </mc:Choice>
  </mc:AlternateContent>
  <xr:revisionPtr revIDLastSave="0" documentId="13_ncr:1_{0FDFE34A-6A61-477E-918F-F43B8AB53E98}" xr6:coauthVersionLast="47" xr6:coauthVersionMax="47" xr10:uidLastSave="{00000000-0000-0000-0000-000000000000}"/>
  <bookViews>
    <workbookView xWindow="-120" yWindow="-120" windowWidth="29040" windowHeight="15840" activeTab="1" xr2:uid="{00000000-000D-0000-FFFF-FFFF00000000}"/>
  </bookViews>
  <sheets>
    <sheet name="Rúbrica resultados globales" sheetId="4" r:id="rId1"/>
    <sheet name="Rúbrica situación evaluativa" sheetId="8" r:id="rId2"/>
    <sheet name="Resultados Individuales" sheetId="2" r:id="rId3"/>
    <sheet name="Resultados grupales" sheetId="5" r:id="rId4"/>
    <sheet name="VALIDACIÓN DE DATOS NO BORRAR" sheetId="6" r:id="rId5"/>
    <sheet name="Acciones" sheetId="7" r:id="rId6"/>
    <sheet name="Hoja1" sheetId="3" state="hidden" r:id="rId7"/>
  </sheets>
  <definedNames>
    <definedName name="_xlnm._FilterDatabase" localSheetId="2" hidden="1">'Resultados Individuales'!$A$4:$BA$215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2" l="1"/>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5" i="2"/>
  <c r="R6" i="2"/>
  <c r="R7" i="2"/>
  <c r="S7" i="2" s="1"/>
  <c r="R8" i="2"/>
  <c r="R9" i="2"/>
  <c r="R10" i="2"/>
  <c r="S10" i="2" s="1"/>
  <c r="R11" i="2"/>
  <c r="R12" i="2"/>
  <c r="R13" i="2"/>
  <c r="S13" i="2" s="1"/>
  <c r="R14" i="2"/>
  <c r="R15" i="2"/>
  <c r="R16" i="2"/>
  <c r="R17" i="2"/>
  <c r="R18" i="2"/>
  <c r="R19" i="2"/>
  <c r="S19" i="2" s="1"/>
  <c r="R20" i="2"/>
  <c r="S20" i="2" s="1"/>
  <c r="R21" i="2"/>
  <c r="S21" i="2" s="1"/>
  <c r="R22" i="2"/>
  <c r="R23" i="2"/>
  <c r="S23" i="2" s="1"/>
  <c r="R24" i="2"/>
  <c r="R25" i="2"/>
  <c r="R26" i="2"/>
  <c r="S26" i="2" s="1"/>
  <c r="R27" i="2"/>
  <c r="R28" i="2"/>
  <c r="R29" i="2"/>
  <c r="S29" i="2" s="1"/>
  <c r="R30" i="2"/>
  <c r="S30" i="2" s="1"/>
  <c r="R31" i="2"/>
  <c r="S31" i="2" s="1"/>
  <c r="R32" i="2"/>
  <c r="R33" i="2"/>
  <c r="R34" i="2"/>
  <c r="S34" i="2" s="1"/>
  <c r="R35" i="2"/>
  <c r="R36" i="2"/>
  <c r="R37" i="2"/>
  <c r="R38" i="2"/>
  <c r="R39" i="2"/>
  <c r="S39" i="2" s="1"/>
  <c r="R40" i="2"/>
  <c r="R41" i="2"/>
  <c r="R42" i="2"/>
  <c r="R43" i="2"/>
  <c r="R44" i="2"/>
  <c r="R45" i="2"/>
  <c r="S45" i="2" s="1"/>
  <c r="R46" i="2"/>
  <c r="S46" i="2" s="1"/>
  <c r="R47" i="2"/>
  <c r="S47" i="2" s="1"/>
  <c r="R48" i="2"/>
  <c r="S48" i="2" s="1"/>
  <c r="R49" i="2"/>
  <c r="R50" i="2"/>
  <c r="S50" i="2" s="1"/>
  <c r="R51" i="2"/>
  <c r="R52" i="2"/>
  <c r="R53" i="2"/>
  <c r="R54" i="2"/>
  <c r="R55" i="2"/>
  <c r="S55" i="2" s="1"/>
  <c r="R56" i="2"/>
  <c r="R57" i="2"/>
  <c r="R58" i="2"/>
  <c r="R59" i="2"/>
  <c r="R60" i="2"/>
  <c r="S60" i="2" s="1"/>
  <c r="R61" i="2"/>
  <c r="R62" i="2"/>
  <c r="S62" i="2" s="1"/>
  <c r="R63" i="2"/>
  <c r="S63" i="2" s="1"/>
  <c r="R64" i="2"/>
  <c r="R65" i="2"/>
  <c r="R66" i="2"/>
  <c r="S66" i="2" s="1"/>
  <c r="R67" i="2"/>
  <c r="R68" i="2"/>
  <c r="R69" i="2"/>
  <c r="R70" i="2"/>
  <c r="R71" i="2"/>
  <c r="S71" i="2" s="1"/>
  <c r="R72" i="2"/>
  <c r="R73" i="2"/>
  <c r="R74" i="2"/>
  <c r="R75" i="2"/>
  <c r="R76" i="2"/>
  <c r="S76" i="2" s="1"/>
  <c r="R77" i="2"/>
  <c r="R78" i="2"/>
  <c r="S78" i="2" s="1"/>
  <c r="R79" i="2"/>
  <c r="S79" i="2" s="1"/>
  <c r="R80" i="2"/>
  <c r="R81" i="2"/>
  <c r="R82" i="2"/>
  <c r="S82" i="2" s="1"/>
  <c r="R83" i="2"/>
  <c r="R84" i="2"/>
  <c r="R85" i="2"/>
  <c r="R86" i="2"/>
  <c r="R87" i="2"/>
  <c r="S87" i="2" s="1"/>
  <c r="R88" i="2"/>
  <c r="R89" i="2"/>
  <c r="R90" i="2"/>
  <c r="R91" i="2"/>
  <c r="R92" i="2"/>
  <c r="S92" i="2" s="1"/>
  <c r="R93" i="2"/>
  <c r="R94" i="2"/>
  <c r="S94" i="2" s="1"/>
  <c r="R95" i="2"/>
  <c r="S95" i="2" s="1"/>
  <c r="R96" i="2"/>
  <c r="R97" i="2"/>
  <c r="R98" i="2"/>
  <c r="S98" i="2" s="1"/>
  <c r="R99" i="2"/>
  <c r="R100" i="2"/>
  <c r="R101" i="2"/>
  <c r="R102" i="2"/>
  <c r="R103" i="2"/>
  <c r="S103" i="2" s="1"/>
  <c r="R104" i="2"/>
  <c r="R105" i="2"/>
  <c r="R106" i="2"/>
  <c r="R107" i="2"/>
  <c r="R108" i="2"/>
  <c r="S108" i="2" s="1"/>
  <c r="R109" i="2"/>
  <c r="R110" i="2"/>
  <c r="S110" i="2" s="1"/>
  <c r="R111" i="2"/>
  <c r="S111" i="2" s="1"/>
  <c r="R112" i="2"/>
  <c r="R113" i="2"/>
  <c r="R114" i="2"/>
  <c r="S114" i="2" s="1"/>
  <c r="R115" i="2"/>
  <c r="R116" i="2"/>
  <c r="R117" i="2"/>
  <c r="R118" i="2"/>
  <c r="R119" i="2"/>
  <c r="S119" i="2" s="1"/>
  <c r="R120" i="2"/>
  <c r="R121" i="2"/>
  <c r="R122" i="2"/>
  <c r="R123" i="2"/>
  <c r="R124" i="2"/>
  <c r="S124" i="2" s="1"/>
  <c r="R125" i="2"/>
  <c r="R126" i="2"/>
  <c r="S126" i="2" s="1"/>
  <c r="R127" i="2"/>
  <c r="S127" i="2" s="1"/>
  <c r="R128" i="2"/>
  <c r="R129" i="2"/>
  <c r="R130" i="2"/>
  <c r="S130" i="2" s="1"/>
  <c r="R131" i="2"/>
  <c r="R132" i="2"/>
  <c r="R133" i="2"/>
  <c r="R134" i="2"/>
  <c r="R135" i="2"/>
  <c r="S135" i="2" s="1"/>
  <c r="R136" i="2"/>
  <c r="R137" i="2"/>
  <c r="R138" i="2"/>
  <c r="R139" i="2"/>
  <c r="R140" i="2"/>
  <c r="S140" i="2" s="1"/>
  <c r="R141" i="2"/>
  <c r="R142" i="2"/>
  <c r="S142" i="2" s="1"/>
  <c r="R143" i="2"/>
  <c r="S143" i="2" s="1"/>
  <c r="R144" i="2"/>
  <c r="R145" i="2"/>
  <c r="R146" i="2"/>
  <c r="S146" i="2" s="1"/>
  <c r="R147" i="2"/>
  <c r="R148" i="2"/>
  <c r="R149" i="2"/>
  <c r="R150" i="2"/>
  <c r="R151" i="2"/>
  <c r="S151" i="2" s="1"/>
  <c r="R152" i="2"/>
  <c r="R153" i="2"/>
  <c r="R154" i="2"/>
  <c r="R155" i="2"/>
  <c r="R156" i="2"/>
  <c r="S156" i="2" s="1"/>
  <c r="R157" i="2"/>
  <c r="R158" i="2"/>
  <c r="S158" i="2" s="1"/>
  <c r="R159" i="2"/>
  <c r="S159" i="2" s="1"/>
  <c r="R160" i="2"/>
  <c r="R161" i="2"/>
  <c r="R162" i="2"/>
  <c r="S162" i="2" s="1"/>
  <c r="R163" i="2"/>
  <c r="R164" i="2"/>
  <c r="R165" i="2"/>
  <c r="R166" i="2"/>
  <c r="R167" i="2"/>
  <c r="S167" i="2" s="1"/>
  <c r="R168" i="2"/>
  <c r="R169" i="2"/>
  <c r="R170" i="2"/>
  <c r="R171" i="2"/>
  <c r="R172" i="2"/>
  <c r="S172" i="2" s="1"/>
  <c r="R173" i="2"/>
  <c r="R174" i="2"/>
  <c r="S174" i="2" s="1"/>
  <c r="R175" i="2"/>
  <c r="S175" i="2" s="1"/>
  <c r="R176" i="2"/>
  <c r="R177" i="2"/>
  <c r="R178" i="2"/>
  <c r="S178" i="2" s="1"/>
  <c r="R179" i="2"/>
  <c r="R180" i="2"/>
  <c r="R181" i="2"/>
  <c r="R182" i="2"/>
  <c r="R183" i="2"/>
  <c r="S183" i="2" s="1"/>
  <c r="R184" i="2"/>
  <c r="R185" i="2"/>
  <c r="R186" i="2"/>
  <c r="R187" i="2"/>
  <c r="R188" i="2"/>
  <c r="S188" i="2" s="1"/>
  <c r="R189" i="2"/>
  <c r="R190" i="2"/>
  <c r="S190" i="2" s="1"/>
  <c r="R191" i="2"/>
  <c r="S191" i="2" s="1"/>
  <c r="R192" i="2"/>
  <c r="R193" i="2"/>
  <c r="R194" i="2"/>
  <c r="S194" i="2" s="1"/>
  <c r="R195" i="2"/>
  <c r="R196" i="2"/>
  <c r="R197" i="2"/>
  <c r="R198" i="2"/>
  <c r="R199" i="2"/>
  <c r="S199" i="2" s="1"/>
  <c r="R200" i="2"/>
  <c r="R201" i="2"/>
  <c r="R202" i="2"/>
  <c r="R203" i="2"/>
  <c r="R204" i="2"/>
  <c r="S204" i="2" s="1"/>
  <c r="R205" i="2"/>
  <c r="R206" i="2"/>
  <c r="S206" i="2" s="1"/>
  <c r="R207" i="2"/>
  <c r="S207" i="2" s="1"/>
  <c r="R208" i="2"/>
  <c r="R209" i="2"/>
  <c r="R210" i="2"/>
  <c r="S210" i="2" s="1"/>
  <c r="R211" i="2"/>
  <c r="R212" i="2"/>
  <c r="R213" i="2"/>
  <c r="R214" i="2"/>
  <c r="R215" i="2"/>
  <c r="S215" i="2" s="1"/>
  <c r="S6" i="2"/>
  <c r="S8" i="2"/>
  <c r="S9" i="2"/>
  <c r="S11" i="2"/>
  <c r="S12" i="2"/>
  <c r="S14" i="2"/>
  <c r="S15" i="2"/>
  <c r="S16" i="2"/>
  <c r="S17" i="2"/>
  <c r="S18" i="2"/>
  <c r="S22" i="2"/>
  <c r="S24" i="2"/>
  <c r="S25" i="2"/>
  <c r="S27" i="2"/>
  <c r="S28" i="2"/>
  <c r="S32" i="2"/>
  <c r="S33" i="2"/>
  <c r="S35" i="2"/>
  <c r="S36" i="2"/>
  <c r="S37" i="2"/>
  <c r="S38" i="2"/>
  <c r="S40" i="2"/>
  <c r="S41" i="2"/>
  <c r="S42" i="2"/>
  <c r="S43" i="2"/>
  <c r="S44" i="2"/>
  <c r="S49" i="2"/>
  <c r="S51" i="2"/>
  <c r="S52" i="2"/>
  <c r="S53" i="2"/>
  <c r="S54" i="2"/>
  <c r="S56" i="2"/>
  <c r="S57" i="2"/>
  <c r="S58" i="2"/>
  <c r="S59" i="2"/>
  <c r="S61" i="2"/>
  <c r="S64" i="2"/>
  <c r="S65" i="2"/>
  <c r="S67" i="2"/>
  <c r="S68" i="2"/>
  <c r="S69" i="2"/>
  <c r="S70" i="2"/>
  <c r="S72" i="2"/>
  <c r="S73" i="2"/>
  <c r="S74" i="2"/>
  <c r="S75" i="2"/>
  <c r="S77" i="2"/>
  <c r="S80" i="2"/>
  <c r="S81" i="2"/>
  <c r="S83" i="2"/>
  <c r="S84" i="2"/>
  <c r="S85" i="2"/>
  <c r="S86" i="2"/>
  <c r="S88" i="2"/>
  <c r="S89" i="2"/>
  <c r="S90" i="2"/>
  <c r="S91" i="2"/>
  <c r="S93" i="2"/>
  <c r="S96" i="2"/>
  <c r="S97" i="2"/>
  <c r="S99" i="2"/>
  <c r="S100" i="2"/>
  <c r="S101" i="2"/>
  <c r="S102" i="2"/>
  <c r="S104" i="2"/>
  <c r="S105" i="2"/>
  <c r="S106" i="2"/>
  <c r="S107" i="2"/>
  <c r="S109" i="2"/>
  <c r="S112" i="2"/>
  <c r="S113" i="2"/>
  <c r="S115" i="2"/>
  <c r="S116" i="2"/>
  <c r="S117" i="2"/>
  <c r="S118" i="2"/>
  <c r="S120" i="2"/>
  <c r="S121" i="2"/>
  <c r="S122" i="2"/>
  <c r="S123" i="2"/>
  <c r="S125" i="2"/>
  <c r="S128" i="2"/>
  <c r="S129" i="2"/>
  <c r="S131" i="2"/>
  <c r="S132" i="2"/>
  <c r="S133" i="2"/>
  <c r="S134" i="2"/>
  <c r="S136" i="2"/>
  <c r="S137" i="2"/>
  <c r="S138" i="2"/>
  <c r="S139" i="2"/>
  <c r="S141" i="2"/>
  <c r="S144" i="2"/>
  <c r="S145" i="2"/>
  <c r="S147" i="2"/>
  <c r="S148" i="2"/>
  <c r="S149" i="2"/>
  <c r="S150" i="2"/>
  <c r="S152" i="2"/>
  <c r="S153" i="2"/>
  <c r="S154" i="2"/>
  <c r="S155" i="2"/>
  <c r="S157" i="2"/>
  <c r="S160" i="2"/>
  <c r="S161" i="2"/>
  <c r="S163" i="2"/>
  <c r="S164" i="2"/>
  <c r="S165" i="2"/>
  <c r="S166" i="2"/>
  <c r="S168" i="2"/>
  <c r="S169" i="2"/>
  <c r="S170" i="2"/>
  <c r="S171" i="2"/>
  <c r="S173" i="2"/>
  <c r="S176" i="2"/>
  <c r="S177" i="2"/>
  <c r="S179" i="2"/>
  <c r="S180" i="2"/>
  <c r="S181" i="2"/>
  <c r="S182" i="2"/>
  <c r="S184" i="2"/>
  <c r="S185" i="2"/>
  <c r="S186" i="2"/>
  <c r="S187" i="2"/>
  <c r="S189" i="2"/>
  <c r="S192" i="2"/>
  <c r="S193" i="2"/>
  <c r="S195" i="2"/>
  <c r="S196" i="2"/>
  <c r="S197" i="2"/>
  <c r="S198" i="2"/>
  <c r="S200" i="2"/>
  <c r="S201" i="2"/>
  <c r="S202" i="2"/>
  <c r="S203" i="2"/>
  <c r="S205" i="2"/>
  <c r="S208" i="2"/>
  <c r="S209" i="2"/>
  <c r="S211" i="2"/>
  <c r="S212" i="2"/>
  <c r="S213" i="2"/>
  <c r="S214" i="2"/>
  <c r="R5" i="2"/>
  <c r="S5" i="2" s="1"/>
</calcChain>
</file>

<file path=xl/sharedStrings.xml><?xml version="1.0" encoding="utf-8"?>
<sst xmlns="http://schemas.openxmlformats.org/spreadsheetml/2006/main" count="1831" uniqueCount="838">
  <si>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</si>
  <si>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</si>
  <si>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</si>
  <si>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</si>
  <si>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</si>
  <si>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</si>
  <si>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</si>
  <si>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</si>
  <si>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</si>
  <si>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</si>
  <si>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</si>
  <si>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</si>
  <si>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</si>
  <si>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</si>
  <si>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</si>
  <si>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</si>
  <si>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</si>
  <si>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</si>
  <si>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</si>
  <si>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</si>
  <si>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</si>
  <si>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</si>
  <si>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</si>
  <si>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</si>
  <si>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</si>
  <si>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</si>
  <si>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</si>
  <si>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</si>
  <si>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</si>
  <si>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</si>
  <si>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</si>
  <si>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</si>
  <si>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</si>
  <si>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</si>
  <si>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</si>
  <si>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</si>
  <si>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</si>
  <si>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</si>
  <si>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</si>
  <si>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</si>
  <si>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</si>
  <si>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</si>
  <si>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 </t>
  </si>
  <si>
    <t>DATOS DE ESTUDIANTES DE LA COHORTE</t>
  </si>
  <si>
    <r>
      <rPr>
        <b/>
        <u/>
        <sz val="11"/>
        <color theme="1"/>
        <rFont val="Aptos Narrow"/>
        <family val="2"/>
        <scheme val="minor"/>
      </rPr>
      <t xml:space="preserve">
</t>
    </r>
    <r>
      <rPr>
        <b/>
        <sz val="12"/>
        <color theme="1"/>
        <rFont val="Aptos Narrow"/>
        <family val="2"/>
        <scheme val="minor"/>
      </rPr>
      <t xml:space="preserve">COMPETENCIA: Comprende textos disciplinares escritos, utilizando conocimientos de la Psicología y de otras disciplinas 
fundantes propios del ciclo básico de formación.
</t>
    </r>
    <r>
      <rPr>
        <b/>
        <u/>
        <sz val="12"/>
        <color theme="1"/>
        <rFont val="Aptos Narrow"/>
        <family val="2"/>
        <scheme val="minor"/>
      </rPr>
      <t xml:space="preserve">
</t>
    </r>
    <r>
      <rPr>
        <b/>
        <sz val="12"/>
        <color theme="1"/>
        <rFont val="Aptos Narrow"/>
        <family val="2"/>
        <scheme val="minor"/>
      </rPr>
      <t>SITUACIÓN I</t>
    </r>
    <r>
      <rPr>
        <b/>
        <u/>
        <sz val="12"/>
        <color theme="1"/>
        <rFont val="Aptos Narrow"/>
        <family val="2"/>
        <scheme val="minor"/>
      </rPr>
      <t xml:space="preserve">
</t>
    </r>
    <r>
      <rPr>
        <i/>
        <sz val="12"/>
        <color theme="1"/>
        <rFont val="Aptos Narrow"/>
        <family val="2"/>
        <scheme val="minor"/>
      </rPr>
      <t xml:space="preserve">Dé a conocer el argumento del documento leído, indicando aquello que se discute en éste, la 
idea principal que se plantea al respecto, y las ideas o elementos de apoyo que la sostienen. </t>
    </r>
    <r>
      <rPr>
        <i/>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Nivel de logro Deficiente:  0 puntos                      
Nivel de logro Bajo : 1 punto
   Nivel del logro Medio  : 2 puntos
Nivel de logro Satisfactorio : 3 puntos 
</t>
    </r>
    <r>
      <rPr>
        <sz val="11"/>
        <color theme="1"/>
        <rFont val="Aptos Narrow"/>
        <family val="2"/>
        <scheme val="minor"/>
      </rPr>
      <t xml:space="preserve">
</t>
    </r>
  </si>
  <si>
    <r>
      <rPr>
        <b/>
        <u/>
        <sz val="12"/>
        <color theme="1"/>
        <rFont val="Aptos Narrow"/>
        <family val="2"/>
        <scheme val="minor"/>
      </rPr>
      <t xml:space="preserve">
</t>
    </r>
    <r>
      <rPr>
        <b/>
        <sz val="12"/>
        <color theme="1"/>
        <rFont val="Aptos Narrow"/>
        <family val="2"/>
        <scheme val="minor"/>
      </rPr>
      <t xml:space="preserve">COMPETENCIA: Analiza fenómenos y problemas humanos desde una mirada disciplinar básica, reconociendo 
dimensiones individuales, relacionales y contextuales involucradas.
SITUACIÓN II  
</t>
    </r>
    <r>
      <rPr>
        <i/>
        <sz val="12"/>
        <color theme="1"/>
        <rFont val="Aptos Narrow"/>
        <family val="2"/>
        <scheme val="minor"/>
      </rPr>
      <t xml:space="preserve">A continuación, se presenta una situación que debe analizar, identificando distintas dimensiones y dinámicas involucradas. Específicamente, en este análisis se espera que explique, de manera separada, dimensiones y/o procesos a nivel individual, relacional, y contextual involucrados en la situación, utilizando nociones aprendidas en la carrera para cada una de ellas. </t>
    </r>
    <r>
      <rPr>
        <b/>
        <u/>
        <sz val="12"/>
        <color theme="1"/>
        <rFont val="Aptos Narrow"/>
        <family val="2"/>
        <scheme val="minor"/>
      </rPr>
      <t xml:space="preserve">
</t>
    </r>
    <r>
      <rPr>
        <sz val="12"/>
        <color theme="1"/>
        <rFont val="Aptos Narrow"/>
        <family val="2"/>
        <scheme val="minor"/>
      </rPr>
      <t>La respuesta debe ajustarse a requerimientos formales básicos referidos a la organización coherente de las ideas, lenguaje académico, y normas de ortografía.</t>
    </r>
    <r>
      <rPr>
        <b/>
        <u/>
        <sz val="12"/>
        <color theme="1"/>
        <rFont val="Aptos Narrow"/>
        <family val="2"/>
        <scheme val="minor"/>
      </rPr>
      <t xml:space="preserve">
</t>
    </r>
    <r>
      <rPr>
        <b/>
        <sz val="11"/>
        <color theme="1"/>
        <rFont val="Aptos Narrow"/>
        <family val="2"/>
        <scheme val="minor"/>
      </rPr>
      <t xml:space="preserve">
</t>
    </r>
    <r>
      <rPr>
        <sz val="11"/>
        <color theme="1"/>
        <rFont val="Aptos Narrow"/>
        <family val="2"/>
        <scheme val="minor"/>
      </rPr>
      <t xml:space="preserve"> Nivel de logro Deficiente:  0 puntos                      
Nivel de logro Bajo : 1 punto
   Nivel del logro Medio  : 2 puntos
Nivel de logro Satisfactorio : 3 puntos 
</t>
    </r>
    <r>
      <rPr>
        <i/>
        <sz val="11"/>
        <color theme="1"/>
        <rFont val="Aptos Narrow"/>
        <family val="2"/>
        <scheme val="minor"/>
      </rPr>
      <t xml:space="preserve">
</t>
    </r>
  </si>
  <si>
    <r>
      <rPr>
        <b/>
        <sz val="12"/>
        <color theme="1"/>
        <rFont val="Aptos Narrow"/>
        <family val="2"/>
        <scheme val="minor"/>
      </rPr>
      <t xml:space="preserve">
COMPETENCIA: Analiza investigaciones en Psicología reconociendo sus componentes y la coherencia entre estos.</t>
    </r>
    <r>
      <rPr>
        <b/>
        <u/>
        <sz val="11"/>
        <color theme="1"/>
        <rFont val="Aptos Narrow"/>
        <family val="2"/>
        <scheme val="minor"/>
      </rPr>
      <t xml:space="preserve">
</t>
    </r>
    <r>
      <rPr>
        <b/>
        <sz val="11"/>
        <color theme="1"/>
        <rFont val="Aptos Narrow"/>
        <family val="2"/>
        <scheme val="minor"/>
      </rPr>
      <t xml:space="preserve">SITUACIÓN III
</t>
    </r>
    <r>
      <rPr>
        <b/>
        <u/>
        <sz val="11"/>
        <color theme="1"/>
        <rFont val="Aptos Narrow"/>
        <family val="2"/>
        <scheme val="minor"/>
      </rPr>
      <t xml:space="preserve">
</t>
    </r>
    <r>
      <rPr>
        <sz val="10"/>
        <color theme="1"/>
        <rFont val="Aptos Narrow"/>
        <family val="2"/>
        <scheme val="minor"/>
      </rPr>
      <t xml:space="preserve">El siguiente es un caso ficticio en el que se presenta el trabajo de investigación de un grupo de estudiantes para un curso de Investigación en Psicología. Esta es una investigación que debe 
desarrollarse en coordinación con una institución externa, con el propósito de responder a alguna necesidad que la institución posea.  Usted debe analizar esta investigación de acuerdo a los requerimientos que se señalan a continuación:  
a) Reconocer los componentes de la investigación distinguiendo:  
 Problema de investigación  
Pregunta de Investigación  
Objetivo general y específicos  
Tipo de metodología de investigación empleada  
 Participantes o muestreo 
Procedimiento de recolección de datos 
 Técnica de análisis de datos  
 Variables o dimensiones involucradas.
b) Evaluar la coherencia entre los distintos componentes de la investigación, considerando que ésta 
posee logros y también desajustes en la articulación entre sus componentes. Para esto refiérase a 
aquellos aspectos específicos en los que se expresan las incoherencias y coherencias que considere 
más relevantes. Puede referirse a la relación entre algunos de los siguientes aspectos que se 
presentan a continuación, según lo estime pertinente (no es necesario referirse a cada uno de ellos): - - - - - 
Problema, pregunta y objetivos 
Objetivo general y específicos 
Pregunta y participantes (muestreo) 
Objetivos y metodol
</t>
    </r>
    <r>
      <rPr>
        <sz val="11"/>
        <color theme="1"/>
        <rFont val="Aptos Narrow"/>
        <family val="2"/>
        <scheme val="minor"/>
      </rPr>
      <t xml:space="preserve">
Nivel de logro Deficiente:  0 puntos                      
Nivel de logro Bajo : 1 punto
   Nivel del logro Medio  : 2 puntos
Nivel de logro Satisfactorio : 3 puntos 
</t>
    </r>
    <r>
      <rPr>
        <b/>
        <sz val="11"/>
        <color theme="1"/>
        <rFont val="Aptos Narrow"/>
        <family val="2"/>
        <scheme val="minor"/>
      </rPr>
      <t xml:space="preserve">
</t>
    </r>
  </si>
  <si>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</si>
  <si>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</si>
  <si>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</si>
  <si>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</si>
  <si>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</si>
  <si>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</si>
  <si>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</si>
  <si>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</si>
  <si>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</si>
  <si>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</si>
  <si>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1.1 Distingue las ideas centrales y elementos de apoyo que componen el argumento del texto.</t>
  </si>
  <si>
    <t>1.2 Explica conceptos teóricosvinculados en el texto , recurriendo a los conocimientos básicos en Psicología y disciplinas fundantes.</t>
  </si>
  <si>
    <t>3.2 Explica dimensiones individuales, relacionales y contextuales utilizando nociones aprendidas en su formación inicial básica.</t>
  </si>
  <si>
    <t xml:space="preserve">4.1 Reconoce los 
componentes de una 
investigación en 
Psicología </t>
  </si>
  <si>
    <t xml:space="preserve">4.2 Evalúa la coherencia 
entre los distintos 
componentes de una 
investigación.  </t>
  </si>
  <si>
    <t>PUNTAJE TOTAL ESTUDIANTE</t>
  </si>
  <si>
    <t>PORCENTAJE DE LOGRO</t>
  </si>
  <si>
    <t>CATEGORÍA RESULTADO GLOBAL ESTUDIANTE</t>
  </si>
  <si>
    <t xml:space="preserve">3.2.a Explica dimensiones individuales (psicológicas y biológicas) 
involucradas, utilizando de manera pertinente nociones aprendidas en la 
carrera.  </t>
  </si>
  <si>
    <t xml:space="preserve">3.2.b Explica dimensiones relacionales involucradas (que aludan a las 
interacciones entre personas o grupos), utilizando de manera pertinente 
nociones aprendidas en la carrera. </t>
  </si>
  <si>
    <t xml:space="preserve">3.2.c Explica dimensiones contextuales involucradas, utilizando de manera 
pertinente nociones aprendidas en la carrera. </t>
  </si>
  <si>
    <t>Incluido en listado Ps/CEFAU</t>
  </si>
  <si>
    <t>PAULINA MAGDALENA CID REYES</t>
  </si>
  <si>
    <t>CID</t>
  </si>
  <si>
    <t>REYES</t>
  </si>
  <si>
    <t>PAULINA MAGDALENA</t>
  </si>
  <si>
    <t>Avance curricular suficiente o adecuado para evaluar ciclo básico</t>
  </si>
  <si>
    <t>Rendida</t>
  </si>
  <si>
    <t>ambos</t>
  </si>
  <si>
    <t>K</t>
  </si>
  <si>
    <t>SOFIA MAGDALENA ALTAMIRANO CARRASCO</t>
  </si>
  <si>
    <t>ALTAMIRANO</t>
  </si>
  <si>
    <t>CARRASCO</t>
  </si>
  <si>
    <t>SOFIA MAGDALENA</t>
  </si>
  <si>
    <t>Expulsión-eliminación</t>
  </si>
  <si>
    <t>No rendida</t>
  </si>
  <si>
    <t>solo CEFAU-renuncia, abandono o eliminación</t>
  </si>
  <si>
    <t>DANIELA IGNACIA VERA BRAVO</t>
  </si>
  <si>
    <t>VERA</t>
  </si>
  <si>
    <t>BRAVO</t>
  </si>
  <si>
    <t>DANIELA IGNACIA</t>
  </si>
  <si>
    <t>NR</t>
  </si>
  <si>
    <t>CATALINA ESPERANZA ROJAS MUÑOZ</t>
  </si>
  <si>
    <t>ROJAS</t>
  </si>
  <si>
    <t>MUÑOZ</t>
  </si>
  <si>
    <t>CATALINA ESPERANZA</t>
  </si>
  <si>
    <t>EILEEN IVETTE DEL CAMPO GALVEZ</t>
  </si>
  <si>
    <t>DEL CAMPO</t>
  </si>
  <si>
    <t>GALVEZ</t>
  </si>
  <si>
    <t>EILEEN IVETTE</t>
  </si>
  <si>
    <t>RICARDO ENRIQUE GARCIA FLANDEZ</t>
  </si>
  <si>
    <t>GARCIA</t>
  </si>
  <si>
    <t>FLANDEZ</t>
  </si>
  <si>
    <t>RICARDO ENRIQUE</t>
  </si>
  <si>
    <t>Avance curricular insuficiente para evaluar ciclo básico (no rinde EPI 2025)</t>
  </si>
  <si>
    <t>solo CEFAU-avance curricular insuficiente por suspensión</t>
  </si>
  <si>
    <t>BENJAMIN IGNACIO TAPIA OYARZO</t>
  </si>
  <si>
    <t>TAPIA</t>
  </si>
  <si>
    <t>OYARZO</t>
  </si>
  <si>
    <t>BENJAMIN IGNACIO</t>
  </si>
  <si>
    <t>ARACELI AYMARA MUÑOZ LOPEZ</t>
  </si>
  <si>
    <t>LOPEZ</t>
  </si>
  <si>
    <t>ARACELI AYMARA</t>
  </si>
  <si>
    <t>EDGARDO NEFTALI SAEZ MILLAPAN</t>
  </si>
  <si>
    <t>SAEZ</t>
  </si>
  <si>
    <t>MILLAPAN</t>
  </si>
  <si>
    <t>EDGARDO NEFTALI</t>
  </si>
  <si>
    <t>JOAQUIN ESTEBAN FUENTES MORALES</t>
  </si>
  <si>
    <t>FUENTES</t>
  </si>
  <si>
    <t>MORALES</t>
  </si>
  <si>
    <t>JOAQUIN ESTEBAN</t>
  </si>
  <si>
    <t>Interrupción voluntaria (no rinde EPI 2025)</t>
  </si>
  <si>
    <t>solo CEFAU-suspensión</t>
  </si>
  <si>
    <t>MARÍA DE LOS ANGELES HERNÁNDEZ SOLÍS</t>
  </si>
  <si>
    <t>HERNÁNDEZ</t>
  </si>
  <si>
    <t>SOLÍS</t>
  </si>
  <si>
    <t>MARÍA DE LOS ANGELES</t>
  </si>
  <si>
    <t>TOMAS CRISTOBAL ARRIOLA PEZOA</t>
  </si>
  <si>
    <t>ARRIOLA</t>
  </si>
  <si>
    <t>PEZOA</t>
  </si>
  <si>
    <t>TOMAS CRISTOBAL</t>
  </si>
  <si>
    <t>JAVIERA IGNACIA SANZANA AVILA</t>
  </si>
  <si>
    <t>SANZANA</t>
  </si>
  <si>
    <t>AVILA</t>
  </si>
  <si>
    <t>JAVIERA IGNACIA</t>
  </si>
  <si>
    <t>JUAN MARTIN CHAPARRO DIAZ</t>
  </si>
  <si>
    <t>CHAPARRO</t>
  </si>
  <si>
    <t>DIAZ</t>
  </si>
  <si>
    <t>JUAN MARTIN</t>
  </si>
  <si>
    <t>MARÍA JESÚS NÚÑEZ RIVAS</t>
  </si>
  <si>
    <t>NÚÑEZ</t>
  </si>
  <si>
    <t>RIVAS</t>
  </si>
  <si>
    <t>MARÍA JESÚS</t>
  </si>
  <si>
    <t>solo CEFAU-rindió 2024</t>
  </si>
  <si>
    <t>FERNANDA CELEDÓN PEZO</t>
  </si>
  <si>
    <t>CELEDÓN</t>
  </si>
  <si>
    <t>PEZO</t>
  </si>
  <si>
    <t>FERNANDA</t>
  </si>
  <si>
    <t>TANYA JAVIERA CÁRCAMO OPITZ</t>
  </si>
  <si>
    <t>CÁRCAMO</t>
  </si>
  <si>
    <t>OPITZ</t>
  </si>
  <si>
    <t>TANYA JAVIERA</t>
  </si>
  <si>
    <t>MARTIN GUILLERMO MORENO CURIHUENTRO</t>
  </si>
  <si>
    <t>MORENO</t>
  </si>
  <si>
    <t>CURIHUENTRO</t>
  </si>
  <si>
    <t>MARTIN GUILLERMO</t>
  </si>
  <si>
    <t>ANDRÉS NICOLÁS GÓMEZ GÓMEZ</t>
  </si>
  <si>
    <t>GÓMEZ</t>
  </si>
  <si>
    <t>ANDRÉS NICOLÁS</t>
  </si>
  <si>
    <t>SOFÍA ALMENDRA PARRAGUEZ LEÓN</t>
  </si>
  <si>
    <t>PARRAGUEZ</t>
  </si>
  <si>
    <t>LEÓN</t>
  </si>
  <si>
    <t>SOFÍA ALMENDRA</t>
  </si>
  <si>
    <t>KATHERINE MICAELA DURÁN ESCOBAR</t>
  </si>
  <si>
    <t>DURÁN</t>
  </si>
  <si>
    <t>ESCOBAR</t>
  </si>
  <si>
    <t>KATHERINE MICAELA</t>
  </si>
  <si>
    <t>GABRIELA AGUERO CORREA</t>
  </si>
  <si>
    <t>AGUERO</t>
  </si>
  <si>
    <t>CORREA</t>
  </si>
  <si>
    <t>GABRIELA</t>
  </si>
  <si>
    <t>NOEMÍ ANDREA MORGADO BAEZ</t>
  </si>
  <si>
    <t>MORGADO</t>
  </si>
  <si>
    <t>BAEZ</t>
  </si>
  <si>
    <t>NOEMÍ ANDREA</t>
  </si>
  <si>
    <t>SCARLET YULIET VALVERDE PARRA</t>
  </si>
  <si>
    <t>VALVERDE</t>
  </si>
  <si>
    <t>PARRA</t>
  </si>
  <si>
    <t>SCARLET YULIET</t>
  </si>
  <si>
    <t>JAVIERA CONSTANZA VERA CORRALES</t>
  </si>
  <si>
    <t>CORRALES</t>
  </si>
  <si>
    <t>JAVIERA CONSTANZA</t>
  </si>
  <si>
    <t>DANTE DANIEL COLMAN VEGA</t>
  </si>
  <si>
    <t>COLMAN</t>
  </si>
  <si>
    <t>VEGA</t>
  </si>
  <si>
    <t>DANTE DANIEL</t>
  </si>
  <si>
    <t>CAMILO MATEO MONJE MALDONADO</t>
  </si>
  <si>
    <t>MONJE</t>
  </si>
  <si>
    <t>MALDONADO</t>
  </si>
  <si>
    <t>CAMILO MATEO</t>
  </si>
  <si>
    <t>ANDREA BELÉN RAMÍREZ OBANDO</t>
  </si>
  <si>
    <t>RAMÍREZ</t>
  </si>
  <si>
    <t>OBANDO</t>
  </si>
  <si>
    <t>ANDREA BELÉN</t>
  </si>
  <si>
    <t>RODRIGO ANDRÉS MARTÍNEZ MUÑOZ</t>
  </si>
  <si>
    <t>MARTÍNEZ</t>
  </si>
  <si>
    <t>RODRIGO ANDRÉS</t>
  </si>
  <si>
    <t>FRANCISCA IGNACIA OSSES GUAJARDO</t>
  </si>
  <si>
    <t>OSSES</t>
  </si>
  <si>
    <t>GUAJARDO</t>
  </si>
  <si>
    <t>FRANCISCA IGNACIA</t>
  </si>
  <si>
    <t>ANDREA  MICHELLE ROJAS VARELA</t>
  </si>
  <si>
    <t>VARELA</t>
  </si>
  <si>
    <t>ANDREA  MICHELLE</t>
  </si>
  <si>
    <t>ALONSO RUBÉN OLIVARES LANDERO</t>
  </si>
  <si>
    <t>OLIVARES</t>
  </si>
  <si>
    <t>LANDERO</t>
  </si>
  <si>
    <t>ALONSO RUBÉN</t>
  </si>
  <si>
    <t>ANTONIA ARACELI FUENTES FABRES</t>
  </si>
  <si>
    <t>FABRES</t>
  </si>
  <si>
    <t>ANTONIA ARACELI</t>
  </si>
  <si>
    <t>MATÍAS JESÚS BASTÍAS MAMANI</t>
  </si>
  <si>
    <t>BASTÍAS</t>
  </si>
  <si>
    <t>MAMANI</t>
  </si>
  <si>
    <t>MATÍAS JESÚS</t>
  </si>
  <si>
    <t>GABRIEL IGNACIO SAAVEDRA VILLALOBOS</t>
  </si>
  <si>
    <t>SAAVEDRA</t>
  </si>
  <si>
    <t>VILLALOBOS</t>
  </si>
  <si>
    <t>GABRIEL IGNACIO</t>
  </si>
  <si>
    <t>ROMINA MELISSA CERDA VIDAL</t>
  </si>
  <si>
    <t>CERDA</t>
  </si>
  <si>
    <t>VIDAL</t>
  </si>
  <si>
    <t>ROMINA MELISSA</t>
  </si>
  <si>
    <t>RICARDO ANDRÉS CÁCERES SALAZAR</t>
  </si>
  <si>
    <t>CÁCERES</t>
  </si>
  <si>
    <t>SALAZAR</t>
  </si>
  <si>
    <t>RICARDO ANDRÉS</t>
  </si>
  <si>
    <t>VICENTE IGNACIO OLGUÍN SEPÚLVEDA</t>
  </si>
  <si>
    <t>OLGUÍN</t>
  </si>
  <si>
    <t>SEPÚLVEDA</t>
  </si>
  <si>
    <t>VICENTE IGNACIO</t>
  </si>
  <si>
    <t>NALLELY KRISNA ARANDA ALVARADO</t>
  </si>
  <si>
    <t>ARANDA</t>
  </si>
  <si>
    <t>ALVARADO</t>
  </si>
  <si>
    <t>NALLELY KRISNA</t>
  </si>
  <si>
    <t>KAREN TAMARA OPAZO BLAS</t>
  </si>
  <si>
    <t>OPAZO</t>
  </si>
  <si>
    <t>BLAS</t>
  </si>
  <si>
    <t>KAREN TAMARA</t>
  </si>
  <si>
    <t>Retracto</t>
  </si>
  <si>
    <t>ISADORA IGNACIA RAMSAY GARCÍA</t>
  </si>
  <si>
    <t>RAMSAY</t>
  </si>
  <si>
    <t>GARCÍA</t>
  </si>
  <si>
    <t>ISADORA IGNACIA</t>
  </si>
  <si>
    <t>ISADORA ELISA RODRÍGUEZ VILLARROEL</t>
  </si>
  <si>
    <t>RODRÍGUEZ</t>
  </si>
  <si>
    <t>VILLARROEL</t>
  </si>
  <si>
    <t>ISADORA ELISA</t>
  </si>
  <si>
    <t>CRISTIAN ELISEO CORREA RAMÍREZ</t>
  </si>
  <si>
    <t>CRISTIAN ELISEO</t>
  </si>
  <si>
    <t>FRANCISCA RAVEST TROPA</t>
  </si>
  <si>
    <t>RAVEST</t>
  </si>
  <si>
    <t>TROPA</t>
  </si>
  <si>
    <t>FRANCISCA</t>
  </si>
  <si>
    <t>TRINIDAD LARENAS PARADA</t>
  </si>
  <si>
    <t>LARENAS</t>
  </si>
  <si>
    <t>PARADA</t>
  </si>
  <si>
    <t>TRINIDAD</t>
  </si>
  <si>
    <t>JAEL ANTONIA FUENTES DÍAZ</t>
  </si>
  <si>
    <t>DÍAZ</t>
  </si>
  <si>
    <t>JAEL ANTONIA</t>
  </si>
  <si>
    <t>CARLOS ENRIQUE CUEVAS RAYO</t>
  </si>
  <si>
    <t>CUEVAS</t>
  </si>
  <si>
    <t>RAYO</t>
  </si>
  <si>
    <t>CARLOS ENRIQUE</t>
  </si>
  <si>
    <t>CONSTANZA JESÚS ALBURQUENQUE BELLO</t>
  </si>
  <si>
    <t>ALBURQUENQUE</t>
  </si>
  <si>
    <t>BELLO</t>
  </si>
  <si>
    <t>CONSTANZA JESÚS</t>
  </si>
  <si>
    <t>NICOLÁS AZAEL JARY POBLETE FLORES</t>
  </si>
  <si>
    <t>POBLETE</t>
  </si>
  <si>
    <t>FLORES</t>
  </si>
  <si>
    <t>NICOLÁS AZAEL JARY</t>
  </si>
  <si>
    <t>JOAQUÍN ALEJANDRO INOSTROZA RECABAL</t>
  </si>
  <si>
    <t>INOSTROZA</t>
  </si>
  <si>
    <t>RECABAL</t>
  </si>
  <si>
    <t>JOAQUÍN ALEJANDRO</t>
  </si>
  <si>
    <t>BENJAMÍN IGNACIO GÁLVEZ ESPINOZA</t>
  </si>
  <si>
    <t>GÁLVEZ</t>
  </si>
  <si>
    <t>ESPINOZA</t>
  </si>
  <si>
    <t>BENJAMÍN IGNACIO</t>
  </si>
  <si>
    <t>MANUEL ANTONIO PINTO CABEZAS</t>
  </si>
  <si>
    <t>PINTO</t>
  </si>
  <si>
    <t>CABEZAS</t>
  </si>
  <si>
    <t>MANUEL ANTONIO</t>
  </si>
  <si>
    <t>ANTONIA SOFÍA TOLEDO RODRÍGUEZ</t>
  </si>
  <si>
    <t>TOLEDO</t>
  </si>
  <si>
    <t>ANTONIA SOFÍA</t>
  </si>
  <si>
    <t>CATALINA ISIDORA MIRANDA SERRANO</t>
  </si>
  <si>
    <t>MIRANDA</t>
  </si>
  <si>
    <t>SERRANO</t>
  </si>
  <si>
    <t>CATALINA ISIDORA</t>
  </si>
  <si>
    <t>ENIO FABIÁN GONZÁLEZ GONZÁLEZ</t>
  </si>
  <si>
    <t>GONZÁLEZ</t>
  </si>
  <si>
    <t>ENIO FABIÁN</t>
  </si>
  <si>
    <t>ERIC ALEJANDRO SEPÚLVEDA ROA</t>
  </si>
  <si>
    <t>ROA</t>
  </si>
  <si>
    <t>ERIC ALEJANDRO</t>
  </si>
  <si>
    <t>BRYAN ALEXIS BARRA YÁÑEZ</t>
  </si>
  <si>
    <t>BARRA</t>
  </si>
  <si>
    <t>YÁÑEZ</t>
  </si>
  <si>
    <t>BRYAN ALEXIS</t>
  </si>
  <si>
    <t>FRANCISCA IGNACIA AZÓCAR GONZÁLEZ</t>
  </si>
  <si>
    <t>AZÓCAR</t>
  </si>
  <si>
    <t>FERNANDA ANTONIA HENRÍQUEZ MORENO</t>
  </si>
  <si>
    <t>HENRÍQUEZ</t>
  </si>
  <si>
    <t>FERNANDA ANTONIA</t>
  </si>
  <si>
    <t>MAXIMILIANO ANTONIO GODOY TRUJILLO</t>
  </si>
  <si>
    <t>GODOY</t>
  </si>
  <si>
    <t>TRUJILLO</t>
  </si>
  <si>
    <t>MAXIMILIANO ANTONIO</t>
  </si>
  <si>
    <t>AMPARO SOFÍA GÓMEZ CAMPUSANO</t>
  </si>
  <si>
    <t>CAMPUSANO</t>
  </si>
  <si>
    <t>AMPARO SOFÍA</t>
  </si>
  <si>
    <t>CATALINA TAIS MUÑOZ PARRA</t>
  </si>
  <si>
    <t>CATALINA TAIS</t>
  </si>
  <si>
    <t>CONAN GARAY MARAMBIO</t>
  </si>
  <si>
    <t>GARAY</t>
  </si>
  <si>
    <t>MARAMBIO</t>
  </si>
  <si>
    <t>CONAN</t>
  </si>
  <si>
    <t>AMY LILIBEL FUENTES MARTINEZ</t>
  </si>
  <si>
    <t>MARTINEZ</t>
  </si>
  <si>
    <t>AMY LILIBEL</t>
  </si>
  <si>
    <t>CARLA CONSTANZA HERNÁNDEZ GUTIÉRREZ</t>
  </si>
  <si>
    <t>GUTIÉRREZ</t>
  </si>
  <si>
    <t>CARLA CONSTANZA</t>
  </si>
  <si>
    <t>CATALINA LUISA MARCHANT SANTIS</t>
  </si>
  <si>
    <t>MARCHANT</t>
  </si>
  <si>
    <t>SANTIS</t>
  </si>
  <si>
    <t>CATALINA LUISA</t>
  </si>
  <si>
    <t>ALFONSO VICENTE ESPINOZA MONTALVA</t>
  </si>
  <si>
    <t>MONTALVA</t>
  </si>
  <si>
    <t>ALFONSO VICENTE</t>
  </si>
  <si>
    <t>VICENTE ANDRÉS ALARCÓN ROSENBLATT</t>
  </si>
  <si>
    <t>ALARCÓN</t>
  </si>
  <si>
    <t>ROSENBLATT</t>
  </si>
  <si>
    <t>VICENTE ANDRÉS</t>
  </si>
  <si>
    <t>JAVIERA ALEJANDRA PEÑA PALAVICINO</t>
  </si>
  <si>
    <t>PEÑA</t>
  </si>
  <si>
    <t>PALAVICINO</t>
  </si>
  <si>
    <t>JAVIERA ALEJANDRA</t>
  </si>
  <si>
    <t>KARLA ANDREA MONTECINOS ROJAS</t>
  </si>
  <si>
    <t>MONTECINOS</t>
  </si>
  <si>
    <t>KARLA ANDREA</t>
  </si>
  <si>
    <t>TRINIDAD BRAVO AGUIAR</t>
  </si>
  <si>
    <t>AGUIAR</t>
  </si>
  <si>
    <t>JAMES ELOY DÍAZ SALGADO</t>
  </si>
  <si>
    <t>SALGADO</t>
  </si>
  <si>
    <t>JAMES ELOY</t>
  </si>
  <si>
    <t>VINKA YANARA ROJAS PETRINOVICH</t>
  </si>
  <si>
    <t>PETRINOVICH</t>
  </si>
  <si>
    <t>VINKA YANARA</t>
  </si>
  <si>
    <t>SOFÍA ISIDORA DURAND CABELLO</t>
  </si>
  <si>
    <t>DURAND</t>
  </si>
  <si>
    <t>CABELLO</t>
  </si>
  <si>
    <t>SOFÍA ISIDORA</t>
  </si>
  <si>
    <t>EDUARDO ANDRÉS REYES VARGAS</t>
  </si>
  <si>
    <t>VARGAS</t>
  </si>
  <si>
    <t>EDUARDO ANDRÉS</t>
  </si>
  <si>
    <t>SANTIAGO JOSEMIGUEL AGUIRRE PARRA</t>
  </si>
  <si>
    <t>AGUIRRE</t>
  </si>
  <si>
    <t>SANTIAGO JOSEMIGUEL</t>
  </si>
  <si>
    <t>CATALINA FERNANDA CARRERA LAGOS</t>
  </si>
  <si>
    <t>CARRERA</t>
  </si>
  <si>
    <t>LAGOS</t>
  </si>
  <si>
    <t>CATALINA FERNANDA</t>
  </si>
  <si>
    <t>MARTÍN OMAR PÉREZ GONZÁLEZ</t>
  </si>
  <si>
    <t>PÉREZ</t>
  </si>
  <si>
    <t>MARTÍN OMAR</t>
  </si>
  <si>
    <t>NICOLE ANAÍS URRUTIA MELIQUEO</t>
  </si>
  <si>
    <t>URRUTIA</t>
  </si>
  <si>
    <t>MELIQUEO</t>
  </si>
  <si>
    <t>NICOLE ANAÍS</t>
  </si>
  <si>
    <t>EMILIA CONSTANZA MORA PAVEZ</t>
  </si>
  <si>
    <t>MORA</t>
  </si>
  <si>
    <t>PAVEZ</t>
  </si>
  <si>
    <t>EMILIA CONSTANZA</t>
  </si>
  <si>
    <t>LIHAM VANESSA SANDOVAL ARTIGAS</t>
  </si>
  <si>
    <t>SANDOVAL</t>
  </si>
  <si>
    <t>ARTIGAS</t>
  </si>
  <si>
    <t>LIHAM VANESSA</t>
  </si>
  <si>
    <t>BENJAMIN ANDRES ARAVENA VEGA</t>
  </si>
  <si>
    <t>ARAVENA</t>
  </si>
  <si>
    <t>BENJAMIN ANDRES</t>
  </si>
  <si>
    <t>PALOMA IGNACIA MOSQUERA VALDÉS</t>
  </si>
  <si>
    <t>MOSQUERA</t>
  </si>
  <si>
    <t>VALDÉS</t>
  </si>
  <si>
    <t>PALOMA IGNACIA</t>
  </si>
  <si>
    <t>MARTÍN ANDREI ÁLVAREZ ORTEGA</t>
  </si>
  <si>
    <t>ÁLVAREZ</t>
  </si>
  <si>
    <t>ORTEGA</t>
  </si>
  <si>
    <t>MARTÍN ANDREI</t>
  </si>
  <si>
    <t>BRUNO ENRIQUE CANESSA SEPÚLVEDA</t>
  </si>
  <si>
    <t>CANESSA</t>
  </si>
  <si>
    <t>BRUNO ENRIQUE</t>
  </si>
  <si>
    <t>BELÉN DE LOS ANGELES HERRERA TRONCOSO</t>
  </si>
  <si>
    <t>HERRERA</t>
  </si>
  <si>
    <t>TRONCOSO</t>
  </si>
  <si>
    <t>BELÉN DE LOS ANGELES</t>
  </si>
  <si>
    <t>JOAQUÍN ALONSO YÁÑEZ VÁSQUEZ</t>
  </si>
  <si>
    <t>VÁSQUEZ</t>
  </si>
  <si>
    <t>JOAQUÍN ALONSO</t>
  </si>
  <si>
    <t>CAMILO ALEJANDRO RAMÍREZ RUBILAR</t>
  </si>
  <si>
    <t>RUBILAR</t>
  </si>
  <si>
    <t>CAMILO ALEJANDRO</t>
  </si>
  <si>
    <t>XIMENA AMADA VALDIVIA VEGA</t>
  </si>
  <si>
    <t>VALDIVIA</t>
  </si>
  <si>
    <t>XIMENA AMADA</t>
  </si>
  <si>
    <t>JESÚS AMARO TORO DURÁN</t>
  </si>
  <si>
    <t>TORO</t>
  </si>
  <si>
    <t>JESÚS AMARO</t>
  </si>
  <si>
    <t>OMAR BENJAMÍN CASTILLO MONTERO</t>
  </si>
  <si>
    <t>CASTILLO</t>
  </si>
  <si>
    <t>MONTERO</t>
  </si>
  <si>
    <t>OMAR BENJAMÍN</t>
  </si>
  <si>
    <t>FRANCISCO JAVIER CÁRDENAS URETA</t>
  </si>
  <si>
    <t>CÁRDENAS</t>
  </si>
  <si>
    <t>URETA</t>
  </si>
  <si>
    <t>FRANCISCO JAVIER</t>
  </si>
  <si>
    <t>PAULA BELÉN ÁLVAREZ GARCÍA</t>
  </si>
  <si>
    <t>PAULA BELÉN</t>
  </si>
  <si>
    <t>BASTIÁN ISAÍAS DÍAZ GAMBOA</t>
  </si>
  <si>
    <t>GAMBOA</t>
  </si>
  <si>
    <t>BASTIÁN ISAÍAS</t>
  </si>
  <si>
    <t>LILIAN  JUDITH VILCHES SALAZAR</t>
  </si>
  <si>
    <t>VILCHES</t>
  </si>
  <si>
    <t>LILIAN  JUDITH</t>
  </si>
  <si>
    <t>FRANCISCO JAVIER CONRADO CARRIZO AGUIRRE</t>
  </si>
  <si>
    <t>CARRIZO</t>
  </si>
  <si>
    <t>FRANCISCO JAVIER CONRADO</t>
  </si>
  <si>
    <t>JAIRO ANDRES URBINA SANDOVAL</t>
  </si>
  <si>
    <t>URBINA</t>
  </si>
  <si>
    <t>JAIRO ANDRES</t>
  </si>
  <si>
    <t>DANIEL ALBERTO MARTÍNEZ MORGADO</t>
  </si>
  <si>
    <t>DANIEL ALBERTO</t>
  </si>
  <si>
    <t>CONSTANZA TAMARA ROJAS QUIROGA</t>
  </si>
  <si>
    <t>QUIROGA</t>
  </si>
  <si>
    <t>CONSTANZA TAMARA</t>
  </si>
  <si>
    <t>HARELI ALEJANDRA ESPARZA MOLINA</t>
  </si>
  <si>
    <t>ESPARZA</t>
  </si>
  <si>
    <t>MOLINA</t>
  </si>
  <si>
    <t>HARELI ALEJANDRA</t>
  </si>
  <si>
    <t>DANIELA CONSTANZA SÁNCHEZ RODRÍGUEZ</t>
  </si>
  <si>
    <t>SÁNCHEZ</t>
  </si>
  <si>
    <t>DANIELA CONSTANZA</t>
  </si>
  <si>
    <t>TOMÁS MANASÉS ELIEZER ÁLVAREZ LUNA</t>
  </si>
  <si>
    <t>LUNA</t>
  </si>
  <si>
    <t>TOMÁS MANASÉS ELIEZER</t>
  </si>
  <si>
    <t>CONSTANZA ALMENDRA CRESPO ULLOA</t>
  </si>
  <si>
    <t>CRESPO</t>
  </si>
  <si>
    <t>ULLOA</t>
  </si>
  <si>
    <t>CONSTANZA ALMENDRA</t>
  </si>
  <si>
    <t>FERNANDA JOSEFA MARÍN ALISTE</t>
  </si>
  <si>
    <t>MARÍN</t>
  </si>
  <si>
    <t>ALISTE</t>
  </si>
  <si>
    <t>FERNANDA JOSEFA</t>
  </si>
  <si>
    <t>CAMILA ANTONIA ROMERO ESQUIVEL</t>
  </si>
  <si>
    <t>ROMERO</t>
  </si>
  <si>
    <t>ESQUIVEL</t>
  </si>
  <si>
    <t>CAMILA ANTONIA</t>
  </si>
  <si>
    <t>SERGIO YURI ESCUDERO REYES</t>
  </si>
  <si>
    <t>ESCUDERO</t>
  </si>
  <si>
    <t>SERGIO YURI</t>
  </si>
  <si>
    <t>CONSTANZA POLETT SEPÚLVEDA VERA</t>
  </si>
  <si>
    <t>CONSTANZA POLETT</t>
  </si>
  <si>
    <t>NICOLÁS ANDRÉS DÍAZ TORO</t>
  </si>
  <si>
    <t>NICOLÁS ANDRÉS</t>
  </si>
  <si>
    <t>FREDDERICK UNDOMIEL VÁSQUEZ PETRONE</t>
  </si>
  <si>
    <t>PETRONE</t>
  </si>
  <si>
    <t>FREDDERICK UNDOMIEL</t>
  </si>
  <si>
    <t>CONSTANZA FERNANDA DÍAZ AGUAYO</t>
  </si>
  <si>
    <t>AGUAYO</t>
  </si>
  <si>
    <t>CONSTANZA FERNANDA</t>
  </si>
  <si>
    <t>No habilitado-renuncia</t>
  </si>
  <si>
    <t>FERNANDA ANDREA SALAZAR GUZMÁN</t>
  </si>
  <si>
    <t>GUZMÁN</t>
  </si>
  <si>
    <t>FERNANDA ANDREA</t>
  </si>
  <si>
    <t>CATALINA PAZ MANCILLA PÉREZ</t>
  </si>
  <si>
    <t>MANCILLA</t>
  </si>
  <si>
    <t>CATALINA PAZ</t>
  </si>
  <si>
    <t>AGUSTINA REBECA GARCÍA ABARCA</t>
  </si>
  <si>
    <t>ABARCA</t>
  </si>
  <si>
    <t>AGUSTINA REBECA</t>
  </si>
  <si>
    <t>MATÍAS FRANCISCO PÉREZ BALBOA</t>
  </si>
  <si>
    <t>BALBOA</t>
  </si>
  <si>
    <t>MATÍAS FRANCISCO</t>
  </si>
  <si>
    <t>FERNANDA VALENTINA PINOCHET IBARRA</t>
  </si>
  <si>
    <t>PINOCHET</t>
  </si>
  <si>
    <t>IBARRA</t>
  </si>
  <si>
    <t>FERNANDA VALENTINA</t>
  </si>
  <si>
    <t>ARACELY VIVIANA MEDINA ROA</t>
  </si>
  <si>
    <t>MEDINA</t>
  </si>
  <si>
    <t>ARACELY VIVIANA</t>
  </si>
  <si>
    <t>BENJAMÍN RODRIGO BECERRA ORELLANA</t>
  </si>
  <si>
    <t>BECERRA</t>
  </si>
  <si>
    <t>ORELLANA</t>
  </si>
  <si>
    <t>BENJAMÍN RODRIGO</t>
  </si>
  <si>
    <t>FERNANDA BELÉN ESPINA ESPINA</t>
  </si>
  <si>
    <t>ESPINA</t>
  </si>
  <si>
    <t>FERNANDA BELÉN</t>
  </si>
  <si>
    <t>HEATHER ALEXIA SURANYI PROSCHLE</t>
  </si>
  <si>
    <t>SURANYI</t>
  </si>
  <si>
    <t>PROSCHLE</t>
  </si>
  <si>
    <t>HEATHER ALEXIA</t>
  </si>
  <si>
    <t>SEBASTIÁN ALEJANDRO GONZÁLEZ SILVA</t>
  </si>
  <si>
    <t>SILVA</t>
  </si>
  <si>
    <t>SEBASTIÁN ALEJANDRO</t>
  </si>
  <si>
    <t>PATRICIA ANTONIA CARRASCO TORO</t>
  </si>
  <si>
    <t>PATRICIA ANTONIA</t>
  </si>
  <si>
    <t>NICOLAS AGUSTIN MARTINEZ VALLADARES</t>
  </si>
  <si>
    <t>VALLADARES</t>
  </si>
  <si>
    <t>NICOLAS AGUSTIN</t>
  </si>
  <si>
    <t>MANUEL ESTEBAN GUTIÉRREZ PINTO</t>
  </si>
  <si>
    <t>MANUEL ESTEBAN</t>
  </si>
  <si>
    <t>MATILDA LUZ ESCANILLA CONCHA</t>
  </si>
  <si>
    <t>ESCANILLA</t>
  </si>
  <si>
    <t>CONCHA</t>
  </si>
  <si>
    <t>MATILDA LUZ</t>
  </si>
  <si>
    <t>ISIDORA IGNACIA LOBOS ZELADA</t>
  </si>
  <si>
    <t>LOBOS</t>
  </si>
  <si>
    <t>ZELADA</t>
  </si>
  <si>
    <t>ISIDORA IGNACIA</t>
  </si>
  <si>
    <t>DANIELA ISABEL FUENZALIDA PINO</t>
  </si>
  <si>
    <t>FUENZALIDA</t>
  </si>
  <si>
    <t>PINO</t>
  </si>
  <si>
    <t>DANIELA ISABEL</t>
  </si>
  <si>
    <t>MARTINA IGNACIA AGURTO CANCINO</t>
  </si>
  <si>
    <t>AGURTO</t>
  </si>
  <si>
    <t>CANCINO</t>
  </si>
  <si>
    <t>MARTINA IGNACIA</t>
  </si>
  <si>
    <t>MATÍAS BENJAMÍN MIRANDA WENDE</t>
  </si>
  <si>
    <t>WENDE</t>
  </si>
  <si>
    <t>MATÍAS BENJAMÍN</t>
  </si>
  <si>
    <t>MARYGNACIA SOULYN DÍAZ SANHUEZA</t>
  </si>
  <si>
    <t>SANHUEZA</t>
  </si>
  <si>
    <t>MARYGNACIA SOULYN</t>
  </si>
  <si>
    <t>PÍA IGNACIA RAQUEL COFRÉ RAMÍREZ</t>
  </si>
  <si>
    <t>COFRÉ</t>
  </si>
  <si>
    <t>PÍA IGNACIA RAQUEL</t>
  </si>
  <si>
    <t>JUAN EDUARDO PINO BASTÍAS</t>
  </si>
  <si>
    <t>JUAN EDUARDO</t>
  </si>
  <si>
    <t>FLORENCIA ISABEL HERNÁNDEZ MORA</t>
  </si>
  <si>
    <t>FLORENCIA ISABEL</t>
  </si>
  <si>
    <t>GABRIEL AGUSTÍN TAPIA OJEDA</t>
  </si>
  <si>
    <t>OJEDA</t>
  </si>
  <si>
    <t>GABRIEL AGUSTÍN</t>
  </si>
  <si>
    <t>PAULETTE DEL PILAR MONSALVE JOFRÉ</t>
  </si>
  <si>
    <t>MONSALVE</t>
  </si>
  <si>
    <t>JOFRÉ</t>
  </si>
  <si>
    <t>PAULETTE DEL PILAR</t>
  </si>
  <si>
    <t>FRANCISCA ANDREA PINO CASTILLO</t>
  </si>
  <si>
    <t>FRANCISCA ANDREA</t>
  </si>
  <si>
    <t>MARTINA RENATA MARCHELLI PENJEAN</t>
  </si>
  <si>
    <t>MARCHELLI</t>
  </si>
  <si>
    <t>PENJEAN</t>
  </si>
  <si>
    <t>MARTINA RENATA</t>
  </si>
  <si>
    <t>MAXIMILIANO ANDRÉS RODRÍGUEZ VIDAL</t>
  </si>
  <si>
    <t>MAXIMILIANO ANDRÉS</t>
  </si>
  <si>
    <t>MÍLEN MONTALVÁN PÉREZ</t>
  </si>
  <si>
    <t>MONTALVÁN</t>
  </si>
  <si>
    <t>MÍLEN</t>
  </si>
  <si>
    <t>JAVIERA ANTONIA VÉLIZ MÉNDEZ</t>
  </si>
  <si>
    <t>VÉLIZ</t>
  </si>
  <si>
    <t>MÉNDEZ</t>
  </si>
  <si>
    <t>JAVIERA ANTONIA</t>
  </si>
  <si>
    <t>CATALINA IGNACIA BRAVO PEÑALOZA</t>
  </si>
  <si>
    <t>PEÑALOZA</t>
  </si>
  <si>
    <t>CATALINA IGNACIA</t>
  </si>
  <si>
    <t>RENATO JAVIER ANABALÓN ALBORNOZ</t>
  </si>
  <si>
    <t>ANABALÓN</t>
  </si>
  <si>
    <t>ALBORNOZ</t>
  </si>
  <si>
    <t>RENATO JAVIER</t>
  </si>
  <si>
    <t>JOSÉ FRANCISCO GUILLERMO MORALES CARREAZO</t>
  </si>
  <si>
    <t>CARREAZO</t>
  </si>
  <si>
    <t>JOSÉ FRANCISCO GUILLERMO</t>
  </si>
  <si>
    <t>CONSTANZA ANAÍS GUTIÉRREZ LAGOS</t>
  </si>
  <si>
    <t>CONSTANZA ANAÍS</t>
  </si>
  <si>
    <t>VALENTINA PAZ GONZÁLEZ CAÑAS</t>
  </si>
  <si>
    <t>CAÑAS</t>
  </si>
  <si>
    <t>VALENTINA PAZ</t>
  </si>
  <si>
    <t>VALENTINA ANTONIA SAAVEDRA CORTÉS</t>
  </si>
  <si>
    <t>CORTÉS</t>
  </si>
  <si>
    <t>VALENTINA ANTONIA</t>
  </si>
  <si>
    <t>DANIELA IVETTE ALIAGA FERRADA</t>
  </si>
  <si>
    <t>ALIAGA</t>
  </si>
  <si>
    <t>FERRADA</t>
  </si>
  <si>
    <t>DANIELA IVETTE</t>
  </si>
  <si>
    <t>GRACE CATALINA ORELLANA CASTRO</t>
  </si>
  <si>
    <t>CASTRO</t>
  </si>
  <si>
    <t>GRACE CATALINA</t>
  </si>
  <si>
    <t>JAVIERA CATALINA VALENZUELA MENDOZA</t>
  </si>
  <si>
    <t>VALENZUELA</t>
  </si>
  <si>
    <t>MENDOZA</t>
  </si>
  <si>
    <t>JAVIERA CATALINA</t>
  </si>
  <si>
    <t>HYELENNA ANNAIS CARRASCO SEPÚLVEDA</t>
  </si>
  <si>
    <t>HYELENNA ANNAIS</t>
  </si>
  <si>
    <t>VALENTINA IGNACIA CÁCERES LORCA</t>
  </si>
  <si>
    <t>LORCA</t>
  </si>
  <si>
    <t>VALENTINA IGNACIA</t>
  </si>
  <si>
    <t>BELÉN ALMENDRA ROJAS INOSTROZA</t>
  </si>
  <si>
    <t>BELÉN ALMENDRA</t>
  </si>
  <si>
    <t>IGNACIO YASSER LARACH BERRÍOS</t>
  </si>
  <si>
    <t>LARACH</t>
  </si>
  <si>
    <t>BERRÍOS</t>
  </si>
  <si>
    <t>IGNACIO YASSER</t>
  </si>
  <si>
    <t>TRINIDAD FERNANDA ORTIZ MORENO</t>
  </si>
  <si>
    <t>ORTIZ</t>
  </si>
  <si>
    <t>TRINIDAD FERNANDA</t>
  </si>
  <si>
    <t>VANIA OLGA ROBLES MUÑOZ</t>
  </si>
  <si>
    <t>ROBLES</t>
  </si>
  <si>
    <t>VANIA OLGA</t>
  </si>
  <si>
    <t>GUSTAVO MIRANDA PEÑA</t>
  </si>
  <si>
    <t>GUSTAVO</t>
  </si>
  <si>
    <t>MATÍAS RODRIGO QUIRILAO SOTO</t>
  </si>
  <si>
    <t>QUIRILAO</t>
  </si>
  <si>
    <t>SOTO</t>
  </si>
  <si>
    <t>MATÍAS RODRIGO</t>
  </si>
  <si>
    <t>CATALINA TRINIDAD POLANCO ÁLVAREZ</t>
  </si>
  <si>
    <t>POLANCO</t>
  </si>
  <si>
    <t>CATALINA TRINIDAD</t>
  </si>
  <si>
    <t>GUILLERMO BENJAMÍN DONOSO QUIROGA</t>
  </si>
  <si>
    <t>DONOSO</t>
  </si>
  <si>
    <t>GUILLERMO BENJAMÍN</t>
  </si>
  <si>
    <t>FERNANDA URRUTIA URRUTIA BAHAMONDES</t>
  </si>
  <si>
    <t>BAHAMONDES</t>
  </si>
  <si>
    <t>FERNANDA URRUTIA</t>
  </si>
  <si>
    <t>JAVIERA VALENTINA CONSTANZA CASTRO CARVAJAL</t>
  </si>
  <si>
    <t>CARVAJAL</t>
  </si>
  <si>
    <t>JAVIERA VALENTINA CONSTANZA</t>
  </si>
  <si>
    <t>CONSTANZA TRINIDAD CEA FARIAS</t>
  </si>
  <si>
    <t>CEA</t>
  </si>
  <si>
    <t>FARIAS</t>
  </si>
  <si>
    <t>CONSTANZA TRINIDAD</t>
  </si>
  <si>
    <t>LUCIANO ALONZO PONCE MOLINA</t>
  </si>
  <si>
    <t>PONCE</t>
  </si>
  <si>
    <t>LUCIANO ALONZO</t>
  </si>
  <si>
    <t>MATÍAS RODRIGO JORQUERA VILLAGRA</t>
  </si>
  <si>
    <t>JORQUERA</t>
  </si>
  <si>
    <t>VILLAGRA</t>
  </si>
  <si>
    <t>RAFAEL ALEXANDER DUQUE VARGAS</t>
  </si>
  <si>
    <t>DUQUE</t>
  </si>
  <si>
    <t>RAFAEL ALEXANDER</t>
  </si>
  <si>
    <t>JAVIERA OLIVIA DURÁN MOLINA</t>
  </si>
  <si>
    <t>JAVIERA OLIVIA</t>
  </si>
  <si>
    <t>JAVIER IGNACIO MENDIETA GUTIÉRREZ</t>
  </si>
  <si>
    <t>MENDIETA</t>
  </si>
  <si>
    <t>JAVIER IGNACIO</t>
  </si>
  <si>
    <t>JORGE ALBERTO PEZOA RIVEROS</t>
  </si>
  <si>
    <t>RIVEROS</t>
  </si>
  <si>
    <t>JORGE ALBERTO</t>
  </si>
  <si>
    <t>DANIEL ANÍBAL MARTÍN VILCHES MARTÍNEZ</t>
  </si>
  <si>
    <t>DANIEL ANÍBAL MARTÍN</t>
  </si>
  <si>
    <t>DANAE ANAÍS NAVARRETE ESPINOZA</t>
  </si>
  <si>
    <t>NAVARRETE</t>
  </si>
  <si>
    <t>DANAE ANAÍS</t>
  </si>
  <si>
    <t>LUCAS VALENTÍN ESCOBAR MEÑIQUE</t>
  </si>
  <si>
    <t>MEÑIQUE</t>
  </si>
  <si>
    <t>LUCAS VALENTÍN</t>
  </si>
  <si>
    <t>CONSTANZA ESTER ÁVILA DÍAZ</t>
  </si>
  <si>
    <t>ÁVILA</t>
  </si>
  <si>
    <t>CONSTANZA ESTER</t>
  </si>
  <si>
    <t>GUSTAVO EXEQUIEL MUÑOZ MONTECINOS</t>
  </si>
  <si>
    <t>GUSTAVO EXEQUIEL</t>
  </si>
  <si>
    <t>ENIGUER MILLARAY ESPINOZA ESPÍNDOLA</t>
  </si>
  <si>
    <t>ESPÍNDOLA</t>
  </si>
  <si>
    <t>ENIGUER MILLARAY</t>
  </si>
  <si>
    <t>IVAN MAXIMILIANO MALDONADO PAVEZ</t>
  </si>
  <si>
    <t>IVAN MAXIMILIANO</t>
  </si>
  <si>
    <t>VICENTE ESTEBAN GÁLVEZ CÓRDOVA</t>
  </si>
  <si>
    <t>CÓRDOVA</t>
  </si>
  <si>
    <t>VICENTE ESTEBAN</t>
  </si>
  <si>
    <t>VALENTINA SOFÍA CASTRO ÁLVAREZ</t>
  </si>
  <si>
    <t>VALENTINA SOFÍA</t>
  </si>
  <si>
    <t>CAMILA ANDREA ARÉVALO QUIROZ</t>
  </si>
  <si>
    <t>ARÉVALO</t>
  </si>
  <si>
    <t>QUIROZ</t>
  </si>
  <si>
    <t>CAMILA ANDREA</t>
  </si>
  <si>
    <t>NICOLÁS ALEXANDER VILLALOBOS ANCAMÁN</t>
  </si>
  <si>
    <t>ANCAMÁN</t>
  </si>
  <si>
    <t>NICOLÁS ALEXANDER</t>
  </si>
  <si>
    <t>CONSTANZA DENNISE SILVA MAUNA</t>
  </si>
  <si>
    <t>MAUNA</t>
  </si>
  <si>
    <t>CONSTANZA DENNISE</t>
  </si>
  <si>
    <t>CATALINA ANTONIA CARREÑO TAPIA</t>
  </si>
  <si>
    <t>CARREÑO</t>
  </si>
  <si>
    <t>CATALINA ANTONIA</t>
  </si>
  <si>
    <t>VICENTE IGNACIO CANALES GAMBOA</t>
  </si>
  <si>
    <t>CANALES</t>
  </si>
  <si>
    <t>EDUARDO JACINTO MATAMOROS ROJAS</t>
  </si>
  <si>
    <t>MATAMOROS</t>
  </si>
  <si>
    <t>EDUARDO JACINTO</t>
  </si>
  <si>
    <t>PABLO ARTURO MARCO CARIAGA ROMERO</t>
  </si>
  <si>
    <t>CARIAGA</t>
  </si>
  <si>
    <t>PABLO ARTURO MARCO</t>
  </si>
  <si>
    <t>BENJAMÍN LUCAS TOLEDO PIZARRO</t>
  </si>
  <si>
    <t>PIZARRO</t>
  </si>
  <si>
    <t>BENJAMÍN LUCAS</t>
  </si>
  <si>
    <t>ESTEPHANIE ALEXANDRA IBAÑEZ AMACIFUEN</t>
  </si>
  <si>
    <t>IBAÑEZ</t>
  </si>
  <si>
    <t>AMACIFUEN</t>
  </si>
  <si>
    <t>ESTEPHANIE ALEXANDRA</t>
  </si>
  <si>
    <t>FABIANNA ISABELLA BARRA ROMERO</t>
  </si>
  <si>
    <t>FABIANNA ISABELLA</t>
  </si>
  <si>
    <t>PAOLA ELIZABETH CANELON PAREDES</t>
  </si>
  <si>
    <t>CANELON</t>
  </si>
  <si>
    <t>PAREDES</t>
  </si>
  <si>
    <t>PAOLA ELIZABETH</t>
  </si>
  <si>
    <t>NAYA JAMILETH ROSALES HURTADO</t>
  </si>
  <si>
    <t>ROSALES</t>
  </si>
  <si>
    <t>HURTADO</t>
  </si>
  <si>
    <t>NAYA JAMILETH</t>
  </si>
  <si>
    <t>ANDREA MILAGRO VIVANCO CHUMACERO</t>
  </si>
  <si>
    <t>VIVANCO</t>
  </si>
  <si>
    <t>CHUMACERO</t>
  </si>
  <si>
    <t>ANDREA MILAGRO</t>
  </si>
  <si>
    <t>DAPHNE ACQUARELLA MONTILLA ALVARADO</t>
  </si>
  <si>
    <t>MONTILLA</t>
  </si>
  <si>
    <t>DAPHNE ACQUARELLA</t>
  </si>
  <si>
    <t>Pascale Aqueveque Labra</t>
  </si>
  <si>
    <t>Aqueveque</t>
  </si>
  <si>
    <t>Labra</t>
  </si>
  <si>
    <t>Pascale</t>
  </si>
  <si>
    <t>Ps-Conducencia Bachillerato</t>
  </si>
  <si>
    <t>Maximiliano Arenas Donoso</t>
  </si>
  <si>
    <t>Arenas</t>
  </si>
  <si>
    <t>Donoso</t>
  </si>
  <si>
    <t>Maximiliano</t>
  </si>
  <si>
    <t>MACARENA ALEMNDRA BARROS CANALES</t>
  </si>
  <si>
    <t>BARROS</t>
  </si>
  <si>
    <t>MACARENA ALEMNDRA</t>
  </si>
  <si>
    <t>Anahí Berríos Infantas</t>
  </si>
  <si>
    <t>Berríos</t>
  </si>
  <si>
    <t>Infantas</t>
  </si>
  <si>
    <t>Anahí</t>
  </si>
  <si>
    <t>k</t>
  </si>
  <si>
    <t>Estefanía Burgos Rojas</t>
  </si>
  <si>
    <t>Burgos</t>
  </si>
  <si>
    <t>Rojas</t>
  </si>
  <si>
    <t>Estefanía</t>
  </si>
  <si>
    <t>Jocelyn Chacón Letelier</t>
  </si>
  <si>
    <t>Chacón</t>
  </si>
  <si>
    <t>Letelier</t>
  </si>
  <si>
    <t>Jocelyn</t>
  </si>
  <si>
    <t>Florencia Cifuentes Ahumada</t>
  </si>
  <si>
    <t>Cifuentes</t>
  </si>
  <si>
    <t>Ahumada</t>
  </si>
  <si>
    <t>Florencia</t>
  </si>
  <si>
    <t>María Escobar Carrasco</t>
  </si>
  <si>
    <t>Escobar</t>
  </si>
  <si>
    <t>Carrasco</t>
  </si>
  <si>
    <t>María</t>
  </si>
  <si>
    <t>Thannya Espinosa Soto</t>
  </si>
  <si>
    <t>Espinosa</t>
  </si>
  <si>
    <t>Soto</t>
  </si>
  <si>
    <t>Thannya</t>
  </si>
  <si>
    <t>Débora Ester González Silva</t>
  </si>
  <si>
    <t>González</t>
  </si>
  <si>
    <t>Silva</t>
  </si>
  <si>
    <t>Débora Ester</t>
  </si>
  <si>
    <t>Nicolás González Vidal</t>
  </si>
  <si>
    <t>Vidal</t>
  </si>
  <si>
    <t>Nicolás</t>
  </si>
  <si>
    <t>Rocío Guzmán Candia</t>
  </si>
  <si>
    <t>Guzmán</t>
  </si>
  <si>
    <t>Candia</t>
  </si>
  <si>
    <t>Rocío</t>
  </si>
  <si>
    <t>Pilar Ignacia Matamoros Sandoval</t>
  </si>
  <si>
    <t>Matamoros</t>
  </si>
  <si>
    <t>Sandoval</t>
  </si>
  <si>
    <t>Pilar Ignacia</t>
  </si>
  <si>
    <t>JAVIERA  STEFANY NÚÑEZ RIVERA</t>
  </si>
  <si>
    <t>RIVERA</t>
  </si>
  <si>
    <t>JAVIERA  STEFANY</t>
  </si>
  <si>
    <t>Paloma Parker Tobar</t>
  </si>
  <si>
    <t>Parker</t>
  </si>
  <si>
    <t>Tobar</t>
  </si>
  <si>
    <t>Paloma</t>
  </si>
  <si>
    <t>GABRIELA CONSTANZA ELENA PÉREZ MARTÍNEZ</t>
  </si>
  <si>
    <t>GABRIELA CONSTANZA ELENA</t>
  </si>
  <si>
    <t>Stefany Pineda Contreras</t>
  </si>
  <si>
    <t>Pineda</t>
  </si>
  <si>
    <t>Contreras</t>
  </si>
  <si>
    <t>Stefany</t>
  </si>
  <si>
    <t>Isidora Rojas Neyez</t>
  </si>
  <si>
    <t>Neyez</t>
  </si>
  <si>
    <t>Isidora</t>
  </si>
  <si>
    <t>JOSEFINA ANTONIA RUIZ NARANJO</t>
  </si>
  <si>
    <t>RUIZ</t>
  </si>
  <si>
    <t>NARANJO</t>
  </si>
  <si>
    <t>JOSEFINA ANTONIA</t>
  </si>
  <si>
    <t>Benjamín Schnohr Carmona</t>
  </si>
  <si>
    <t>Schnohr</t>
  </si>
  <si>
    <t>Carmona</t>
  </si>
  <si>
    <t>Benjamín</t>
  </si>
  <si>
    <t>Yavanna Vásquez Samburgo</t>
  </si>
  <si>
    <t>Vásquez</t>
  </si>
  <si>
    <t>Samburgo</t>
  </si>
  <si>
    <t>Yavanna</t>
  </si>
  <si>
    <t>DATOS COHORTE/ESTUDIANTES QUE RINDIERON</t>
  </si>
  <si>
    <t xml:space="preserve">PUNTAJE TOTAL </t>
  </si>
  <si>
    <t xml:space="preserve">CATEGORÍA RESULTADO GLOBAL </t>
  </si>
  <si>
    <t>N ESTUDIANTES HABILITADOS PARA RENDIR</t>
  </si>
  <si>
    <t>N ESTUDIANTES QUE RINDIERON</t>
  </si>
  <si>
    <t>% COBERTURA</t>
  </si>
  <si>
    <t>Estado de Habilitación para rendir</t>
  </si>
  <si>
    <t>JUSTIFICATIVO DE NO RENDICIÓN</t>
  </si>
  <si>
    <t xml:space="preserve">  Puntaje según categoría</t>
  </si>
  <si>
    <t xml:space="preserve">Rendida </t>
  </si>
  <si>
    <t>Justifica</t>
  </si>
  <si>
    <t>No justifica</t>
  </si>
  <si>
    <t>EPI pendiente periodo anterior</t>
  </si>
  <si>
    <t>Rendida no válida</t>
  </si>
  <si>
    <t>No aplica</t>
  </si>
  <si>
    <t>Expulsión</t>
  </si>
  <si>
    <t>NOMBRE DE LA FACULTAD</t>
  </si>
  <si>
    <t xml:space="preserve">NOMBRE DEL PROGRAMA ACADÉMICO </t>
  </si>
  <si>
    <r>
      <t xml:space="preserve">PLAN DE ESTUDIO </t>
    </r>
    <r>
      <rPr>
        <b/>
        <sz val="11"/>
        <color rgb="FF0070C0"/>
        <rFont val="Aptos Narrow"/>
        <family val="2"/>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</si>
  <si>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</si>
  <si>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</si>
  <si>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</si>
  <si>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</si>
  <si>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</si>
  <si>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</si>
  <si>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</si>
  <si>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</si>
  <si>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</si>
  <si>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 xml:space="preserve">Se  analizarán los resultados individuales de los estudiantes en la EPI estableciendo cruces con su rendimiento en los ramos de la Carrera. En aquellos casos en los que se detecten rendimientos deficientes o bajos en ambas fuentes de información, se evaluará la necesidad de llevar a cabo medidas de apoyo. Con esta finalidad, en función de las necesidades detectadas, se considerará el diseño e implementación de medidas que resulten pertinentes. </t>
  </si>
  <si>
    <t>- Informe de cruce de resultados EPI y rendimiento de estudiantes en actividades curriculares.
- Definición de criterios para establecer casos de estudiantes que requieran apoyo.
- En caso de ser requerido, diseño de acciones de apoyo.
- En caso de implementar acciones de apoyo, informe reportando las acciones llevadas a cabo y evaluación de la experiencia por parte de estudiantes y responsables de dichas acciones.</t>
  </si>
  <si>
    <t xml:space="preserve">II. </t>
  </si>
  <si>
    <t>MEDIANO PLAZO</t>
  </si>
  <si>
    <t xml:space="preserve">En caso de haber ejecutado acciones de apoyo en respuesta a los resultados recogidos de la EPI y al desempeño en actividades curriculares, se evaluará la pertinencia de la continuación de dicho apoyo el el 1º semestre de 2026. En caso que se considere esto necesario, se realizarán los ajustes que se considere pertinente a la estratgia de apoyo, en base a la evaluación de la experiencia realizada anteriormente.  </t>
  </si>
  <si>
    <t>- En caso que se haya desarrollado la línea de apoyos el semestre anterior, informe reportando la necesidad de mantener o no dicha línea, considerando la situación de los estudiantes de manera indivual, y también la visión de conjunto respecto de la experiencia en la implementación de esta línea. 
- En caso de que se considere necesario mantener esta línea de apoyo, diseño de la estrategia para llevarla a cabo. 
- En caso de ser pertinente, informe reportando las acciones llevadas a cabo y la evaluación de la experiencia por parte de estudiantes y responsables de dichas acciones.</t>
  </si>
  <si>
    <t xml:space="preserve">III. </t>
  </si>
  <si>
    <t>LARGO PLAZO</t>
  </si>
  <si>
    <t xml:space="preserve">No se consideran por el momento acciones estables o de largo plazo asociadas a los resultados obtenidos de esta evaluación. Esto se debe a que se trata de la última aplicación de la EPI realizada en base al Plan Curricular 2014. Se considera que la proyección de acciones de largo plazo debe estar asociada a los desafíos que emerjan de la implementación del nuevo plan curricular (Plan 2024), y a los resultados formativos que se obtengan de dicha implementación. </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</si>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</sst>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2"/>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u/>
      <sz val="11"/>
      <color theme="1"/>
      <name val="Aptos Narrow"/>
      <family val="2"/>
      <scheme val="minor"/>
    </font>
    <font>
      <i/>
      <sz val="11"/>
      <color theme="1"/>
      <name val="Aptos Narrow"/>
      <family val="2"/>
      <scheme val="minor"/>
    </font>
    <font>
      <b/>
      <u/>
      <sz val="12"/>
      <color theme="1"/>
      <name val="Aptos Narrow"/>
      <family val="2"/>
      <scheme val="minor"/>
    </font>
    <font>
      <sz val="11"/>
      <color theme="1"/>
      <name val="Calibri"/>
      <family val="2"/>
    </font>
    <font>
      <i/>
      <sz val="12"/>
      <color theme="1"/>
      <name val="Aptos Narrow"/>
      <family val="2"/>
      <scheme val="minor"/>
    </font>
    <font>
      <b/>
      <sz val="12"/>
      <color theme="1"/>
      <name val="Aptos Narrow"/>
      <family val="2"/>
      <scheme val="minor"/>
    </font>
    <font>
      <sz val="10"/>
      <color theme="1"/>
      <name val="Aptos Narrow"/>
      <family val="2"/>
      <scheme val="minor"/>
    </font>
    <font>
      <sz val="11"/>
      <color theme="1"/>
      <name val="Aptos Narrow"/>
      <family val="2"/>
      <scheme val="minor"/>
    </font>
    <font>
      <sz val="11"/>
      <color rgb="FF000000"/>
      <name val="Aptos Narrow"/>
      <family val="2"/>
    </font>
    <font>
      <b/>
      <sz val="11"/>
      <color rgb="FF000000"/>
      <name val="Aptos Narrow"/>
      <family val="2"/>
    </font>
    <font>
      <sz val="11"/>
      <name val="Aptos Narrow"/>
      <family val="2"/>
    </font>
    <font>
      <sz val="11"/>
      <color rgb="FF242424"/>
      <name val="Aptos Narrow"/>
      <family val="2"/>
    </font>
    <font>
      <b/>
      <sz val="10"/>
      <color rgb="FF000000"/>
      <name val="Aptos Narrow"/>
      <family val="2"/>
    </font>
    <font>
      <b/>
      <sz val="11"/>
      <color rgb="FF0070C0"/>
      <name val="Aptos Narrow"/>
      <family val="2"/>
    </font>
    <font>
      <b/>
      <sz val="11"/>
      <name val="Aptos Narrow"/>
      <family val="2"/>
    </font>
    <font>
      <i/>
      <sz val="11"/>
      <color rgb="FF0070C0"/>
      <name val="Aptos Narrow"/>
      <family val="2"/>
    </font>
    <font>
      <b/>
      <sz val="10"/>
      <color rgb="FF000000"/>
      <name val="Aptos Narrow"/>
      <family val="2"/>
      <charset val="1"/>
    </font>
    <font>
      <sz val="11"/>
      <color rgb="FF000000"/>
      <name val="Aptos Narrow"/>
      <family val="2"/>
      <charset val="1"/>
    </font>
    <font>
      <sz val="10"/>
      <color rgb="FF000000"/>
      <name val="Arial"/>
      <family val="2"/>
      <charset val="1"/>
    </font>
    <font>
      <sz val="11"/>
      <color rgb="FF000000"/>
      <name val="Calibri"/>
      <family val="2"/>
      <charset val="1"/>
    </font>
    <font>
      <sz val="11"/>
      <color rgb="FF242424"/>
      <name val="Aptos Narrow"/>
      <charset val="1"/>
    </font>
    <font>
      <sz val="11"/>
      <color rgb="FF000000"/>
      <name val="Aptos Narrow"/>
    </font>
    <font>
      <u/>
      <sz val="11"/>
      <color theme="1"/>
      <name val="Aptos Narrow"/>
      <family val="2"/>
      <scheme val="minor"/>
    </font>
  </fonts>
  <fills count="15">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DDEBF7"/>
        <bgColor rgb="FF000000"/>
      </patternFill>
    </fill>
    <fill>
      <patternFill patternType="solid">
        <fgColor rgb="FFC0E4F5"/>
        <bgColor rgb="FF000000"/>
      </patternFill>
    </fill>
    <fill>
      <patternFill patternType="solid">
        <fgColor rgb="FFB5E6A2"/>
        <bgColor rgb="FF000000"/>
      </patternFill>
    </fill>
    <fill>
      <patternFill patternType="solid">
        <fgColor rgb="FFD9D9D9"/>
        <bgColor rgb="FF000000"/>
      </patternFill>
    </fill>
    <fill>
      <patternFill patternType="solid">
        <fgColor theme="0"/>
        <bgColor indexed="64"/>
      </patternFill>
    </fill>
    <fill>
      <patternFill patternType="solid">
        <fgColor rgb="FFFFC000"/>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top/>
      <bottom style="medium">
        <color indexed="64"/>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right style="thin">
        <color rgb="FF000000"/>
      </right>
      <top style="thin">
        <color rgb="FF000000"/>
      </top>
      <bottom/>
      <diagonal/>
    </border>
    <border>
      <left/>
      <right style="thin">
        <color rgb="FF000000"/>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rgb="FF000000"/>
      </left>
      <right/>
      <top/>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rgb="FF000000"/>
      </right>
      <top/>
      <bottom style="thin">
        <color indexed="64"/>
      </bottom>
      <diagonal/>
    </border>
    <border>
      <left style="medium">
        <color indexed="64"/>
      </left>
      <right style="thin">
        <color indexed="64"/>
      </right>
      <top/>
      <bottom/>
      <diagonal/>
    </border>
    <border>
      <left/>
      <right style="medium">
        <color rgb="FF000000"/>
      </right>
      <top style="thin">
        <color indexed="64"/>
      </top>
      <bottom style="thin">
        <color indexed="64"/>
      </bottom>
      <diagonal/>
    </border>
    <border>
      <left/>
      <right style="thin">
        <color indexed="64"/>
      </right>
      <top style="thin">
        <color indexed="64"/>
      </top>
      <bottom style="thin">
        <color indexed="64"/>
      </bottom>
      <diagonal/>
    </border>
    <border>
      <left/>
      <right style="medium">
        <color rgb="FF000000"/>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s>
  <cellStyleXfs count="2">
    <xf numFmtId="0" fontId="0" fillId="0" borderId="0"/>
    <xf numFmtId="9" fontId="13" fillId="0" borderId="0" applyFont="0" applyFill="0" applyBorder="0" applyAlignment="0" applyProtection="0"/>
  </cellStyleXfs>
  <cellXfs count="208">
    <xf numFmtId="0" fontId="0" fillId="0" borderId="0" xfId="0"/>
    <xf numFmtId="0" fontId="0" fillId="0" borderId="1" xfId="0" applyBorder="1"/>
    <xf numFmtId="0" fontId="2" fillId="0" borderId="1" xfId="0" applyFont="1" applyBorder="1" applyAlignment="1">
      <alignment wrapText="1"/>
    </xf>
    <xf numFmtId="0" fontId="3" fillId="0" borderId="0" xfId="0" applyFont="1" applyAlignment="1">
      <alignment horizontal="center" wrapText="1"/>
    </xf>
    <xf numFmtId="0" fontId="4" fillId="0" borderId="0" xfId="0" applyFont="1" applyAlignment="1">
      <alignment vertical="center"/>
    </xf>
    <xf numFmtId="0" fontId="0" fillId="0" borderId="0" xfId="0" applyAlignment="1">
      <alignment horizontal="center" vertical="center"/>
    </xf>
    <xf numFmtId="0" fontId="0" fillId="0" borderId="10" xfId="0" applyBorder="1"/>
    <xf numFmtId="0" fontId="2" fillId="0" borderId="2" xfId="0" applyFont="1" applyBorder="1"/>
    <xf numFmtId="0" fontId="9" fillId="0" borderId="1" xfId="0" applyFont="1" applyBorder="1" applyAlignment="1">
      <alignment horizontal="center" vertical="top" wrapText="1"/>
    </xf>
    <xf numFmtId="1" fontId="9" fillId="0" borderId="1" xfId="0" applyNumberFormat="1" applyFont="1" applyBorder="1" applyAlignment="1">
      <alignment horizontal="center" vertical="top" wrapText="1"/>
    </xf>
    <xf numFmtId="0" fontId="3" fillId="0" borderId="22" xfId="0" applyFont="1" applyBorder="1" applyAlignment="1">
      <alignment horizontal="center" vertical="center" wrapText="1"/>
    </xf>
    <xf numFmtId="0" fontId="9" fillId="0" borderId="2" xfId="0" applyFont="1" applyBorder="1" applyAlignment="1">
      <alignment horizontal="center" vertical="top" wrapText="1"/>
    </xf>
    <xf numFmtId="1" fontId="9" fillId="0" borderId="2" xfId="0" applyNumberFormat="1" applyFont="1" applyBorder="1" applyAlignment="1">
      <alignment horizontal="center" vertical="top" wrapText="1"/>
    </xf>
    <xf numFmtId="0" fontId="3" fillId="0" borderId="10" xfId="0" applyFont="1" applyBorder="1" applyAlignment="1">
      <alignment horizontal="center" vertical="center" wrapText="1"/>
    </xf>
    <xf numFmtId="0" fontId="3" fillId="0" borderId="10" xfId="0" applyFont="1" applyBorder="1" applyAlignment="1">
      <alignment horizontal="center" wrapText="1"/>
    </xf>
    <xf numFmtId="0" fontId="0" fillId="5" borderId="11" xfId="0" applyFill="1" applyBorder="1" applyAlignment="1">
      <alignment horizontal="center" vertical="center" wrapText="1"/>
    </xf>
    <xf numFmtId="0" fontId="2" fillId="0" borderId="10" xfId="0" applyFont="1" applyBorder="1"/>
    <xf numFmtId="0" fontId="3" fillId="0" borderId="32" xfId="0" applyFont="1" applyBorder="1" applyAlignment="1">
      <alignment horizontal="center" vertical="center" wrapText="1"/>
    </xf>
    <xf numFmtId="0" fontId="3" fillId="0" borderId="33" xfId="0" applyFont="1" applyBorder="1" applyAlignment="1">
      <alignment horizontal="center" vertical="center" wrapText="1"/>
    </xf>
    <xf numFmtId="9" fontId="2" fillId="0" borderId="18" xfId="1" applyFont="1" applyBorder="1"/>
    <xf numFmtId="0" fontId="14" fillId="0" borderId="0" xfId="0" applyFont="1"/>
    <xf numFmtId="0" fontId="15" fillId="9" borderId="37" xfId="0" applyFont="1" applyFill="1" applyBorder="1" applyAlignment="1">
      <alignment wrapText="1"/>
    </xf>
    <xf numFmtId="0" fontId="15" fillId="9" borderId="24" xfId="0" applyFont="1" applyFill="1" applyBorder="1" applyAlignment="1">
      <alignment wrapText="1"/>
    </xf>
    <xf numFmtId="0" fontId="15" fillId="9" borderId="38" xfId="0" applyFont="1" applyFill="1" applyBorder="1" applyAlignment="1">
      <alignment wrapText="1"/>
    </xf>
    <xf numFmtId="0" fontId="15" fillId="9" borderId="9" xfId="0" applyFont="1" applyFill="1" applyBorder="1" applyAlignment="1">
      <alignment wrapText="1"/>
    </xf>
    <xf numFmtId="0" fontId="14" fillId="0" borderId="0" xfId="0" applyFont="1" applyAlignment="1">
      <alignment wrapText="1"/>
    </xf>
    <xf numFmtId="0" fontId="15" fillId="0" borderId="0" xfId="0" applyFont="1"/>
    <xf numFmtId="0" fontId="15" fillId="0" borderId="0" xfId="0" applyFont="1" applyAlignment="1">
      <alignment wrapText="1"/>
    </xf>
    <xf numFmtId="0" fontId="15" fillId="10" borderId="39" xfId="0" applyFont="1" applyFill="1" applyBorder="1"/>
    <xf numFmtId="0" fontId="15" fillId="10" borderId="40" xfId="0" applyFont="1" applyFill="1" applyBorder="1"/>
    <xf numFmtId="0" fontId="15" fillId="10" borderId="40" xfId="0" applyFont="1" applyFill="1" applyBorder="1" applyAlignment="1">
      <alignment wrapText="1"/>
    </xf>
    <xf numFmtId="0" fontId="15" fillId="10" borderId="47" xfId="0" applyFont="1" applyFill="1" applyBorder="1" applyAlignment="1">
      <alignment wrapText="1"/>
    </xf>
    <xf numFmtId="0" fontId="15" fillId="10" borderId="46" xfId="0" applyFont="1" applyFill="1" applyBorder="1" applyAlignment="1">
      <alignment wrapText="1"/>
    </xf>
    <xf numFmtId="0" fontId="15" fillId="10" borderId="46" xfId="0" applyFont="1" applyFill="1" applyBorder="1"/>
    <xf numFmtId="0" fontId="14" fillId="0" borderId="11" xfId="0" applyFont="1" applyBorder="1" applyAlignment="1">
      <alignment wrapText="1"/>
    </xf>
    <xf numFmtId="0" fontId="14" fillId="10" borderId="46" xfId="0" applyFont="1" applyFill="1" applyBorder="1" applyAlignment="1">
      <alignment horizontal="center" vertical="center" wrapText="1"/>
    </xf>
    <xf numFmtId="0" fontId="16" fillId="9" borderId="40" xfId="0" applyFont="1" applyFill="1" applyBorder="1" applyAlignment="1">
      <alignment horizontal="center" vertical="center" wrapText="1"/>
    </xf>
    <xf numFmtId="0" fontId="16" fillId="9" borderId="9" xfId="0" applyFont="1" applyFill="1" applyBorder="1" applyAlignment="1">
      <alignment horizontal="center" vertical="center" wrapText="1"/>
    </xf>
    <xf numFmtId="0" fontId="14" fillId="10" borderId="5" xfId="0" applyFont="1" applyFill="1" applyBorder="1" applyAlignment="1">
      <alignment horizontal="center" vertical="center" wrapText="1"/>
    </xf>
    <xf numFmtId="0" fontId="15" fillId="9" borderId="37" xfId="0" applyFont="1" applyFill="1" applyBorder="1" applyAlignment="1">
      <alignment horizontal="center" wrapText="1"/>
    </xf>
    <xf numFmtId="0" fontId="15" fillId="9" borderId="24" xfId="0" applyFont="1" applyFill="1" applyBorder="1" applyAlignment="1">
      <alignment horizontal="center" wrapText="1"/>
    </xf>
    <xf numFmtId="0" fontId="15" fillId="9" borderId="0" xfId="0" applyFont="1" applyFill="1" applyAlignment="1">
      <alignment horizontal="center" wrapText="1"/>
    </xf>
    <xf numFmtId="0" fontId="15" fillId="9" borderId="38" xfId="0" applyFont="1" applyFill="1" applyBorder="1" applyAlignment="1">
      <alignment horizontal="center" wrapText="1"/>
    </xf>
    <xf numFmtId="0" fontId="15" fillId="9" borderId="9" xfId="0" applyFont="1" applyFill="1" applyBorder="1" applyAlignment="1">
      <alignment horizontal="center" wrapText="1"/>
    </xf>
    <xf numFmtId="0" fontId="15" fillId="9" borderId="15" xfId="0" applyFont="1" applyFill="1" applyBorder="1" applyAlignment="1">
      <alignment horizontal="center" wrapText="1"/>
    </xf>
    <xf numFmtId="0" fontId="16" fillId="9" borderId="39" xfId="0" applyFont="1" applyFill="1" applyBorder="1" applyAlignment="1">
      <alignment vertical="center" wrapText="1"/>
    </xf>
    <xf numFmtId="0" fontId="0" fillId="5" borderId="35" xfId="0" applyFill="1" applyBorder="1" applyAlignment="1">
      <alignment horizontal="center" vertical="center" wrapText="1"/>
    </xf>
    <xf numFmtId="0" fontId="0" fillId="0" borderId="57" xfId="0" applyBorder="1" applyAlignment="1">
      <alignment horizontal="center" vertical="center" wrapText="1"/>
    </xf>
    <xf numFmtId="0" fontId="0" fillId="0" borderId="58" xfId="0" applyBorder="1" applyAlignment="1">
      <alignment horizontal="center" vertical="center" wrapText="1"/>
    </xf>
    <xf numFmtId="0" fontId="0" fillId="0" borderId="59" xfId="0" applyBorder="1" applyAlignment="1">
      <alignment horizontal="center" vertical="center" wrapText="1"/>
    </xf>
    <xf numFmtId="0" fontId="0" fillId="5" borderId="53" xfId="0" applyFill="1" applyBorder="1" applyAlignment="1">
      <alignment horizontal="center" vertical="center" wrapText="1"/>
    </xf>
    <xf numFmtId="0" fontId="0" fillId="5" borderId="44" xfId="0" applyFill="1" applyBorder="1" applyAlignment="1">
      <alignment horizontal="center" vertical="center" wrapText="1"/>
    </xf>
    <xf numFmtId="0" fontId="14" fillId="0" borderId="14" xfId="0" applyFont="1" applyBorder="1" applyAlignment="1">
      <alignment wrapText="1"/>
    </xf>
    <xf numFmtId="0" fontId="14" fillId="0" borderId="10" xfId="0" applyFont="1" applyBorder="1"/>
    <xf numFmtId="0" fontId="18" fillId="0" borderId="21" xfId="0" applyFont="1" applyBorder="1" applyAlignment="1">
      <alignment wrapText="1"/>
    </xf>
    <xf numFmtId="0" fontId="15" fillId="11" borderId="22" xfId="0" applyFont="1" applyFill="1" applyBorder="1" applyAlignment="1">
      <alignment wrapText="1"/>
    </xf>
    <xf numFmtId="0" fontId="14" fillId="0" borderId="16" xfId="0" applyFont="1" applyBorder="1" applyAlignment="1">
      <alignment wrapText="1"/>
    </xf>
    <xf numFmtId="0" fontId="14" fillId="0" borderId="51" xfId="0" applyFont="1" applyBorder="1"/>
    <xf numFmtId="0" fontId="14" fillId="0" borderId="19" xfId="0" applyFont="1" applyBorder="1" applyAlignment="1">
      <alignment wrapText="1"/>
    </xf>
    <xf numFmtId="0" fontId="14" fillId="0" borderId="46" xfId="0" applyFont="1" applyBorder="1"/>
    <xf numFmtId="0" fontId="15" fillId="0" borderId="10" xfId="0" applyFont="1" applyBorder="1" applyAlignment="1">
      <alignment wrapText="1"/>
    </xf>
    <xf numFmtId="0" fontId="15" fillId="12" borderId="11" xfId="0" applyFont="1" applyFill="1" applyBorder="1"/>
    <xf numFmtId="0" fontId="15" fillId="12" borderId="46" xfId="0" applyFont="1" applyFill="1" applyBorder="1"/>
    <xf numFmtId="0" fontId="15" fillId="12" borderId="11" xfId="0" applyFont="1" applyFill="1" applyBorder="1" applyAlignment="1">
      <alignment horizontal="center" vertical="center"/>
    </xf>
    <xf numFmtId="0" fontId="15" fillId="12" borderId="46" xfId="0" applyFont="1" applyFill="1" applyBorder="1" applyAlignment="1">
      <alignment horizontal="center" vertical="center"/>
    </xf>
    <xf numFmtId="0" fontId="21" fillId="0" borderId="46" xfId="0" applyFont="1" applyBorder="1" applyAlignment="1">
      <alignment horizontal="center" vertical="center" wrapText="1"/>
    </xf>
    <xf numFmtId="0" fontId="3" fillId="0" borderId="51" xfId="0" applyFont="1" applyBorder="1" applyAlignment="1">
      <alignment horizontal="center" vertical="center" wrapText="1"/>
    </xf>
    <xf numFmtId="0" fontId="22" fillId="0" borderId="0" xfId="0" applyFont="1" applyAlignment="1">
      <alignment wrapText="1"/>
    </xf>
    <xf numFmtId="0" fontId="23" fillId="0" borderId="0" xfId="0" applyFont="1"/>
    <xf numFmtId="0" fontId="24" fillId="0" borderId="1" xfId="0" applyFont="1" applyBorder="1"/>
    <xf numFmtId="0" fontId="24" fillId="0" borderId="16" xfId="0" applyFont="1" applyBorder="1"/>
    <xf numFmtId="0" fontId="24" fillId="0" borderId="2" xfId="0" applyFont="1" applyBorder="1"/>
    <xf numFmtId="0" fontId="24" fillId="0" borderId="19" xfId="0" applyFont="1" applyBorder="1"/>
    <xf numFmtId="0" fontId="24" fillId="13" borderId="2" xfId="0" applyFont="1" applyFill="1" applyBorder="1"/>
    <xf numFmtId="0" fontId="24" fillId="13" borderId="19" xfId="0" applyFont="1" applyFill="1" applyBorder="1"/>
    <xf numFmtId="0" fontId="25" fillId="14" borderId="1" xfId="0" applyFont="1" applyFill="1" applyBorder="1"/>
    <xf numFmtId="0" fontId="23" fillId="14" borderId="1" xfId="0" applyFont="1" applyFill="1" applyBorder="1"/>
    <xf numFmtId="0" fontId="23" fillId="14" borderId="1" xfId="0" quotePrefix="1" applyFont="1" applyFill="1" applyBorder="1"/>
    <xf numFmtId="0" fontId="9" fillId="0" borderId="62" xfId="0" applyFont="1" applyBorder="1" applyAlignment="1">
      <alignment horizontal="center" vertical="top" wrapText="1"/>
    </xf>
    <xf numFmtId="1" fontId="9" fillId="0" borderId="62" xfId="0" applyNumberFormat="1" applyFont="1" applyBorder="1" applyAlignment="1">
      <alignment horizontal="center" vertical="top" wrapText="1"/>
    </xf>
    <xf numFmtId="0" fontId="0" fillId="0" borderId="13" xfId="0" applyBorder="1"/>
    <xf numFmtId="0" fontId="24" fillId="0" borderId="63" xfId="0" applyFont="1" applyBorder="1"/>
    <xf numFmtId="0" fontId="24" fillId="0" borderId="22" xfId="0" applyFont="1" applyBorder="1"/>
    <xf numFmtId="0" fontId="2" fillId="0" borderId="63" xfId="0" applyFont="1" applyBorder="1"/>
    <xf numFmtId="0" fontId="24" fillId="14" borderId="1" xfId="0" applyFont="1" applyFill="1" applyBorder="1"/>
    <xf numFmtId="0" fontId="24" fillId="14" borderId="16" xfId="0" applyFont="1" applyFill="1" applyBorder="1"/>
    <xf numFmtId="0" fontId="24" fillId="14" borderId="2" xfId="0" applyFont="1" applyFill="1" applyBorder="1"/>
    <xf numFmtId="0" fontId="24" fillId="14" borderId="19" xfId="0" applyFont="1" applyFill="1" applyBorder="1"/>
    <xf numFmtId="16" fontId="24" fillId="0" borderId="16" xfId="0" applyNumberFormat="1" applyFont="1" applyBorder="1"/>
    <xf numFmtId="0" fontId="26" fillId="0" borderId="0" xfId="0" applyFont="1"/>
    <xf numFmtId="0" fontId="24" fillId="0" borderId="64" xfId="0" applyFont="1" applyBorder="1"/>
    <xf numFmtId="9" fontId="0" fillId="0" borderId="1" xfId="0" applyNumberFormat="1" applyBorder="1"/>
    <xf numFmtId="0" fontId="3" fillId="4" borderId="26" xfId="0" applyFont="1" applyFill="1" applyBorder="1" applyAlignment="1">
      <alignment horizontal="center" vertical="center" wrapText="1"/>
    </xf>
    <xf numFmtId="0" fontId="3" fillId="4" borderId="29" xfId="0" applyFont="1" applyFill="1" applyBorder="1" applyAlignment="1">
      <alignment horizontal="center" vertical="center" wrapText="1"/>
    </xf>
    <xf numFmtId="0" fontId="28" fillId="0" borderId="0" xfId="0" applyFont="1"/>
    <xf numFmtId="2" fontId="24" fillId="0" borderId="16" xfId="0" applyNumberFormat="1" applyFont="1" applyBorder="1"/>
    <xf numFmtId="2" fontId="24" fillId="0" borderId="19" xfId="0" applyNumberFormat="1" applyFont="1" applyBorder="1"/>
    <xf numFmtId="2" fontId="24" fillId="0" borderId="21" xfId="0" applyNumberFormat="1" applyFont="1" applyBorder="1"/>
    <xf numFmtId="2" fontId="24" fillId="0" borderId="1" xfId="0" applyNumberFormat="1" applyFont="1" applyBorder="1"/>
    <xf numFmtId="0" fontId="14" fillId="0" borderId="13" xfId="0" applyFont="1" applyBorder="1" applyAlignment="1">
      <alignment horizontal="center" vertical="center" wrapText="1"/>
    </xf>
    <xf numFmtId="0" fontId="14" fillId="0" borderId="53" xfId="0" applyFont="1" applyBorder="1" applyAlignment="1">
      <alignment horizontal="center" vertical="center" wrapText="1"/>
    </xf>
    <xf numFmtId="0" fontId="14" fillId="0" borderId="54" xfId="0" applyFont="1" applyBorder="1" applyAlignment="1">
      <alignment horizontal="center" vertical="center" wrapText="1"/>
    </xf>
    <xf numFmtId="0" fontId="14" fillId="0" borderId="11" xfId="0" applyFont="1" applyBorder="1" applyAlignment="1">
      <alignment horizontal="center" vertical="center" wrapText="1"/>
    </xf>
    <xf numFmtId="0" fontId="15" fillId="9" borderId="3" xfId="0" applyFont="1" applyFill="1" applyBorder="1" applyAlignment="1">
      <alignment horizontal="center"/>
    </xf>
    <xf numFmtId="0" fontId="15" fillId="9" borderId="4" xfId="0" applyFont="1" applyFill="1" applyBorder="1" applyAlignment="1">
      <alignment horizontal="center"/>
    </xf>
    <xf numFmtId="0" fontId="15" fillId="9" borderId="36" xfId="0" applyFont="1" applyFill="1" applyBorder="1" applyAlignment="1">
      <alignment horizontal="center"/>
    </xf>
    <xf numFmtId="0" fontId="14" fillId="0" borderId="41" xfId="0" applyFont="1" applyBorder="1" applyAlignment="1">
      <alignment wrapText="1"/>
    </xf>
    <xf numFmtId="0" fontId="14" fillId="0" borderId="42" xfId="0" applyFont="1" applyBorder="1" applyAlignment="1">
      <alignment wrapText="1"/>
    </xf>
    <xf numFmtId="0" fontId="14" fillId="0" borderId="43" xfId="0" applyFont="1" applyBorder="1" applyAlignment="1">
      <alignment wrapText="1"/>
    </xf>
    <xf numFmtId="0" fontId="14" fillId="0" borderId="44" xfId="0" applyFont="1" applyBorder="1" applyAlignment="1">
      <alignment wrapText="1"/>
    </xf>
    <xf numFmtId="0" fontId="14" fillId="0" borderId="0" xfId="0" applyFont="1" applyAlignment="1">
      <alignment wrapText="1"/>
    </xf>
    <xf numFmtId="0" fontId="14" fillId="0" borderId="45" xfId="0" applyFont="1" applyBorder="1" applyAlignment="1">
      <alignment wrapText="1"/>
    </xf>
    <xf numFmtId="0" fontId="14" fillId="0" borderId="35" xfId="0" applyFont="1" applyBorder="1" applyAlignment="1">
      <alignment wrapText="1"/>
    </xf>
    <xf numFmtId="0" fontId="14" fillId="0" borderId="20" xfId="0" applyFont="1" applyBorder="1" applyAlignment="1">
      <alignment wrapText="1"/>
    </xf>
    <xf numFmtId="0" fontId="14" fillId="0" borderId="46" xfId="0" applyFont="1" applyBorder="1" applyAlignment="1">
      <alignment wrapText="1"/>
    </xf>
    <xf numFmtId="0" fontId="15" fillId="9" borderId="3" xfId="0" applyFont="1" applyFill="1" applyBorder="1"/>
    <xf numFmtId="0" fontId="15" fillId="9" borderId="4" xfId="0" applyFont="1" applyFill="1" applyBorder="1"/>
    <xf numFmtId="0" fontId="15" fillId="9" borderId="36" xfId="0" applyFont="1" applyFill="1" applyBorder="1"/>
    <xf numFmtId="0" fontId="15" fillId="10" borderId="4" xfId="0" applyFont="1" applyFill="1" applyBorder="1"/>
    <xf numFmtId="0" fontId="15" fillId="10" borderId="36" xfId="0" applyFont="1" applyFill="1" applyBorder="1"/>
    <xf numFmtId="0" fontId="15" fillId="10" borderId="20" xfId="0" applyFont="1" applyFill="1" applyBorder="1"/>
    <xf numFmtId="0" fontId="15" fillId="10" borderId="48" xfId="0" applyFont="1" applyFill="1" applyBorder="1"/>
    <xf numFmtId="0" fontId="15" fillId="10" borderId="49" xfId="0" applyFont="1" applyFill="1" applyBorder="1" applyAlignment="1">
      <alignment horizontal="center" vertical="center"/>
    </xf>
    <xf numFmtId="0" fontId="15" fillId="10" borderId="12" xfId="0" applyFont="1" applyFill="1" applyBorder="1" applyAlignment="1">
      <alignment horizontal="center" vertical="center"/>
    </xf>
    <xf numFmtId="0" fontId="14" fillId="10" borderId="17" xfId="0" applyFont="1" applyFill="1" applyBorder="1" applyAlignment="1">
      <alignment horizontal="center" vertical="center" wrapText="1"/>
    </xf>
    <xf numFmtId="0" fontId="14" fillId="10" borderId="50" xfId="0" applyFont="1" applyFill="1" applyBorder="1" applyAlignment="1">
      <alignment horizontal="center" vertical="center" wrapText="1"/>
    </xf>
    <xf numFmtId="0" fontId="14" fillId="10" borderId="17" xfId="0" applyFont="1" applyFill="1" applyBorder="1" applyAlignment="1">
      <alignment wrapText="1"/>
    </xf>
    <xf numFmtId="0" fontId="14" fillId="10" borderId="51" xfId="0" applyFont="1" applyFill="1" applyBorder="1" applyAlignment="1">
      <alignment wrapText="1"/>
    </xf>
    <xf numFmtId="0" fontId="14" fillId="10" borderId="50" xfId="0" applyFont="1" applyFill="1" applyBorder="1" applyAlignment="1">
      <alignment wrapText="1"/>
    </xf>
    <xf numFmtId="0" fontId="17" fillId="10" borderId="42" xfId="0" applyFont="1" applyFill="1" applyBorder="1" applyAlignment="1">
      <alignment horizontal="center" vertical="center"/>
    </xf>
    <xf numFmtId="0" fontId="17" fillId="10" borderId="52" xfId="0" applyFont="1" applyFill="1" applyBorder="1" applyAlignment="1">
      <alignment horizontal="center" vertical="center"/>
    </xf>
    <xf numFmtId="0" fontId="15" fillId="0" borderId="13" xfId="0" applyFont="1" applyBorder="1" applyAlignment="1">
      <alignment horizontal="center" vertical="center"/>
    </xf>
    <xf numFmtId="0" fontId="15" fillId="0" borderId="53" xfId="0" applyFont="1" applyBorder="1" applyAlignment="1">
      <alignment horizontal="center" vertical="center"/>
    </xf>
    <xf numFmtId="0" fontId="15" fillId="0" borderId="54" xfId="0" applyFont="1" applyBorder="1" applyAlignment="1">
      <alignment horizontal="center" vertical="center"/>
    </xf>
    <xf numFmtId="0" fontId="16" fillId="0" borderId="13" xfId="0" applyFont="1" applyBorder="1" applyAlignment="1">
      <alignment horizontal="center" vertical="center" wrapText="1"/>
    </xf>
    <xf numFmtId="0" fontId="16" fillId="0" borderId="53" xfId="0" applyFont="1" applyBorder="1" applyAlignment="1">
      <alignment horizontal="center" vertical="center" wrapText="1"/>
    </xf>
    <xf numFmtId="0" fontId="16" fillId="0" borderId="54" xfId="0" applyFont="1" applyBorder="1" applyAlignment="1">
      <alignment horizontal="center" vertical="center" wrapText="1"/>
    </xf>
    <xf numFmtId="0" fontId="3" fillId="4" borderId="26" xfId="0" applyFont="1" applyFill="1" applyBorder="1" applyAlignment="1">
      <alignment horizontal="center" vertical="center" wrapText="1"/>
    </xf>
    <xf numFmtId="0" fontId="3" fillId="4" borderId="29" xfId="0" applyFont="1" applyFill="1" applyBorder="1" applyAlignment="1">
      <alignment horizontal="center" vertical="center" wrapText="1"/>
    </xf>
    <xf numFmtId="0" fontId="3" fillId="4" borderId="27" xfId="0" applyFont="1" applyFill="1" applyBorder="1" applyAlignment="1">
      <alignment horizontal="center" vertical="center" wrapText="1"/>
    </xf>
    <xf numFmtId="0" fontId="3" fillId="4" borderId="30" xfId="0" applyFont="1" applyFill="1" applyBorder="1" applyAlignment="1">
      <alignment horizontal="center" vertical="center" wrapText="1"/>
    </xf>
    <xf numFmtId="0" fontId="5" fillId="0" borderId="6" xfId="0" applyFont="1"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center" vertical="center"/>
    </xf>
    <xf numFmtId="0" fontId="5" fillId="4" borderId="6"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24" xfId="0" applyFont="1" applyFill="1" applyBorder="1" applyAlignment="1">
      <alignment horizontal="center" vertical="center" wrapText="1"/>
    </xf>
    <xf numFmtId="0" fontId="0" fillId="3" borderId="6" xfId="0" applyFill="1" applyBorder="1" applyAlignment="1">
      <alignment horizontal="center" vertical="top" wrapText="1"/>
    </xf>
    <xf numFmtId="0" fontId="0" fillId="3" borderId="14" xfId="0" applyFill="1" applyBorder="1" applyAlignment="1">
      <alignment horizontal="center" vertical="top" wrapText="1"/>
    </xf>
    <xf numFmtId="0" fontId="0" fillId="3" borderId="8" xfId="0" applyFill="1" applyBorder="1" applyAlignment="1">
      <alignment horizontal="center" vertical="top" wrapText="1"/>
    </xf>
    <xf numFmtId="0" fontId="0" fillId="3" borderId="15" xfId="0" applyFill="1" applyBorder="1" applyAlignment="1">
      <alignment horizontal="center" vertical="top" wrapText="1"/>
    </xf>
    <xf numFmtId="0" fontId="3" fillId="4" borderId="25" xfId="0" applyFont="1" applyFill="1" applyBorder="1" applyAlignment="1">
      <alignment horizontal="center" vertical="center" wrapText="1"/>
    </xf>
    <xf numFmtId="0" fontId="3" fillId="4" borderId="28"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5" fillId="5" borderId="14" xfId="0" applyFont="1" applyFill="1" applyBorder="1" applyAlignment="1">
      <alignment horizontal="center" vertical="top" wrapText="1"/>
    </xf>
    <xf numFmtId="0" fontId="5" fillId="5" borderId="7" xfId="0" applyFont="1" applyFill="1" applyBorder="1" applyAlignment="1">
      <alignment horizontal="center" vertical="top" wrapText="1"/>
    </xf>
    <xf numFmtId="0" fontId="5" fillId="5" borderId="15" xfId="0" applyFont="1" applyFill="1" applyBorder="1" applyAlignment="1">
      <alignment horizontal="center" vertical="top" wrapText="1"/>
    </xf>
    <xf numFmtId="0" fontId="5" fillId="5" borderId="9" xfId="0" applyFont="1" applyFill="1" applyBorder="1" applyAlignment="1">
      <alignment horizontal="center" vertical="top"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7" borderId="6" xfId="0" applyFont="1" applyFill="1" applyBorder="1" applyAlignment="1">
      <alignment horizontal="center" vertical="top" wrapText="1"/>
    </xf>
    <xf numFmtId="0" fontId="5" fillId="7" borderId="7" xfId="0" applyFont="1" applyFill="1" applyBorder="1" applyAlignment="1">
      <alignment horizontal="center" vertical="top" wrapText="1"/>
    </xf>
    <xf numFmtId="0" fontId="5" fillId="7" borderId="23" xfId="0" applyFont="1" applyFill="1" applyBorder="1" applyAlignment="1">
      <alignment horizontal="center" vertical="top" wrapText="1"/>
    </xf>
    <xf numFmtId="0" fontId="5" fillId="7" borderId="24" xfId="0" applyFont="1" applyFill="1" applyBorder="1" applyAlignment="1">
      <alignment horizontal="center" vertical="top" wrapText="1"/>
    </xf>
    <xf numFmtId="0" fontId="5" fillId="8" borderId="59" xfId="0" applyFont="1" applyFill="1" applyBorder="1" applyAlignment="1">
      <alignment horizontal="center" vertical="center" wrapText="1"/>
    </xf>
    <xf numFmtId="0" fontId="5" fillId="8" borderId="61" xfId="0" applyFont="1" applyFill="1" applyBorder="1" applyAlignment="1">
      <alignment horizontal="center" vertical="center" wrapText="1"/>
    </xf>
    <xf numFmtId="0" fontId="5" fillId="8" borderId="55" xfId="0" applyFont="1" applyFill="1" applyBorder="1" applyAlignment="1">
      <alignment horizontal="center" vertical="center" wrapText="1"/>
    </xf>
    <xf numFmtId="0" fontId="5" fillId="8" borderId="56"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5" fillId="8" borderId="0" xfId="0" applyFont="1" applyFill="1" applyAlignment="1">
      <alignment horizontal="center" vertical="center" wrapText="1"/>
    </xf>
    <xf numFmtId="0" fontId="3" fillId="0" borderId="0" xfId="0" applyFont="1" applyAlignment="1">
      <alignment horizontal="center" vertical="center" wrapText="1"/>
    </xf>
    <xf numFmtId="0" fontId="3" fillId="0" borderId="45"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3" xfId="0" applyFont="1" applyBorder="1" applyAlignment="1">
      <alignment horizontal="center" vertical="center" wrapText="1"/>
    </xf>
    <xf numFmtId="0" fontId="5" fillId="0" borderId="57" xfId="0" applyFont="1" applyBorder="1" applyAlignment="1">
      <alignment horizontal="center" vertical="center"/>
    </xf>
    <xf numFmtId="0" fontId="5" fillId="0" borderId="58" xfId="0" applyFont="1" applyBorder="1" applyAlignment="1">
      <alignment horizontal="center" vertical="center"/>
    </xf>
    <xf numFmtId="0" fontId="5" fillId="0" borderId="59" xfId="0" applyFont="1" applyBorder="1" applyAlignment="1">
      <alignment horizontal="center" vertical="center"/>
    </xf>
    <xf numFmtId="0" fontId="5" fillId="2" borderId="49"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8" borderId="60" xfId="0" applyFont="1" applyFill="1" applyBorder="1" applyAlignment="1">
      <alignment horizontal="center" vertical="center" wrapText="1"/>
    </xf>
    <xf numFmtId="0" fontId="21" fillId="0" borderId="0" xfId="0" applyFont="1"/>
    <xf numFmtId="0" fontId="14" fillId="0" borderId="0" xfId="0" applyFont="1"/>
    <xf numFmtId="0" fontId="19" fillId="0" borderId="0" xfId="0" applyFont="1"/>
    <xf numFmtId="0" fontId="20" fillId="0" borderId="0" xfId="0" applyFont="1"/>
    <xf numFmtId="0" fontId="27" fillId="0" borderId="17"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51" xfId="0" applyFont="1" applyBorder="1" applyAlignment="1">
      <alignment horizontal="center" vertical="center" wrapText="1"/>
    </xf>
    <xf numFmtId="0" fontId="14" fillId="0" borderId="20" xfId="0" applyFont="1" applyBorder="1"/>
    <xf numFmtId="0" fontId="15" fillId="12" borderId="33" xfId="0" applyFont="1" applyFill="1" applyBorder="1"/>
    <xf numFmtId="0" fontId="15" fillId="12" borderId="17" xfId="0" applyFont="1" applyFill="1" applyBorder="1"/>
    <xf numFmtId="0" fontId="15" fillId="12" borderId="51" xfId="0" applyFont="1" applyFill="1" applyBorder="1"/>
    <xf numFmtId="0" fontId="14" fillId="0" borderId="33" xfId="0" applyFont="1" applyBorder="1"/>
    <xf numFmtId="0" fontId="14" fillId="0" borderId="17" xfId="0" applyFont="1" applyBorder="1"/>
    <xf numFmtId="0" fontId="14" fillId="0" borderId="51" xfId="0" applyFont="1" applyBorder="1"/>
    <xf numFmtId="0" fontId="27" fillId="0" borderId="33" xfId="0" applyFont="1" applyBorder="1" applyAlignment="1">
      <alignment horizontal="center" vertical="center" wrapText="1"/>
    </xf>
    <xf numFmtId="0" fontId="27" fillId="0" borderId="51" xfId="0" applyFont="1" applyBorder="1" applyAlignment="1">
      <alignment horizontal="center" vertical="center" wrapText="1"/>
    </xf>
    <xf numFmtId="0" fontId="27" fillId="0" borderId="17" xfId="0" applyFont="1" applyBorder="1" applyAlignment="1">
      <alignment horizontal="left" vertical="center" wrapText="1"/>
    </xf>
    <xf numFmtId="0" fontId="21" fillId="0" borderId="17" xfId="0" applyFont="1" applyBorder="1" applyAlignment="1">
      <alignment horizontal="left" vertical="center" wrapText="1"/>
    </xf>
    <xf numFmtId="0" fontId="21" fillId="0" borderId="51" xfId="0" applyFont="1" applyBorder="1" applyAlignment="1">
      <alignment horizontal="left" vertical="center" wrapText="1"/>
    </xf>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18</xdr:col>
      <xdr:colOff>505746</xdr:colOff>
      <xdr:row>35</xdr:row>
      <xdr:rowOff>172405</xdr:rowOff>
    </xdr:to>
    <xdr:pic>
      <xdr:nvPicPr>
        <xdr:cNvPr id="2" name="Imagen 1">
          <a:extLst>
            <a:ext uri="{FF2B5EF4-FFF2-40B4-BE49-F238E27FC236}">
              <a16:creationId xmlns:a16="http://schemas.microsoft.com/office/drawing/2014/main" id="{0FE3BAC1-A700-72BF-E938-21466D04060E}"/>
            </a:ext>
          </a:extLst>
        </xdr:cNvPr>
        <xdr:cNvPicPr>
          <a:picLocks noChangeAspect="1"/>
        </xdr:cNvPicPr>
      </xdr:nvPicPr>
      <xdr:blipFill>
        <a:blip xmlns:r="http://schemas.openxmlformats.org/officeDocument/2006/relationships" r:embed="rId1"/>
        <a:stretch>
          <a:fillRect/>
        </a:stretch>
      </xdr:blipFill>
      <xdr:spPr>
        <a:xfrm>
          <a:off x="4876800" y="0"/>
          <a:ext cx="6601746" cy="6839905"/>
        </a:xfrm>
        <a:prstGeom prst="rect">
          <a:avLst/>
        </a:prstGeom>
      </xdr:spPr>
    </xdr:pic>
    <xdr:clientData/>
  </xdr:twoCellAnchor>
  <xdr:twoCellAnchor editAs="oneCell">
    <xdr:from>
      <xdr:col>8</xdr:col>
      <xdr:colOff>371475</xdr:colOff>
      <xdr:row>35</xdr:row>
      <xdr:rowOff>161925</xdr:rowOff>
    </xdr:from>
    <xdr:to>
      <xdr:col>18</xdr:col>
      <xdr:colOff>172273</xdr:colOff>
      <xdr:row>43</xdr:row>
      <xdr:rowOff>76401</xdr:rowOff>
    </xdr:to>
    <xdr:pic>
      <xdr:nvPicPr>
        <xdr:cNvPr id="3" name="Imagen 2">
          <a:extLst>
            <a:ext uri="{FF2B5EF4-FFF2-40B4-BE49-F238E27FC236}">
              <a16:creationId xmlns:a16="http://schemas.microsoft.com/office/drawing/2014/main" id="{A88A64F7-5BD2-6E81-6025-0F0E2E5993B5}"/>
            </a:ext>
          </a:extLst>
        </xdr:cNvPr>
        <xdr:cNvPicPr>
          <a:picLocks noChangeAspect="1"/>
        </xdr:cNvPicPr>
      </xdr:nvPicPr>
      <xdr:blipFill>
        <a:blip xmlns:r="http://schemas.openxmlformats.org/officeDocument/2006/relationships" r:embed="rId2"/>
        <a:stretch>
          <a:fillRect/>
        </a:stretch>
      </xdr:blipFill>
      <xdr:spPr>
        <a:xfrm>
          <a:off x="5248275" y="6829425"/>
          <a:ext cx="5896798" cy="1438476"/>
        </a:xfrm>
        <a:prstGeom prst="rect">
          <a:avLst/>
        </a:prstGeom>
      </xdr:spPr>
    </xdr:pic>
    <xdr:clientData/>
  </xdr:twoCellAnchor>
  <xdr:twoCellAnchor editAs="oneCell">
    <xdr:from>
      <xdr:col>8</xdr:col>
      <xdr:colOff>371475</xdr:colOff>
      <xdr:row>43</xdr:row>
      <xdr:rowOff>103598</xdr:rowOff>
    </xdr:from>
    <xdr:to>
      <xdr:col>18</xdr:col>
      <xdr:colOff>523875</xdr:colOff>
      <xdr:row>57</xdr:row>
      <xdr:rowOff>28910</xdr:rowOff>
    </xdr:to>
    <xdr:pic>
      <xdr:nvPicPr>
        <xdr:cNvPr id="5" name="Imagen 4">
          <a:extLst>
            <a:ext uri="{FF2B5EF4-FFF2-40B4-BE49-F238E27FC236}">
              <a16:creationId xmlns:a16="http://schemas.microsoft.com/office/drawing/2014/main" id="{57D39B80-CA3F-AABF-616E-A93F2AB4F603}"/>
            </a:ext>
          </a:extLst>
        </xdr:cNvPr>
        <xdr:cNvPicPr>
          <a:picLocks noChangeAspect="1"/>
        </xdr:cNvPicPr>
      </xdr:nvPicPr>
      <xdr:blipFill>
        <a:blip xmlns:r="http://schemas.openxmlformats.org/officeDocument/2006/relationships" r:embed="rId3"/>
        <a:stretch>
          <a:fillRect/>
        </a:stretch>
      </xdr:blipFill>
      <xdr:spPr>
        <a:xfrm>
          <a:off x="5248275" y="8295098"/>
          <a:ext cx="6248400" cy="2592312"/>
        </a:xfrm>
        <a:prstGeom prst="rect">
          <a:avLst/>
        </a:prstGeom>
      </xdr:spPr>
    </xdr:pic>
    <xdr:clientData/>
  </xdr:twoCellAnchor>
  <xdr:twoCellAnchor editAs="oneCell">
    <xdr:from>
      <xdr:col>9</xdr:col>
      <xdr:colOff>0</xdr:colOff>
      <xdr:row>59</xdr:row>
      <xdr:rowOff>0</xdr:rowOff>
    </xdr:from>
    <xdr:to>
      <xdr:col>20</xdr:col>
      <xdr:colOff>105726</xdr:colOff>
      <xdr:row>86</xdr:row>
      <xdr:rowOff>162665</xdr:rowOff>
    </xdr:to>
    <xdr:pic>
      <xdr:nvPicPr>
        <xdr:cNvPr id="6" name="Imagen 5">
          <a:extLst>
            <a:ext uri="{FF2B5EF4-FFF2-40B4-BE49-F238E27FC236}">
              <a16:creationId xmlns:a16="http://schemas.microsoft.com/office/drawing/2014/main" id="{5C66B177-7E29-D7DB-7D32-FB5F990D19A4}"/>
            </a:ext>
          </a:extLst>
        </xdr:cNvPr>
        <xdr:cNvPicPr>
          <a:picLocks noChangeAspect="1"/>
        </xdr:cNvPicPr>
      </xdr:nvPicPr>
      <xdr:blipFill>
        <a:blip xmlns:r="http://schemas.openxmlformats.org/officeDocument/2006/relationships" r:embed="rId4"/>
        <a:stretch>
          <a:fillRect/>
        </a:stretch>
      </xdr:blipFill>
      <xdr:spPr>
        <a:xfrm>
          <a:off x="5486400" y="11239500"/>
          <a:ext cx="6811326" cy="5306165"/>
        </a:xfrm>
        <a:prstGeom prst="rect">
          <a:avLst/>
        </a:prstGeom>
      </xdr:spPr>
    </xdr:pic>
    <xdr:clientData/>
  </xdr:twoCellAnchor>
  <xdr:twoCellAnchor editAs="oneCell">
    <xdr:from>
      <xdr:col>8</xdr:col>
      <xdr:colOff>590550</xdr:colOff>
      <xdr:row>86</xdr:row>
      <xdr:rowOff>133350</xdr:rowOff>
    </xdr:from>
    <xdr:to>
      <xdr:col>19</xdr:col>
      <xdr:colOff>572433</xdr:colOff>
      <xdr:row>99</xdr:row>
      <xdr:rowOff>28906</xdr:rowOff>
    </xdr:to>
    <xdr:pic>
      <xdr:nvPicPr>
        <xdr:cNvPr id="8" name="Imagen 7">
          <a:extLst>
            <a:ext uri="{FF2B5EF4-FFF2-40B4-BE49-F238E27FC236}">
              <a16:creationId xmlns:a16="http://schemas.microsoft.com/office/drawing/2014/main" id="{57F2A4D5-89D1-8E5B-68A5-A82BAFD93162}"/>
            </a:ext>
          </a:extLst>
        </xdr:cNvPr>
        <xdr:cNvPicPr>
          <a:picLocks noChangeAspect="1"/>
        </xdr:cNvPicPr>
      </xdr:nvPicPr>
      <xdr:blipFill>
        <a:blip xmlns:r="http://schemas.openxmlformats.org/officeDocument/2006/relationships" r:embed="rId5"/>
        <a:stretch>
          <a:fillRect/>
        </a:stretch>
      </xdr:blipFill>
      <xdr:spPr>
        <a:xfrm>
          <a:off x="5467350" y="16516350"/>
          <a:ext cx="6687483" cy="2372056"/>
        </a:xfrm>
        <a:prstGeom prst="rect">
          <a:avLst/>
        </a:prstGeom>
      </xdr:spPr>
    </xdr:pic>
    <xdr:clientData/>
  </xdr:twoCellAnchor>
  <xdr:twoCellAnchor editAs="oneCell">
    <xdr:from>
      <xdr:col>9</xdr:col>
      <xdr:colOff>542925</xdr:colOff>
      <xdr:row>96</xdr:row>
      <xdr:rowOff>19050</xdr:rowOff>
    </xdr:from>
    <xdr:to>
      <xdr:col>19</xdr:col>
      <xdr:colOff>591407</xdr:colOff>
      <xdr:row>115</xdr:row>
      <xdr:rowOff>503</xdr:rowOff>
    </xdr:to>
    <xdr:pic>
      <xdr:nvPicPr>
        <xdr:cNvPr id="10" name="Imagen 9">
          <a:extLst>
            <a:ext uri="{FF2B5EF4-FFF2-40B4-BE49-F238E27FC236}">
              <a16:creationId xmlns:a16="http://schemas.microsoft.com/office/drawing/2014/main" id="{ED8AC81E-3325-07AA-57C3-7038D4ED8F24}"/>
            </a:ext>
          </a:extLst>
        </xdr:cNvPr>
        <xdr:cNvPicPr>
          <a:picLocks noChangeAspect="1"/>
        </xdr:cNvPicPr>
      </xdr:nvPicPr>
      <xdr:blipFill>
        <a:blip xmlns:r="http://schemas.openxmlformats.org/officeDocument/2006/relationships" r:embed="rId6"/>
        <a:stretch>
          <a:fillRect/>
        </a:stretch>
      </xdr:blipFill>
      <xdr:spPr>
        <a:xfrm>
          <a:off x="6029325" y="18307050"/>
          <a:ext cx="6144482" cy="3600953"/>
        </a:xfrm>
        <a:prstGeom prst="rect">
          <a:avLst/>
        </a:prstGeom>
      </xdr:spPr>
    </xdr:pic>
    <xdr:clientData/>
  </xdr:twoCellAnchor>
  <xdr:twoCellAnchor editAs="oneCell">
    <xdr:from>
      <xdr:col>9</xdr:col>
      <xdr:colOff>28575</xdr:colOff>
      <xdr:row>114</xdr:row>
      <xdr:rowOff>161925</xdr:rowOff>
    </xdr:from>
    <xdr:to>
      <xdr:col>21</xdr:col>
      <xdr:colOff>277281</xdr:colOff>
      <xdr:row>142</xdr:row>
      <xdr:rowOff>57880</xdr:rowOff>
    </xdr:to>
    <xdr:pic>
      <xdr:nvPicPr>
        <xdr:cNvPr id="11" name="Imagen 10">
          <a:extLst>
            <a:ext uri="{FF2B5EF4-FFF2-40B4-BE49-F238E27FC236}">
              <a16:creationId xmlns:a16="http://schemas.microsoft.com/office/drawing/2014/main" id="{26DEDC32-DB4C-9765-3C44-169CF4DDDDC7}"/>
            </a:ext>
          </a:extLst>
        </xdr:cNvPr>
        <xdr:cNvPicPr>
          <a:picLocks noChangeAspect="1"/>
        </xdr:cNvPicPr>
      </xdr:nvPicPr>
      <xdr:blipFill>
        <a:blip xmlns:r="http://schemas.openxmlformats.org/officeDocument/2006/relationships" r:embed="rId7"/>
        <a:stretch>
          <a:fillRect/>
        </a:stretch>
      </xdr:blipFill>
      <xdr:spPr>
        <a:xfrm>
          <a:off x="5514975" y="21878925"/>
          <a:ext cx="7563906" cy="5229955"/>
        </a:xfrm>
        <a:prstGeom prst="rect">
          <a:avLst/>
        </a:prstGeom>
      </xdr:spPr>
    </xdr:pic>
    <xdr:clientData/>
  </xdr:twoCellAnchor>
  <xdr:twoCellAnchor editAs="oneCell">
    <xdr:from>
      <xdr:col>9</xdr:col>
      <xdr:colOff>0</xdr:colOff>
      <xdr:row>144</xdr:row>
      <xdr:rowOff>0</xdr:rowOff>
    </xdr:from>
    <xdr:to>
      <xdr:col>19</xdr:col>
      <xdr:colOff>429536</xdr:colOff>
      <xdr:row>177</xdr:row>
      <xdr:rowOff>124720</xdr:rowOff>
    </xdr:to>
    <xdr:pic>
      <xdr:nvPicPr>
        <xdr:cNvPr id="12" name="Imagen 11">
          <a:extLst>
            <a:ext uri="{FF2B5EF4-FFF2-40B4-BE49-F238E27FC236}">
              <a16:creationId xmlns:a16="http://schemas.microsoft.com/office/drawing/2014/main" id="{1599D5C2-7315-5E7C-5DDE-547A49A33068}"/>
            </a:ext>
          </a:extLst>
        </xdr:cNvPr>
        <xdr:cNvPicPr>
          <a:picLocks noChangeAspect="1"/>
        </xdr:cNvPicPr>
      </xdr:nvPicPr>
      <xdr:blipFill>
        <a:blip xmlns:r="http://schemas.openxmlformats.org/officeDocument/2006/relationships" r:embed="rId8"/>
        <a:stretch>
          <a:fillRect/>
        </a:stretch>
      </xdr:blipFill>
      <xdr:spPr>
        <a:xfrm>
          <a:off x="5486400" y="27432000"/>
          <a:ext cx="6525536" cy="6411220"/>
        </a:xfrm>
        <a:prstGeom prst="rect">
          <a:avLst/>
        </a:prstGeom>
      </xdr:spPr>
    </xdr:pic>
    <xdr:clientData/>
  </xdr:twoCellAnchor>
  <xdr:twoCellAnchor editAs="oneCell">
    <xdr:from>
      <xdr:col>8</xdr:col>
      <xdr:colOff>238125</xdr:colOff>
      <xdr:row>177</xdr:row>
      <xdr:rowOff>142875</xdr:rowOff>
    </xdr:from>
    <xdr:to>
      <xdr:col>20</xdr:col>
      <xdr:colOff>239146</xdr:colOff>
      <xdr:row>191</xdr:row>
      <xdr:rowOff>95616</xdr:rowOff>
    </xdr:to>
    <xdr:pic>
      <xdr:nvPicPr>
        <xdr:cNvPr id="13" name="Imagen 12">
          <a:extLst>
            <a:ext uri="{FF2B5EF4-FFF2-40B4-BE49-F238E27FC236}">
              <a16:creationId xmlns:a16="http://schemas.microsoft.com/office/drawing/2014/main" id="{67622168-9C82-FF75-3A6D-0A8253103A47}"/>
            </a:ext>
          </a:extLst>
        </xdr:cNvPr>
        <xdr:cNvPicPr>
          <a:picLocks noChangeAspect="1"/>
        </xdr:cNvPicPr>
      </xdr:nvPicPr>
      <xdr:blipFill>
        <a:blip xmlns:r="http://schemas.openxmlformats.org/officeDocument/2006/relationships" r:embed="rId9"/>
        <a:stretch>
          <a:fillRect/>
        </a:stretch>
      </xdr:blipFill>
      <xdr:spPr>
        <a:xfrm>
          <a:off x="5114925" y="33861375"/>
          <a:ext cx="7316221" cy="2619741"/>
        </a:xfrm>
        <a:prstGeom prst="rect">
          <a:avLst/>
        </a:prstGeom>
      </xdr:spPr>
    </xdr:pic>
    <xdr:clientData/>
  </xdr:twoCellAnchor>
  <xdr:twoCellAnchor editAs="oneCell">
    <xdr:from>
      <xdr:col>8</xdr:col>
      <xdr:colOff>523875</xdr:colOff>
      <xdr:row>186</xdr:row>
      <xdr:rowOff>142875</xdr:rowOff>
    </xdr:from>
    <xdr:to>
      <xdr:col>20</xdr:col>
      <xdr:colOff>29527</xdr:colOff>
      <xdr:row>205</xdr:row>
      <xdr:rowOff>152907</xdr:rowOff>
    </xdr:to>
    <xdr:pic>
      <xdr:nvPicPr>
        <xdr:cNvPr id="14" name="Imagen 13">
          <a:extLst>
            <a:ext uri="{FF2B5EF4-FFF2-40B4-BE49-F238E27FC236}">
              <a16:creationId xmlns:a16="http://schemas.microsoft.com/office/drawing/2014/main" id="{EB18F2EA-39D7-870C-CE22-E3076E690BB2}"/>
            </a:ext>
          </a:extLst>
        </xdr:cNvPr>
        <xdr:cNvPicPr>
          <a:picLocks noChangeAspect="1"/>
        </xdr:cNvPicPr>
      </xdr:nvPicPr>
      <xdr:blipFill>
        <a:blip xmlns:r="http://schemas.openxmlformats.org/officeDocument/2006/relationships" r:embed="rId10"/>
        <a:stretch>
          <a:fillRect/>
        </a:stretch>
      </xdr:blipFill>
      <xdr:spPr>
        <a:xfrm>
          <a:off x="5400675" y="35575875"/>
          <a:ext cx="6820852" cy="3629532"/>
        </a:xfrm>
        <a:prstGeom prst="rect">
          <a:avLst/>
        </a:prstGeom>
      </xdr:spPr>
    </xdr:pic>
    <xdr:clientData/>
  </xdr:twoCellAnchor>
  <xdr:twoCellAnchor editAs="oneCell">
    <xdr:from>
      <xdr:col>8</xdr:col>
      <xdr:colOff>400050</xdr:colOff>
      <xdr:row>205</xdr:row>
      <xdr:rowOff>123825</xdr:rowOff>
    </xdr:from>
    <xdr:to>
      <xdr:col>20</xdr:col>
      <xdr:colOff>315334</xdr:colOff>
      <xdr:row>227</xdr:row>
      <xdr:rowOff>67252</xdr:rowOff>
    </xdr:to>
    <xdr:pic>
      <xdr:nvPicPr>
        <xdr:cNvPr id="15" name="Imagen 14">
          <a:extLst>
            <a:ext uri="{FF2B5EF4-FFF2-40B4-BE49-F238E27FC236}">
              <a16:creationId xmlns:a16="http://schemas.microsoft.com/office/drawing/2014/main" id="{CCC07FFB-C587-A248-89F2-1EED2C23FE5C}"/>
            </a:ext>
          </a:extLst>
        </xdr:cNvPr>
        <xdr:cNvPicPr>
          <a:picLocks noChangeAspect="1"/>
        </xdr:cNvPicPr>
      </xdr:nvPicPr>
      <xdr:blipFill>
        <a:blip xmlns:r="http://schemas.openxmlformats.org/officeDocument/2006/relationships" r:embed="rId11"/>
        <a:stretch>
          <a:fillRect/>
        </a:stretch>
      </xdr:blipFill>
      <xdr:spPr>
        <a:xfrm>
          <a:off x="5276850" y="39176325"/>
          <a:ext cx="7230484" cy="413442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4C959-76F9-4249-9012-127BD34A4830}">
  <dimension ref="A1:H34"/>
  <sheetViews>
    <sheetView workbookViewId="0">
      <selection activeCell="C21" sqref="C21:C34"/>
    </sheetView>
  </sheetViews>
  <sheetFormatPr baseColWidth="10" defaultColWidth="9.140625" defaultRowHeight="15" x14ac:dyDescent="0.25"/>
  <cols>
    <col min="1" max="1" width="8.28515625" customWidth="1"/>
    <col min="2" max="2" width="35.5703125" customWidth="1"/>
    <col min="3" max="3" width="38.85546875" customWidth="1"/>
    <col min="4" max="4" width="44.7109375" customWidth="1"/>
    <col min="5" max="5" width="38.140625" customWidth="1"/>
    <col min="6" max="6" width="34.42578125" customWidth="1"/>
    <col min="7" max="7" width="19" customWidth="1"/>
    <col min="8" max="8" width="26.28515625" customWidth="1"/>
  </cols>
  <sheetData>
    <row r="1" spans="1:8" x14ac:dyDescent="0.25">
      <c r="A1" s="20"/>
      <c r="B1" s="20"/>
      <c r="C1" s="20"/>
      <c r="D1" s="20"/>
      <c r="E1" s="20"/>
      <c r="F1" s="20"/>
      <c r="G1" s="20"/>
      <c r="H1" s="20"/>
    </row>
    <row r="2" spans="1:8" x14ac:dyDescent="0.25">
      <c r="A2" s="20" t="s">
        <v>0</v>
      </c>
      <c r="B2" s="20" t="s">
        <v>1</v>
      </c>
      <c r="C2" s="20"/>
      <c r="D2" s="20"/>
      <c r="E2" s="20"/>
      <c r="F2" s="20"/>
      <c r="G2" s="20"/>
      <c r="H2" s="20"/>
    </row>
    <row r="3" spans="1:8" x14ac:dyDescent="0.25">
      <c r="A3" s="20"/>
      <c r="B3" s="20"/>
      <c r="C3" s="20"/>
      <c r="D3" s="20"/>
      <c r="E3" s="20"/>
      <c r="F3" s="20"/>
      <c r="G3" s="20"/>
      <c r="H3" s="20"/>
    </row>
    <row r="4" spans="1:8" x14ac:dyDescent="0.25">
      <c r="A4" s="20"/>
      <c r="B4" s="20"/>
      <c r="C4" s="103" t="s">
        <v>2</v>
      </c>
      <c r="D4" s="104"/>
      <c r="E4" s="104"/>
      <c r="F4" s="104"/>
      <c r="G4" s="105"/>
      <c r="H4" s="20"/>
    </row>
    <row r="5" spans="1:8" x14ac:dyDescent="0.25">
      <c r="A5" s="20"/>
      <c r="B5" s="20"/>
      <c r="C5" s="39" t="s">
        <v>3</v>
      </c>
      <c r="D5" s="40" t="s">
        <v>4</v>
      </c>
      <c r="E5" s="41" t="s">
        <v>5</v>
      </c>
      <c r="F5" s="21" t="s">
        <v>6</v>
      </c>
      <c r="G5" s="22" t="s">
        <v>7</v>
      </c>
      <c r="H5" s="20"/>
    </row>
    <row r="6" spans="1:8" x14ac:dyDescent="0.25">
      <c r="A6" s="20"/>
      <c r="B6" s="20"/>
      <c r="C6" s="42" t="s">
        <v>8</v>
      </c>
      <c r="D6" s="43" t="s">
        <v>9</v>
      </c>
      <c r="E6" s="44" t="s">
        <v>10</v>
      </c>
      <c r="F6" s="23" t="s">
        <v>11</v>
      </c>
      <c r="G6" s="24" t="s">
        <v>12</v>
      </c>
      <c r="H6" s="20"/>
    </row>
    <row r="7" spans="1:8" ht="90" x14ac:dyDescent="0.25">
      <c r="A7" s="20"/>
      <c r="B7" s="20"/>
      <c r="C7" s="45" t="s">
        <v>13</v>
      </c>
      <c r="D7" s="36" t="s">
        <v>14</v>
      </c>
      <c r="E7" s="36" t="s">
        <v>15</v>
      </c>
      <c r="F7" s="36" t="s">
        <v>16</v>
      </c>
      <c r="G7" s="37" t="s">
        <v>17</v>
      </c>
      <c r="H7" s="20"/>
    </row>
    <row r="8" spans="1:8" x14ac:dyDescent="0.25">
      <c r="A8" s="20"/>
      <c r="B8" s="20"/>
      <c r="C8" s="25"/>
      <c r="D8" s="25"/>
      <c r="E8" s="25"/>
      <c r="F8" s="25"/>
      <c r="G8" s="20"/>
      <c r="H8" s="20"/>
    </row>
    <row r="9" spans="1:8" x14ac:dyDescent="0.25">
      <c r="A9" s="20" t="s">
        <v>18</v>
      </c>
      <c r="B9" s="26" t="s">
        <v>19</v>
      </c>
      <c r="C9" s="26"/>
      <c r="D9" s="20"/>
      <c r="E9" s="20"/>
      <c r="F9" s="20"/>
      <c r="G9" s="20"/>
      <c r="H9" s="20"/>
    </row>
    <row r="10" spans="1:8" x14ac:dyDescent="0.25">
      <c r="A10" s="20"/>
      <c r="B10" s="106" t="s">
        <v>20</v>
      </c>
      <c r="C10" s="107"/>
      <c r="D10" s="107"/>
      <c r="E10" s="107"/>
      <c r="F10" s="107"/>
      <c r="G10" s="108"/>
      <c r="H10" s="20"/>
    </row>
    <row r="11" spans="1:8" x14ac:dyDescent="0.25">
      <c r="A11" s="20"/>
      <c r="B11" s="109"/>
      <c r="C11" s="110"/>
      <c r="D11" s="110"/>
      <c r="E11" s="110"/>
      <c r="F11" s="110"/>
      <c r="G11" s="111"/>
      <c r="H11" s="20"/>
    </row>
    <row r="12" spans="1:8" x14ac:dyDescent="0.25">
      <c r="A12" s="20"/>
      <c r="B12" s="112"/>
      <c r="C12" s="113"/>
      <c r="D12" s="113"/>
      <c r="E12" s="113"/>
      <c r="F12" s="113"/>
      <c r="G12" s="114"/>
      <c r="H12" s="20"/>
    </row>
    <row r="13" spans="1:8" x14ac:dyDescent="0.25">
      <c r="A13" s="20"/>
      <c r="B13" s="20"/>
      <c r="C13" s="20"/>
      <c r="D13" s="20"/>
      <c r="E13" s="20"/>
      <c r="F13" s="20"/>
      <c r="G13" s="20"/>
      <c r="H13" s="20"/>
    </row>
    <row r="14" spans="1:8" x14ac:dyDescent="0.25">
      <c r="A14" s="20"/>
      <c r="B14" s="20"/>
      <c r="C14" s="20"/>
      <c r="D14" s="20"/>
      <c r="E14" s="20"/>
      <c r="F14" s="20"/>
      <c r="G14" s="20"/>
      <c r="H14" s="20"/>
    </row>
    <row r="15" spans="1:8" x14ac:dyDescent="0.25">
      <c r="A15" s="20"/>
      <c r="B15" s="20"/>
      <c r="C15" s="115" t="s">
        <v>21</v>
      </c>
      <c r="D15" s="116"/>
      <c r="E15" s="116"/>
      <c r="F15" s="116"/>
      <c r="G15" s="117"/>
      <c r="H15" s="20"/>
    </row>
    <row r="16" spans="1:8" x14ac:dyDescent="0.25">
      <c r="A16" s="20"/>
      <c r="B16" s="27"/>
      <c r="C16" s="28" t="s">
        <v>3</v>
      </c>
      <c r="D16" s="29" t="s">
        <v>4</v>
      </c>
      <c r="E16" s="30" t="s">
        <v>5</v>
      </c>
      <c r="F16" s="118" t="s">
        <v>22</v>
      </c>
      <c r="G16" s="119"/>
      <c r="H16" s="20"/>
    </row>
    <row r="17" spans="1:8" x14ac:dyDescent="0.25">
      <c r="A17" s="20"/>
      <c r="B17" s="31" t="s">
        <v>23</v>
      </c>
      <c r="C17" s="32" t="s">
        <v>24</v>
      </c>
      <c r="D17" s="33" t="s">
        <v>25</v>
      </c>
      <c r="E17" s="33" t="s">
        <v>26</v>
      </c>
      <c r="F17" s="120" t="s">
        <v>27</v>
      </c>
      <c r="G17" s="121"/>
      <c r="H17" s="20"/>
    </row>
    <row r="18" spans="1:8" ht="192" customHeight="1" x14ac:dyDescent="0.25">
      <c r="A18" s="20"/>
      <c r="B18" s="122" t="s">
        <v>28</v>
      </c>
      <c r="C18" s="35" t="s">
        <v>29</v>
      </c>
      <c r="D18" s="35" t="s">
        <v>30</v>
      </c>
      <c r="E18" s="35" t="s">
        <v>31</v>
      </c>
      <c r="F18" s="124" t="s">
        <v>32</v>
      </c>
      <c r="G18" s="125"/>
      <c r="H18" s="38" t="s">
        <v>33</v>
      </c>
    </row>
    <row r="19" spans="1:8" ht="33.75" customHeight="1" x14ac:dyDescent="0.25">
      <c r="A19" s="20"/>
      <c r="B19" s="122"/>
      <c r="C19" s="126" t="s">
        <v>34</v>
      </c>
      <c r="D19" s="127"/>
      <c r="E19" s="126" t="s">
        <v>35</v>
      </c>
      <c r="F19" s="126"/>
      <c r="G19" s="128"/>
      <c r="H19" s="20"/>
    </row>
    <row r="20" spans="1:8" ht="40.5" customHeight="1" x14ac:dyDescent="0.25">
      <c r="A20" s="20"/>
      <c r="B20" s="123"/>
      <c r="C20" s="129" t="s">
        <v>36</v>
      </c>
      <c r="D20" s="129"/>
      <c r="E20" s="129"/>
      <c r="F20" s="129"/>
      <c r="G20" s="130"/>
      <c r="H20" s="20"/>
    </row>
    <row r="21" spans="1:8" x14ac:dyDescent="0.25">
      <c r="A21" s="20"/>
      <c r="B21" s="131" t="s">
        <v>37</v>
      </c>
      <c r="C21" s="134" t="s">
        <v>38</v>
      </c>
      <c r="D21" s="99" t="s">
        <v>39</v>
      </c>
      <c r="E21" s="99" t="s">
        <v>40</v>
      </c>
      <c r="F21" s="99" t="s">
        <v>41</v>
      </c>
      <c r="G21" s="99" t="s">
        <v>42</v>
      </c>
      <c r="H21" s="20"/>
    </row>
    <row r="22" spans="1:8" x14ac:dyDescent="0.25">
      <c r="A22" s="20"/>
      <c r="B22" s="132"/>
      <c r="C22" s="135"/>
      <c r="D22" s="100"/>
      <c r="E22" s="100"/>
      <c r="F22" s="100"/>
      <c r="G22" s="100"/>
      <c r="H22" s="20"/>
    </row>
    <row r="23" spans="1:8" x14ac:dyDescent="0.25">
      <c r="A23" s="20"/>
      <c r="B23" s="132"/>
      <c r="C23" s="135"/>
      <c r="D23" s="100"/>
      <c r="E23" s="100"/>
      <c r="F23" s="100"/>
      <c r="G23" s="100"/>
      <c r="H23" s="20"/>
    </row>
    <row r="24" spans="1:8" x14ac:dyDescent="0.25">
      <c r="A24" s="20"/>
      <c r="B24" s="132"/>
      <c r="C24" s="135"/>
      <c r="D24" s="100"/>
      <c r="E24" s="100"/>
      <c r="F24" s="100"/>
      <c r="G24" s="100"/>
      <c r="H24" s="20"/>
    </row>
    <row r="25" spans="1:8" x14ac:dyDescent="0.25">
      <c r="A25" s="20"/>
      <c r="B25" s="132"/>
      <c r="C25" s="135"/>
      <c r="D25" s="100"/>
      <c r="E25" s="100"/>
      <c r="F25" s="100"/>
      <c r="G25" s="100"/>
      <c r="H25" s="20"/>
    </row>
    <row r="26" spans="1:8" x14ac:dyDescent="0.25">
      <c r="A26" s="20"/>
      <c r="B26" s="132"/>
      <c r="C26" s="135"/>
      <c r="D26" s="100"/>
      <c r="E26" s="100"/>
      <c r="F26" s="100"/>
      <c r="G26" s="100"/>
      <c r="H26" s="20"/>
    </row>
    <row r="27" spans="1:8" x14ac:dyDescent="0.25">
      <c r="A27" s="20"/>
      <c r="B27" s="132"/>
      <c r="C27" s="135"/>
      <c r="D27" s="100"/>
      <c r="E27" s="100"/>
      <c r="F27" s="100"/>
      <c r="G27" s="100"/>
      <c r="H27" s="20"/>
    </row>
    <row r="28" spans="1:8" x14ac:dyDescent="0.25">
      <c r="A28" s="20"/>
      <c r="B28" s="132"/>
      <c r="C28" s="135"/>
      <c r="D28" s="100"/>
      <c r="E28" s="100"/>
      <c r="F28" s="100"/>
      <c r="G28" s="100"/>
      <c r="H28" s="20"/>
    </row>
    <row r="29" spans="1:8" x14ac:dyDescent="0.25">
      <c r="A29" s="20"/>
      <c r="B29" s="132"/>
      <c r="C29" s="135"/>
      <c r="D29" s="100"/>
      <c r="E29" s="100"/>
      <c r="F29" s="100"/>
      <c r="G29" s="100"/>
      <c r="H29" s="20"/>
    </row>
    <row r="30" spans="1:8" x14ac:dyDescent="0.25">
      <c r="A30" s="20"/>
      <c r="B30" s="132"/>
      <c r="C30" s="135"/>
      <c r="D30" s="100"/>
      <c r="E30" s="100"/>
      <c r="F30" s="100"/>
      <c r="G30" s="100"/>
      <c r="H30" s="20"/>
    </row>
    <row r="31" spans="1:8" x14ac:dyDescent="0.25">
      <c r="A31" s="20"/>
      <c r="B31" s="132"/>
      <c r="C31" s="135"/>
      <c r="D31" s="100"/>
      <c r="E31" s="100"/>
      <c r="F31" s="100"/>
      <c r="G31" s="100"/>
      <c r="H31" s="20"/>
    </row>
    <row r="32" spans="1:8" x14ac:dyDescent="0.25">
      <c r="A32" s="20"/>
      <c r="B32" s="132"/>
      <c r="C32" s="135"/>
      <c r="D32" s="100"/>
      <c r="E32" s="100"/>
      <c r="F32" s="100"/>
      <c r="G32" s="100"/>
      <c r="H32" s="20"/>
    </row>
    <row r="33" spans="1:8" x14ac:dyDescent="0.25">
      <c r="A33" s="20"/>
      <c r="B33" s="132"/>
      <c r="C33" s="135"/>
      <c r="D33" s="100"/>
      <c r="E33" s="100"/>
      <c r="F33" s="100"/>
      <c r="G33" s="100"/>
      <c r="H33" s="20"/>
    </row>
    <row r="34" spans="1:8" ht="97.5" customHeight="1" x14ac:dyDescent="0.25">
      <c r="A34" s="20"/>
      <c r="B34" s="133"/>
      <c r="C34" s="136"/>
      <c r="D34" s="101"/>
      <c r="E34" s="101"/>
      <c r="F34" s="102"/>
      <c r="G34" s="102"/>
      <c r="H34" s="20"/>
    </row>
  </sheetData>
  <mergeCells count="16">
    <mergeCell ref="D21:D34"/>
    <mergeCell ref="E21:E34"/>
    <mergeCell ref="F21:F34"/>
    <mergeCell ref="G21:G34"/>
    <mergeCell ref="C4:G4"/>
    <mergeCell ref="B10:G12"/>
    <mergeCell ref="C15:G15"/>
    <mergeCell ref="F16:G16"/>
    <mergeCell ref="F17:G17"/>
    <mergeCell ref="B18:B20"/>
    <mergeCell ref="F18:G18"/>
    <mergeCell ref="C19:D19"/>
    <mergeCell ref="E19:G19"/>
    <mergeCell ref="C20:G20"/>
    <mergeCell ref="B21:B34"/>
    <mergeCell ref="C21:C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B729-20CE-4195-B458-3B2304D92864}">
  <dimension ref="A1"/>
  <sheetViews>
    <sheetView tabSelected="1" topLeftCell="A70" workbookViewId="0">
      <selection activeCell="J207" sqref="J207"/>
    </sheetView>
  </sheetViews>
  <sheetFormatPr baseColWidth="10" defaultColWidth="9.140625"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BA216"/>
  <sheetViews>
    <sheetView topLeftCell="G3" zoomScale="80" zoomScaleNormal="80" workbookViewId="0">
      <selection activeCell="P1" sqref="P1:Q2"/>
    </sheetView>
  </sheetViews>
  <sheetFormatPr baseColWidth="10" defaultColWidth="9.140625" defaultRowHeight="15" x14ac:dyDescent="0.25"/>
  <cols>
    <col min="1" max="1" width="20" customWidth="1"/>
    <col min="2" max="2" width="11.42578125" customWidth="1"/>
    <col min="3" max="3" width="33.28515625" customWidth="1"/>
    <col min="4" max="4" width="20.85546875" customWidth="1"/>
    <col min="5" max="5" width="23" customWidth="1"/>
    <col min="6" max="6" width="30.85546875" bestFit="1" customWidth="1"/>
    <col min="7" max="7" width="55.140625" customWidth="1"/>
    <col min="8" max="10" width="14.28515625" customWidth="1"/>
    <col min="11" max="11" width="24.85546875" customWidth="1"/>
    <col min="12" max="12" width="32.7109375" customWidth="1"/>
    <col min="13" max="13" width="25.7109375" customWidth="1"/>
    <col min="14" max="14" width="26" customWidth="1"/>
    <col min="15" max="15" width="25.28515625" customWidth="1"/>
    <col min="16" max="16" width="13.85546875" customWidth="1"/>
    <col min="17" max="17" width="64.5703125" customWidth="1"/>
    <col min="18" max="18" width="14.28515625" customWidth="1"/>
    <col min="19" max="19" width="20.5703125" customWidth="1"/>
    <col min="20" max="20" width="23.85546875" customWidth="1"/>
    <col min="21" max="21" width="16.85546875" hidden="1" customWidth="1"/>
  </cols>
  <sheetData>
    <row r="1" spans="1:53" s="5" customFormat="1" ht="93" customHeight="1" x14ac:dyDescent="0.25">
      <c r="A1" s="147" t="s">
        <v>43</v>
      </c>
      <c r="B1" s="148"/>
      <c r="C1" s="148"/>
      <c r="D1" s="148"/>
      <c r="E1" s="148"/>
      <c r="F1" s="148"/>
      <c r="G1" s="148"/>
      <c r="H1" s="148"/>
      <c r="I1" s="148"/>
      <c r="J1" s="149"/>
      <c r="K1" s="153" t="s">
        <v>44</v>
      </c>
      <c r="L1" s="154"/>
      <c r="M1" s="163" t="s">
        <v>45</v>
      </c>
      <c r="N1" s="163"/>
      <c r="O1" s="164"/>
      <c r="P1" s="169" t="s">
        <v>46</v>
      </c>
      <c r="Q1" s="170"/>
      <c r="R1" s="141" t="s">
        <v>47</v>
      </c>
      <c r="S1" s="142"/>
      <c r="T1" s="143"/>
    </row>
    <row r="2" spans="1:53" s="5" customFormat="1" ht="373.5" customHeight="1" x14ac:dyDescent="0.25">
      <c r="A2" s="150"/>
      <c r="B2" s="151"/>
      <c r="C2" s="151"/>
      <c r="D2" s="151"/>
      <c r="E2" s="151"/>
      <c r="F2" s="151"/>
      <c r="G2" s="151"/>
      <c r="H2" s="151"/>
      <c r="I2" s="151"/>
      <c r="J2" s="152"/>
      <c r="K2" s="155"/>
      <c r="L2" s="156"/>
      <c r="M2" s="165"/>
      <c r="N2" s="165"/>
      <c r="O2" s="166"/>
      <c r="P2" s="171"/>
      <c r="Q2" s="172"/>
      <c r="R2" s="144"/>
      <c r="S2" s="145"/>
      <c r="T2" s="146"/>
    </row>
    <row r="3" spans="1:53" s="3" customFormat="1" ht="96" customHeight="1" x14ac:dyDescent="0.25">
      <c r="A3" s="157" t="s">
        <v>48</v>
      </c>
      <c r="B3" s="137" t="s">
        <v>49</v>
      </c>
      <c r="C3" s="92"/>
      <c r="D3" s="137" t="s">
        <v>50</v>
      </c>
      <c r="E3" s="137" t="s">
        <v>51</v>
      </c>
      <c r="F3" s="137" t="s">
        <v>52</v>
      </c>
      <c r="G3" s="137" t="s">
        <v>53</v>
      </c>
      <c r="H3" s="137" t="s">
        <v>54</v>
      </c>
      <c r="I3" s="137" t="s">
        <v>55</v>
      </c>
      <c r="J3" s="139" t="s">
        <v>56</v>
      </c>
      <c r="K3" s="159" t="s">
        <v>57</v>
      </c>
      <c r="L3" s="161" t="s">
        <v>58</v>
      </c>
      <c r="M3" s="167" t="s">
        <v>59</v>
      </c>
      <c r="N3" s="168"/>
      <c r="O3" s="168"/>
      <c r="P3" s="175" t="s">
        <v>60</v>
      </c>
      <c r="Q3" s="173" t="s">
        <v>61</v>
      </c>
      <c r="R3" s="10" t="s">
        <v>62</v>
      </c>
      <c r="S3" s="17" t="s">
        <v>63</v>
      </c>
      <c r="T3" s="13" t="s">
        <v>64</v>
      </c>
    </row>
    <row r="4" spans="1:53" s="14" customFormat="1" ht="115.5" customHeight="1" x14ac:dyDescent="0.25">
      <c r="A4" s="158"/>
      <c r="B4" s="138"/>
      <c r="C4" s="93"/>
      <c r="D4" s="138"/>
      <c r="E4" s="138"/>
      <c r="F4" s="138"/>
      <c r="G4" s="138"/>
      <c r="H4" s="138"/>
      <c r="I4" s="138"/>
      <c r="J4" s="140"/>
      <c r="K4" s="160"/>
      <c r="L4" s="162"/>
      <c r="M4" s="15" t="s">
        <v>65</v>
      </c>
      <c r="N4" s="15" t="s">
        <v>66</v>
      </c>
      <c r="O4" s="46" t="s">
        <v>67</v>
      </c>
      <c r="P4" s="176"/>
      <c r="Q4" s="174"/>
      <c r="R4" s="66"/>
      <c r="S4" s="18"/>
      <c r="T4" s="13"/>
      <c r="U4" s="67" t="s">
        <v>68</v>
      </c>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row>
    <row r="5" spans="1:53" ht="24" customHeight="1" x14ac:dyDescent="0.25">
      <c r="A5" s="11">
        <v>14209461</v>
      </c>
      <c r="B5" s="11">
        <v>4</v>
      </c>
      <c r="C5" s="11" t="s">
        <v>69</v>
      </c>
      <c r="D5" s="12" t="s">
        <v>70</v>
      </c>
      <c r="E5" s="12" t="s">
        <v>71</v>
      </c>
      <c r="F5" s="12" t="s">
        <v>72</v>
      </c>
      <c r="G5" s="34" t="s">
        <v>73</v>
      </c>
      <c r="H5" s="95" t="s">
        <v>74</v>
      </c>
      <c r="I5" s="88">
        <v>45748</v>
      </c>
      <c r="J5" s="70"/>
      <c r="K5" s="69">
        <v>2</v>
      </c>
      <c r="L5" s="70">
        <v>2</v>
      </c>
      <c r="M5" s="70">
        <v>1</v>
      </c>
      <c r="N5" s="70">
        <v>2</v>
      </c>
      <c r="O5" s="70">
        <v>1</v>
      </c>
      <c r="P5" s="70">
        <v>3</v>
      </c>
      <c r="Q5" s="70">
        <v>3</v>
      </c>
      <c r="R5" s="7">
        <f t="shared" ref="R5:R68" si="0">SUM(K5:Q5)</f>
        <v>14</v>
      </c>
      <c r="S5" s="19">
        <f>R5/21</f>
        <v>0.66666666666666663</v>
      </c>
      <c r="T5" s="16" t="str">
        <f>IF(H5="Rendida",IF(S4&lt;49.5%,"Por Mejorar",IF(S5&lt;64.5%,"Base",IF(S5&lt;84.5%,"Satisfactorio","Óptimo"))),"No rendida o no válida")</f>
        <v>Por Mejorar</v>
      </c>
      <c r="U5" s="68" t="s">
        <v>75</v>
      </c>
    </row>
    <row r="6" spans="1:53" ht="30" x14ac:dyDescent="0.25">
      <c r="A6" s="8">
        <v>17346603</v>
      </c>
      <c r="B6" s="8" t="s">
        <v>76</v>
      </c>
      <c r="C6" s="11" t="s">
        <v>77</v>
      </c>
      <c r="D6" s="9" t="s">
        <v>78</v>
      </c>
      <c r="E6" s="9" t="s">
        <v>79</v>
      </c>
      <c r="F6" s="9" t="s">
        <v>80</v>
      </c>
      <c r="G6" s="71" t="s">
        <v>81</v>
      </c>
      <c r="H6" s="96" t="s">
        <v>82</v>
      </c>
      <c r="I6" s="72"/>
      <c r="J6" s="72"/>
      <c r="K6" s="72"/>
      <c r="L6" s="72"/>
      <c r="M6" s="72"/>
      <c r="N6" s="2"/>
      <c r="O6" s="2"/>
      <c r="P6" s="2"/>
      <c r="Q6" s="2"/>
      <c r="R6" s="7">
        <f t="shared" si="0"/>
        <v>0</v>
      </c>
      <c r="S6" s="19">
        <f t="shared" ref="S6:S69" si="1">R6/21</f>
        <v>0</v>
      </c>
      <c r="T6" s="16" t="str">
        <f t="shared" ref="T6:T69" si="2">IF(H6="Rendida",IF(S5&lt;49.5%,"Por Mejorar",IF(S6&lt;64.5%,"Base",IF(S6&lt;84.5%,"Satisfactorio","Óptimo"))),"No rendida o no válida")</f>
        <v>No rendida o no válida</v>
      </c>
      <c r="U6" s="68" t="s">
        <v>83</v>
      </c>
    </row>
    <row r="7" spans="1:53" ht="30" x14ac:dyDescent="0.25">
      <c r="A7" s="8">
        <v>18871583</v>
      </c>
      <c r="B7" s="8">
        <v>4</v>
      </c>
      <c r="C7" s="11" t="s">
        <v>84</v>
      </c>
      <c r="D7" s="9" t="s">
        <v>85</v>
      </c>
      <c r="E7" s="9" t="s">
        <v>86</v>
      </c>
      <c r="F7" s="9" t="s">
        <v>87</v>
      </c>
      <c r="G7" s="34" t="s">
        <v>73</v>
      </c>
      <c r="H7" s="95" t="s">
        <v>74</v>
      </c>
      <c r="I7" s="88">
        <v>45748</v>
      </c>
      <c r="J7" s="72"/>
      <c r="K7" s="69">
        <v>2</v>
      </c>
      <c r="L7" s="70" t="s">
        <v>88</v>
      </c>
      <c r="M7" s="70">
        <v>3</v>
      </c>
      <c r="N7" s="70">
        <v>1</v>
      </c>
      <c r="O7" s="70">
        <v>1</v>
      </c>
      <c r="P7" s="70">
        <v>3</v>
      </c>
      <c r="Q7" s="70">
        <v>2</v>
      </c>
      <c r="R7" s="7">
        <f t="shared" si="0"/>
        <v>12</v>
      </c>
      <c r="S7" s="19">
        <f t="shared" si="1"/>
        <v>0.5714285714285714</v>
      </c>
      <c r="T7" s="16" t="str">
        <f t="shared" si="2"/>
        <v>Por Mejorar</v>
      </c>
      <c r="U7" s="68" t="s">
        <v>75</v>
      </c>
    </row>
    <row r="8" spans="1:53" ht="30" x14ac:dyDescent="0.25">
      <c r="A8" s="8">
        <v>19031978</v>
      </c>
      <c r="B8" s="8">
        <v>4</v>
      </c>
      <c r="C8" s="11" t="s">
        <v>89</v>
      </c>
      <c r="D8" s="9" t="s">
        <v>90</v>
      </c>
      <c r="E8" s="9" t="s">
        <v>91</v>
      </c>
      <c r="F8" s="9" t="s">
        <v>92</v>
      </c>
      <c r="G8" s="34" t="s">
        <v>73</v>
      </c>
      <c r="H8" s="95" t="s">
        <v>74</v>
      </c>
      <c r="I8" s="88">
        <v>45748</v>
      </c>
      <c r="J8" s="72"/>
      <c r="K8" s="71">
        <v>2</v>
      </c>
      <c r="L8" s="72">
        <v>1</v>
      </c>
      <c r="M8" s="72">
        <v>3</v>
      </c>
      <c r="N8" s="72">
        <v>1</v>
      </c>
      <c r="O8" s="72">
        <v>2</v>
      </c>
      <c r="P8" s="72">
        <v>3</v>
      </c>
      <c r="Q8" s="72">
        <v>2</v>
      </c>
      <c r="R8" s="7">
        <f t="shared" si="0"/>
        <v>14</v>
      </c>
      <c r="S8" s="19">
        <f t="shared" si="1"/>
        <v>0.66666666666666663</v>
      </c>
      <c r="T8" s="16" t="str">
        <f t="shared" si="2"/>
        <v>Satisfactorio</v>
      </c>
      <c r="U8" s="68" t="s">
        <v>75</v>
      </c>
    </row>
    <row r="9" spans="1:53" ht="30" x14ac:dyDescent="0.25">
      <c r="A9" s="8">
        <v>19174663</v>
      </c>
      <c r="B9" s="8">
        <v>5</v>
      </c>
      <c r="C9" s="11" t="s">
        <v>93</v>
      </c>
      <c r="D9" s="9" t="s">
        <v>94</v>
      </c>
      <c r="E9" s="9" t="s">
        <v>95</v>
      </c>
      <c r="F9" s="9" t="s">
        <v>96</v>
      </c>
      <c r="G9" s="34" t="s">
        <v>73</v>
      </c>
      <c r="H9" s="95" t="s">
        <v>74</v>
      </c>
      <c r="I9" s="88">
        <v>45748</v>
      </c>
      <c r="J9" s="72"/>
      <c r="K9" s="71">
        <v>3</v>
      </c>
      <c r="L9" s="72">
        <v>2</v>
      </c>
      <c r="M9" s="72">
        <v>1</v>
      </c>
      <c r="N9" s="72">
        <v>2</v>
      </c>
      <c r="O9" s="72">
        <v>2</v>
      </c>
      <c r="P9" s="72">
        <v>3</v>
      </c>
      <c r="Q9" s="72" t="s">
        <v>88</v>
      </c>
      <c r="R9" s="7">
        <f t="shared" si="0"/>
        <v>13</v>
      </c>
      <c r="S9" s="19">
        <f t="shared" si="1"/>
        <v>0.61904761904761907</v>
      </c>
      <c r="T9" s="16" t="str">
        <f t="shared" si="2"/>
        <v>Base</v>
      </c>
      <c r="U9" s="68" t="s">
        <v>75</v>
      </c>
    </row>
    <row r="10" spans="1:53" ht="30" x14ac:dyDescent="0.25">
      <c r="A10" s="8">
        <v>19209871</v>
      </c>
      <c r="B10" s="8">
        <v>8</v>
      </c>
      <c r="C10" s="11" t="s">
        <v>97</v>
      </c>
      <c r="D10" s="9" t="s">
        <v>98</v>
      </c>
      <c r="E10" s="9" t="s">
        <v>99</v>
      </c>
      <c r="F10" s="9" t="s">
        <v>100</v>
      </c>
      <c r="G10" s="34" t="s">
        <v>101</v>
      </c>
      <c r="H10" s="96" t="s">
        <v>82</v>
      </c>
      <c r="I10" s="72"/>
      <c r="J10" s="89"/>
      <c r="K10" s="72"/>
      <c r="L10" s="72"/>
      <c r="M10" s="72"/>
      <c r="N10" s="2"/>
      <c r="O10" s="2"/>
      <c r="P10" s="2"/>
      <c r="Q10" s="2"/>
      <c r="R10" s="7">
        <f t="shared" si="0"/>
        <v>0</v>
      </c>
      <c r="S10" s="19">
        <f t="shared" si="1"/>
        <v>0</v>
      </c>
      <c r="T10" s="16" t="str">
        <f t="shared" si="2"/>
        <v>No rendida o no válida</v>
      </c>
      <c r="U10" s="68" t="s">
        <v>102</v>
      </c>
    </row>
    <row r="11" spans="1:53" ht="30" x14ac:dyDescent="0.25">
      <c r="A11" s="8">
        <v>19407332</v>
      </c>
      <c r="B11" s="8">
        <v>1</v>
      </c>
      <c r="C11" s="11" t="s">
        <v>103</v>
      </c>
      <c r="D11" s="9" t="s">
        <v>104</v>
      </c>
      <c r="E11" s="9" t="s">
        <v>105</v>
      </c>
      <c r="F11" s="9" t="s">
        <v>106</v>
      </c>
      <c r="G11" s="34" t="s">
        <v>73</v>
      </c>
      <c r="H11" s="95" t="s">
        <v>74</v>
      </c>
      <c r="I11" s="88">
        <v>45748</v>
      </c>
      <c r="J11" s="72"/>
      <c r="K11" s="69">
        <v>1</v>
      </c>
      <c r="L11" s="70" t="s">
        <v>88</v>
      </c>
      <c r="M11" s="70">
        <v>0</v>
      </c>
      <c r="N11" s="70">
        <v>0</v>
      </c>
      <c r="O11" s="70">
        <v>0</v>
      </c>
      <c r="P11" s="70">
        <v>3</v>
      </c>
      <c r="Q11" s="70" t="s">
        <v>88</v>
      </c>
      <c r="R11" s="7">
        <f t="shared" si="0"/>
        <v>4</v>
      </c>
      <c r="S11" s="19">
        <f t="shared" si="1"/>
        <v>0.19047619047619047</v>
      </c>
      <c r="T11" s="16" t="str">
        <f t="shared" si="2"/>
        <v>Por Mejorar</v>
      </c>
      <c r="U11" s="68" t="s">
        <v>75</v>
      </c>
    </row>
    <row r="12" spans="1:53" ht="30" x14ac:dyDescent="0.25">
      <c r="A12" s="8">
        <v>19427035</v>
      </c>
      <c r="B12" s="8">
        <v>6</v>
      </c>
      <c r="C12" s="11" t="s">
        <v>107</v>
      </c>
      <c r="D12" s="9" t="s">
        <v>91</v>
      </c>
      <c r="E12" s="9" t="s">
        <v>108</v>
      </c>
      <c r="F12" s="9" t="s">
        <v>109</v>
      </c>
      <c r="G12" s="34" t="s">
        <v>73</v>
      </c>
      <c r="H12" s="95" t="s">
        <v>74</v>
      </c>
      <c r="I12" s="88">
        <v>45748</v>
      </c>
      <c r="J12" s="72"/>
      <c r="K12" s="71">
        <v>1</v>
      </c>
      <c r="L12" s="72" t="s">
        <v>88</v>
      </c>
      <c r="M12" s="72">
        <v>3</v>
      </c>
      <c r="N12" s="72">
        <v>1</v>
      </c>
      <c r="O12" s="72">
        <v>1</v>
      </c>
      <c r="P12" s="72">
        <v>3</v>
      </c>
      <c r="Q12" s="72" t="s">
        <v>88</v>
      </c>
      <c r="R12" s="7">
        <f t="shared" si="0"/>
        <v>9</v>
      </c>
      <c r="S12" s="19">
        <f t="shared" si="1"/>
        <v>0.42857142857142855</v>
      </c>
      <c r="T12" s="16" t="str">
        <f t="shared" si="2"/>
        <v>Por Mejorar</v>
      </c>
      <c r="U12" s="68" t="s">
        <v>75</v>
      </c>
    </row>
    <row r="13" spans="1:53" ht="30" x14ac:dyDescent="0.25">
      <c r="A13" s="8">
        <v>19751275</v>
      </c>
      <c r="B13" s="8" t="s">
        <v>76</v>
      </c>
      <c r="C13" s="11" t="s">
        <v>110</v>
      </c>
      <c r="D13" s="9" t="s">
        <v>111</v>
      </c>
      <c r="E13" s="9" t="s">
        <v>112</v>
      </c>
      <c r="F13" s="9" t="s">
        <v>113</v>
      </c>
      <c r="G13" s="34" t="s">
        <v>73</v>
      </c>
      <c r="H13" s="95" t="s">
        <v>74</v>
      </c>
      <c r="I13" s="88">
        <v>45748</v>
      </c>
      <c r="J13" s="72"/>
      <c r="K13" s="71">
        <v>3</v>
      </c>
      <c r="L13" s="72">
        <v>2</v>
      </c>
      <c r="M13" s="72">
        <v>2</v>
      </c>
      <c r="N13" s="72">
        <v>1</v>
      </c>
      <c r="O13" s="72">
        <v>0</v>
      </c>
      <c r="P13" s="72">
        <v>3</v>
      </c>
      <c r="Q13" s="72">
        <v>0</v>
      </c>
      <c r="R13" s="7">
        <f t="shared" si="0"/>
        <v>11</v>
      </c>
      <c r="S13" s="19">
        <f t="shared" si="1"/>
        <v>0.52380952380952384</v>
      </c>
      <c r="T13" s="16" t="str">
        <f t="shared" si="2"/>
        <v>Por Mejorar</v>
      </c>
      <c r="U13" s="68" t="s">
        <v>75</v>
      </c>
    </row>
    <row r="14" spans="1:53" ht="30" x14ac:dyDescent="0.25">
      <c r="A14" s="8">
        <v>19777121</v>
      </c>
      <c r="B14" s="8">
        <v>6</v>
      </c>
      <c r="C14" s="11" t="s">
        <v>114</v>
      </c>
      <c r="D14" s="9" t="s">
        <v>115</v>
      </c>
      <c r="E14" s="9" t="s">
        <v>116</v>
      </c>
      <c r="F14" s="9" t="s">
        <v>117</v>
      </c>
      <c r="G14" s="34" t="s">
        <v>118</v>
      </c>
      <c r="H14" s="96" t="s">
        <v>82</v>
      </c>
      <c r="I14" s="72"/>
      <c r="J14" s="72"/>
      <c r="K14" s="72"/>
      <c r="L14" s="72"/>
      <c r="M14" s="72"/>
      <c r="N14" s="2"/>
      <c r="O14" s="2"/>
      <c r="P14" s="2"/>
      <c r="Q14" s="2"/>
      <c r="R14" s="7">
        <f t="shared" si="0"/>
        <v>0</v>
      </c>
      <c r="S14" s="19">
        <f t="shared" si="1"/>
        <v>0</v>
      </c>
      <c r="T14" s="16" t="str">
        <f t="shared" si="2"/>
        <v>No rendida o no válida</v>
      </c>
      <c r="U14" s="68" t="s">
        <v>119</v>
      </c>
    </row>
    <row r="15" spans="1:53" ht="30" x14ac:dyDescent="0.25">
      <c r="A15" s="8">
        <v>19953547</v>
      </c>
      <c r="B15" s="8">
        <v>1</v>
      </c>
      <c r="C15" s="11" t="s">
        <v>120</v>
      </c>
      <c r="D15" s="9" t="s">
        <v>121</v>
      </c>
      <c r="E15" s="9" t="s">
        <v>122</v>
      </c>
      <c r="F15" s="9" t="s">
        <v>123</v>
      </c>
      <c r="G15" s="34" t="s">
        <v>73</v>
      </c>
      <c r="H15" s="95" t="s">
        <v>74</v>
      </c>
      <c r="I15" s="88">
        <v>45748</v>
      </c>
      <c r="J15" s="72"/>
      <c r="K15" s="69">
        <v>2</v>
      </c>
      <c r="L15" s="70">
        <v>2</v>
      </c>
      <c r="M15" s="70">
        <v>3</v>
      </c>
      <c r="N15" s="70">
        <v>2</v>
      </c>
      <c r="O15" s="70">
        <v>1</v>
      </c>
      <c r="P15" s="70">
        <v>3</v>
      </c>
      <c r="Q15" s="70">
        <v>0</v>
      </c>
      <c r="R15" s="7">
        <f t="shared" si="0"/>
        <v>13</v>
      </c>
      <c r="S15" s="19">
        <f t="shared" si="1"/>
        <v>0.61904761904761907</v>
      </c>
      <c r="T15" s="16" t="str">
        <f t="shared" si="2"/>
        <v>Por Mejorar</v>
      </c>
      <c r="U15" s="68" t="s">
        <v>75</v>
      </c>
    </row>
    <row r="16" spans="1:53" ht="30" x14ac:dyDescent="0.25">
      <c r="A16" s="8">
        <v>19958869</v>
      </c>
      <c r="B16" s="8">
        <v>9</v>
      </c>
      <c r="C16" s="11" t="s">
        <v>124</v>
      </c>
      <c r="D16" s="9" t="s">
        <v>125</v>
      </c>
      <c r="E16" s="9" t="s">
        <v>126</v>
      </c>
      <c r="F16" s="9" t="s">
        <v>127</v>
      </c>
      <c r="G16" s="34" t="s">
        <v>73</v>
      </c>
      <c r="H16" s="95" t="s">
        <v>74</v>
      </c>
      <c r="I16" s="88">
        <v>45748</v>
      </c>
      <c r="J16" s="72"/>
      <c r="K16" s="71">
        <v>2</v>
      </c>
      <c r="L16" s="72">
        <v>1</v>
      </c>
      <c r="M16" s="72">
        <v>1</v>
      </c>
      <c r="N16" s="72">
        <v>1</v>
      </c>
      <c r="O16" s="72">
        <v>1</v>
      </c>
      <c r="P16" s="72">
        <v>3</v>
      </c>
      <c r="Q16" s="72">
        <v>2</v>
      </c>
      <c r="R16" s="7">
        <f t="shared" si="0"/>
        <v>11</v>
      </c>
      <c r="S16" s="19">
        <f t="shared" si="1"/>
        <v>0.52380952380952384</v>
      </c>
      <c r="T16" s="16" t="str">
        <f t="shared" si="2"/>
        <v>Base</v>
      </c>
      <c r="U16" s="68" t="s">
        <v>75</v>
      </c>
    </row>
    <row r="17" spans="1:21" ht="30" x14ac:dyDescent="0.25">
      <c r="A17" s="8">
        <v>20008404</v>
      </c>
      <c r="B17" s="8">
        <v>7</v>
      </c>
      <c r="C17" s="11" t="s">
        <v>128</v>
      </c>
      <c r="D17" s="9" t="s">
        <v>129</v>
      </c>
      <c r="E17" s="9" t="s">
        <v>130</v>
      </c>
      <c r="F17" s="9" t="s">
        <v>131</v>
      </c>
      <c r="G17" s="34" t="s">
        <v>73</v>
      </c>
      <c r="H17" s="95" t="s">
        <v>74</v>
      </c>
      <c r="I17" s="88">
        <v>45748</v>
      </c>
      <c r="J17" s="72"/>
      <c r="K17" s="71">
        <v>2</v>
      </c>
      <c r="L17" s="72">
        <v>1</v>
      </c>
      <c r="M17" s="72">
        <v>3</v>
      </c>
      <c r="N17" s="72">
        <v>2</v>
      </c>
      <c r="O17" s="72">
        <v>2</v>
      </c>
      <c r="P17" s="72">
        <v>3</v>
      </c>
      <c r="Q17" s="72">
        <v>2</v>
      </c>
      <c r="R17" s="7">
        <f t="shared" si="0"/>
        <v>15</v>
      </c>
      <c r="S17" s="19">
        <f t="shared" si="1"/>
        <v>0.7142857142857143</v>
      </c>
      <c r="T17" s="16" t="str">
        <f t="shared" si="2"/>
        <v>Satisfactorio</v>
      </c>
      <c r="U17" s="68" t="s">
        <v>75</v>
      </c>
    </row>
    <row r="18" spans="1:21" ht="30" x14ac:dyDescent="0.25">
      <c r="A18" s="8">
        <v>20022966</v>
      </c>
      <c r="B18" s="8">
        <v>5</v>
      </c>
      <c r="C18" s="11" t="s">
        <v>132</v>
      </c>
      <c r="D18" s="9" t="s">
        <v>133</v>
      </c>
      <c r="E18" s="9" t="s">
        <v>134</v>
      </c>
      <c r="F18" s="9" t="s">
        <v>135</v>
      </c>
      <c r="G18" s="34" t="s">
        <v>73</v>
      </c>
      <c r="H18" s="95" t="s">
        <v>74</v>
      </c>
      <c r="I18" s="88">
        <v>45748</v>
      </c>
      <c r="J18" s="72"/>
      <c r="K18" s="71">
        <v>2</v>
      </c>
      <c r="L18" s="72" t="s">
        <v>88</v>
      </c>
      <c r="M18" s="72" t="s">
        <v>88</v>
      </c>
      <c r="N18" s="72" t="s">
        <v>88</v>
      </c>
      <c r="O18" s="72" t="s">
        <v>88</v>
      </c>
      <c r="P18" s="72" t="s">
        <v>88</v>
      </c>
      <c r="Q18" s="72" t="s">
        <v>88</v>
      </c>
      <c r="R18" s="7">
        <f t="shared" si="0"/>
        <v>2</v>
      </c>
      <c r="S18" s="19">
        <f t="shared" si="1"/>
        <v>9.5238095238095233E-2</v>
      </c>
      <c r="T18" s="16" t="str">
        <f t="shared" si="2"/>
        <v>Base</v>
      </c>
      <c r="U18" s="68" t="s">
        <v>75</v>
      </c>
    </row>
    <row r="19" spans="1:21" ht="30" x14ac:dyDescent="0.25">
      <c r="A19" s="8">
        <v>20110741</v>
      </c>
      <c r="B19" s="8">
        <v>5</v>
      </c>
      <c r="C19" s="11" t="s">
        <v>136</v>
      </c>
      <c r="D19" s="9" t="s">
        <v>137</v>
      </c>
      <c r="E19" s="9" t="s">
        <v>138</v>
      </c>
      <c r="F19" s="9" t="s">
        <v>139</v>
      </c>
      <c r="G19" s="34" t="s">
        <v>73</v>
      </c>
      <c r="H19" s="96" t="s">
        <v>74</v>
      </c>
      <c r="I19" s="72">
        <v>2024</v>
      </c>
      <c r="J19" s="72"/>
      <c r="K19" s="72"/>
      <c r="L19" s="72"/>
      <c r="M19" s="72"/>
      <c r="N19" s="2"/>
      <c r="O19" s="2"/>
      <c r="P19" s="2"/>
      <c r="Q19" s="2"/>
      <c r="R19" s="7">
        <f t="shared" si="0"/>
        <v>0</v>
      </c>
      <c r="S19" s="19">
        <f t="shared" si="1"/>
        <v>0</v>
      </c>
      <c r="T19" s="16" t="str">
        <f t="shared" si="2"/>
        <v>Por Mejorar</v>
      </c>
      <c r="U19" s="68" t="s">
        <v>140</v>
      </c>
    </row>
    <row r="20" spans="1:21" ht="30" x14ac:dyDescent="0.25">
      <c r="A20" s="8">
        <v>20149500</v>
      </c>
      <c r="B20" s="8">
        <v>8</v>
      </c>
      <c r="C20" s="11" t="s">
        <v>141</v>
      </c>
      <c r="D20" s="9" t="s">
        <v>142</v>
      </c>
      <c r="E20" s="9" t="s">
        <v>143</v>
      </c>
      <c r="F20" s="9" t="s">
        <v>144</v>
      </c>
      <c r="G20" s="34" t="s">
        <v>73</v>
      </c>
      <c r="H20" s="96" t="s">
        <v>74</v>
      </c>
      <c r="I20" s="72">
        <v>2024</v>
      </c>
      <c r="J20" s="72"/>
      <c r="K20" s="72"/>
      <c r="L20" s="72"/>
      <c r="M20" s="72"/>
      <c r="N20" s="2"/>
      <c r="O20" s="2"/>
      <c r="P20" s="2"/>
      <c r="Q20" s="2"/>
      <c r="R20" s="7">
        <f t="shared" si="0"/>
        <v>0</v>
      </c>
      <c r="S20" s="19">
        <f t="shared" si="1"/>
        <v>0</v>
      </c>
      <c r="T20" s="16" t="str">
        <f t="shared" si="2"/>
        <v>Por Mejorar</v>
      </c>
      <c r="U20" s="68" t="s">
        <v>140</v>
      </c>
    </row>
    <row r="21" spans="1:21" ht="30" x14ac:dyDescent="0.25">
      <c r="A21" s="8">
        <v>20191569</v>
      </c>
      <c r="B21" s="8">
        <v>4</v>
      </c>
      <c r="C21" s="11" t="s">
        <v>145</v>
      </c>
      <c r="D21" s="9" t="s">
        <v>146</v>
      </c>
      <c r="E21" s="9" t="s">
        <v>147</v>
      </c>
      <c r="F21" s="9" t="s">
        <v>148</v>
      </c>
      <c r="G21" s="34" t="s">
        <v>73</v>
      </c>
      <c r="H21" s="95" t="s">
        <v>74</v>
      </c>
      <c r="I21" s="88">
        <v>45748</v>
      </c>
      <c r="J21" s="72"/>
      <c r="K21" s="69">
        <v>3</v>
      </c>
      <c r="L21" s="70">
        <v>1</v>
      </c>
      <c r="M21" s="70">
        <v>1</v>
      </c>
      <c r="N21" s="70">
        <v>2</v>
      </c>
      <c r="O21" s="70">
        <v>2</v>
      </c>
      <c r="P21" s="70">
        <v>3</v>
      </c>
      <c r="Q21" s="70">
        <v>2</v>
      </c>
      <c r="R21" s="7">
        <f t="shared" si="0"/>
        <v>14</v>
      </c>
      <c r="S21" s="19">
        <f t="shared" si="1"/>
        <v>0.66666666666666663</v>
      </c>
      <c r="T21" s="16" t="str">
        <f t="shared" si="2"/>
        <v>Por Mejorar</v>
      </c>
      <c r="U21" s="68" t="s">
        <v>75</v>
      </c>
    </row>
    <row r="22" spans="1:21" ht="30" x14ac:dyDescent="0.25">
      <c r="A22" s="8">
        <v>20242564</v>
      </c>
      <c r="B22" s="8" t="s">
        <v>76</v>
      </c>
      <c r="C22" s="11" t="s">
        <v>149</v>
      </c>
      <c r="D22" s="9" t="s">
        <v>150</v>
      </c>
      <c r="E22" s="9" t="s">
        <v>151</v>
      </c>
      <c r="F22" s="9" t="s">
        <v>152</v>
      </c>
      <c r="G22" s="34" t="s">
        <v>73</v>
      </c>
      <c r="H22" s="95" t="s">
        <v>74</v>
      </c>
      <c r="I22" s="88">
        <v>45783</v>
      </c>
      <c r="J22" s="72"/>
      <c r="K22" s="71">
        <v>2</v>
      </c>
      <c r="L22" s="72">
        <v>2</v>
      </c>
      <c r="M22" s="72">
        <v>2</v>
      </c>
      <c r="N22" s="72">
        <v>1</v>
      </c>
      <c r="O22" s="72">
        <v>2</v>
      </c>
      <c r="P22" s="72" t="s">
        <v>88</v>
      </c>
      <c r="Q22" s="72" t="s">
        <v>88</v>
      </c>
      <c r="R22" s="7">
        <f t="shared" si="0"/>
        <v>9</v>
      </c>
      <c r="S22" s="19">
        <f t="shared" si="1"/>
        <v>0.42857142857142855</v>
      </c>
      <c r="T22" s="16" t="str">
        <f t="shared" si="2"/>
        <v>Base</v>
      </c>
      <c r="U22" s="68" t="s">
        <v>75</v>
      </c>
    </row>
    <row r="23" spans="1:21" ht="30" x14ac:dyDescent="0.25">
      <c r="A23" s="8">
        <v>20382973</v>
      </c>
      <c r="B23" s="8">
        <v>6</v>
      </c>
      <c r="C23" s="11" t="s">
        <v>153</v>
      </c>
      <c r="D23" s="9" t="s">
        <v>154</v>
      </c>
      <c r="E23" s="9" t="s">
        <v>154</v>
      </c>
      <c r="F23" s="9" t="s">
        <v>155</v>
      </c>
      <c r="G23" s="34" t="s">
        <v>73</v>
      </c>
      <c r="H23" s="95" t="s">
        <v>74</v>
      </c>
      <c r="I23" s="88">
        <v>45748</v>
      </c>
      <c r="J23" s="72"/>
      <c r="K23" s="71">
        <v>1</v>
      </c>
      <c r="L23" s="72">
        <v>2</v>
      </c>
      <c r="M23" s="72">
        <v>0</v>
      </c>
      <c r="N23" s="72">
        <v>1</v>
      </c>
      <c r="O23" s="72">
        <v>1</v>
      </c>
      <c r="P23" s="72">
        <v>2</v>
      </c>
      <c r="Q23" s="72">
        <v>1</v>
      </c>
      <c r="R23" s="7">
        <f t="shared" si="0"/>
        <v>8</v>
      </c>
      <c r="S23" s="19">
        <f t="shared" si="1"/>
        <v>0.38095238095238093</v>
      </c>
      <c r="T23" s="16" t="str">
        <f t="shared" si="2"/>
        <v>Por Mejorar</v>
      </c>
      <c r="U23" s="68" t="s">
        <v>75</v>
      </c>
    </row>
    <row r="24" spans="1:21" ht="30" x14ac:dyDescent="0.25">
      <c r="A24" s="8">
        <v>20468643</v>
      </c>
      <c r="B24" s="8">
        <v>2</v>
      </c>
      <c r="C24" s="11" t="s">
        <v>156</v>
      </c>
      <c r="D24" s="9" t="s">
        <v>157</v>
      </c>
      <c r="E24" s="9" t="s">
        <v>158</v>
      </c>
      <c r="F24" s="9" t="s">
        <v>159</v>
      </c>
      <c r="G24" s="34" t="s">
        <v>73</v>
      </c>
      <c r="H24" s="95" t="s">
        <v>74</v>
      </c>
      <c r="I24" s="88">
        <v>45748</v>
      </c>
      <c r="J24" s="72"/>
      <c r="K24" s="71">
        <v>2</v>
      </c>
      <c r="L24" s="72">
        <v>2</v>
      </c>
      <c r="M24" s="72">
        <v>1</v>
      </c>
      <c r="N24" s="72">
        <v>2</v>
      </c>
      <c r="O24" s="72">
        <v>3</v>
      </c>
      <c r="P24" s="72">
        <v>3</v>
      </c>
      <c r="Q24" s="72">
        <v>2</v>
      </c>
      <c r="R24" s="7">
        <f t="shared" si="0"/>
        <v>15</v>
      </c>
      <c r="S24" s="19">
        <f t="shared" si="1"/>
        <v>0.7142857142857143</v>
      </c>
      <c r="T24" s="16" t="str">
        <f t="shared" si="2"/>
        <v>Por Mejorar</v>
      </c>
      <c r="U24" s="68" t="s">
        <v>75</v>
      </c>
    </row>
    <row r="25" spans="1:21" ht="30" x14ac:dyDescent="0.25">
      <c r="A25" s="8">
        <v>20493802</v>
      </c>
      <c r="B25" s="8">
        <v>4</v>
      </c>
      <c r="C25" s="11" t="s">
        <v>160</v>
      </c>
      <c r="D25" s="9" t="s">
        <v>161</v>
      </c>
      <c r="E25" s="9" t="s">
        <v>162</v>
      </c>
      <c r="F25" s="9" t="s">
        <v>163</v>
      </c>
      <c r="G25" s="34" t="s">
        <v>73</v>
      </c>
      <c r="H25" s="95" t="s">
        <v>74</v>
      </c>
      <c r="I25" s="88">
        <v>45748</v>
      </c>
      <c r="J25" s="72"/>
      <c r="K25" s="71">
        <v>2</v>
      </c>
      <c r="L25" s="72" t="s">
        <v>88</v>
      </c>
      <c r="M25" s="72">
        <v>1</v>
      </c>
      <c r="N25" s="72">
        <v>1</v>
      </c>
      <c r="O25" s="72">
        <v>1</v>
      </c>
      <c r="P25" s="72">
        <v>1</v>
      </c>
      <c r="Q25" s="72" t="s">
        <v>88</v>
      </c>
      <c r="R25" s="7">
        <f t="shared" si="0"/>
        <v>6</v>
      </c>
      <c r="S25" s="19">
        <f t="shared" si="1"/>
        <v>0.2857142857142857</v>
      </c>
      <c r="T25" s="16" t="str">
        <f t="shared" si="2"/>
        <v>Base</v>
      </c>
      <c r="U25" s="68" t="s">
        <v>75</v>
      </c>
    </row>
    <row r="26" spans="1:21" ht="30" x14ac:dyDescent="0.25">
      <c r="A26" s="8">
        <v>20504798</v>
      </c>
      <c r="B26" s="8">
        <v>0</v>
      </c>
      <c r="C26" s="11" t="s">
        <v>164</v>
      </c>
      <c r="D26" s="9" t="s">
        <v>165</v>
      </c>
      <c r="E26" s="9" t="s">
        <v>166</v>
      </c>
      <c r="F26" s="9" t="s">
        <v>167</v>
      </c>
      <c r="G26" s="34" t="s">
        <v>73</v>
      </c>
      <c r="H26" s="96" t="s">
        <v>74</v>
      </c>
      <c r="I26" s="72">
        <v>2024</v>
      </c>
      <c r="J26" s="72"/>
      <c r="K26" s="72"/>
      <c r="L26" s="72"/>
      <c r="M26" s="72"/>
      <c r="N26" s="1"/>
      <c r="O26" s="1"/>
      <c r="P26" s="1"/>
      <c r="Q26" s="1"/>
      <c r="R26" s="7">
        <f t="shared" si="0"/>
        <v>0</v>
      </c>
      <c r="S26" s="19">
        <f t="shared" si="1"/>
        <v>0</v>
      </c>
      <c r="T26" s="16" t="str">
        <f t="shared" si="2"/>
        <v>Por Mejorar</v>
      </c>
      <c r="U26" s="68" t="s">
        <v>140</v>
      </c>
    </row>
    <row r="27" spans="1:21" ht="30" x14ac:dyDescent="0.25">
      <c r="A27" s="8">
        <v>20532090</v>
      </c>
      <c r="B27" s="8">
        <v>3</v>
      </c>
      <c r="C27" s="11" t="s">
        <v>168</v>
      </c>
      <c r="D27" s="9" t="s">
        <v>169</v>
      </c>
      <c r="E27" s="9" t="s">
        <v>170</v>
      </c>
      <c r="F27" s="9" t="s">
        <v>171</v>
      </c>
      <c r="G27" s="34" t="s">
        <v>73</v>
      </c>
      <c r="H27" s="96" t="s">
        <v>74</v>
      </c>
      <c r="I27" s="72">
        <v>2024</v>
      </c>
      <c r="J27" s="72"/>
      <c r="K27" s="72"/>
      <c r="L27" s="72"/>
      <c r="M27" s="72"/>
      <c r="N27" s="1"/>
      <c r="O27" s="1"/>
      <c r="P27" s="1"/>
      <c r="Q27" s="1"/>
      <c r="R27" s="7">
        <f t="shared" si="0"/>
        <v>0</v>
      </c>
      <c r="S27" s="19">
        <f t="shared" si="1"/>
        <v>0</v>
      </c>
      <c r="T27" s="16" t="str">
        <f t="shared" si="2"/>
        <v>Por Mejorar</v>
      </c>
      <c r="U27" s="68" t="s">
        <v>140</v>
      </c>
    </row>
    <row r="28" spans="1:21" ht="30" x14ac:dyDescent="0.25">
      <c r="A28" s="8">
        <v>20535146</v>
      </c>
      <c r="B28" s="8">
        <v>9</v>
      </c>
      <c r="C28" s="11" t="s">
        <v>172</v>
      </c>
      <c r="D28" s="9" t="s">
        <v>173</v>
      </c>
      <c r="E28" s="9" t="s">
        <v>174</v>
      </c>
      <c r="F28" s="9" t="s">
        <v>175</v>
      </c>
      <c r="G28" s="34" t="s">
        <v>73</v>
      </c>
      <c r="H28" s="96" t="s">
        <v>74</v>
      </c>
      <c r="I28" s="72">
        <v>2024</v>
      </c>
      <c r="J28" s="72"/>
      <c r="K28" s="72"/>
      <c r="L28" s="72"/>
      <c r="M28" s="72"/>
      <c r="N28" s="2"/>
      <c r="O28" s="2"/>
      <c r="P28" s="2"/>
      <c r="Q28" s="2"/>
      <c r="R28" s="7">
        <f t="shared" si="0"/>
        <v>0</v>
      </c>
      <c r="S28" s="19">
        <f t="shared" si="1"/>
        <v>0</v>
      </c>
      <c r="T28" s="16" t="str">
        <f t="shared" si="2"/>
        <v>Por Mejorar</v>
      </c>
      <c r="U28" s="68" t="s">
        <v>140</v>
      </c>
    </row>
    <row r="29" spans="1:21" ht="30" x14ac:dyDescent="0.25">
      <c r="A29" s="8">
        <v>20536140</v>
      </c>
      <c r="B29" s="8">
        <v>5</v>
      </c>
      <c r="C29" s="11" t="s">
        <v>176</v>
      </c>
      <c r="D29" s="9" t="s">
        <v>85</v>
      </c>
      <c r="E29" s="9" t="s">
        <v>177</v>
      </c>
      <c r="F29" s="9" t="s">
        <v>178</v>
      </c>
      <c r="G29" s="34" t="s">
        <v>73</v>
      </c>
      <c r="H29" s="95" t="s">
        <v>74</v>
      </c>
      <c r="I29" s="88">
        <v>45748</v>
      </c>
      <c r="J29" s="72"/>
      <c r="K29" s="69">
        <v>2</v>
      </c>
      <c r="L29" s="70">
        <v>2</v>
      </c>
      <c r="M29" s="70">
        <v>3</v>
      </c>
      <c r="N29" s="70">
        <v>3</v>
      </c>
      <c r="O29" s="70">
        <v>3</v>
      </c>
      <c r="P29" s="70">
        <v>3</v>
      </c>
      <c r="Q29" s="70">
        <v>1</v>
      </c>
      <c r="R29" s="7">
        <f t="shared" si="0"/>
        <v>17</v>
      </c>
      <c r="S29" s="19">
        <f t="shared" si="1"/>
        <v>0.80952380952380953</v>
      </c>
      <c r="T29" s="16" t="str">
        <f t="shared" si="2"/>
        <v>Por Mejorar</v>
      </c>
      <c r="U29" s="68" t="s">
        <v>75</v>
      </c>
    </row>
    <row r="30" spans="1:21" x14ac:dyDescent="0.25">
      <c r="A30" s="8">
        <v>20580345</v>
      </c>
      <c r="B30" s="8">
        <v>9</v>
      </c>
      <c r="C30" s="11" t="s">
        <v>179</v>
      </c>
      <c r="D30" s="9" t="s">
        <v>180</v>
      </c>
      <c r="E30" s="9" t="s">
        <v>181</v>
      </c>
      <c r="F30" s="9" t="s">
        <v>182</v>
      </c>
      <c r="G30" s="34" t="s">
        <v>118</v>
      </c>
      <c r="H30" s="96" t="s">
        <v>82</v>
      </c>
      <c r="I30" s="72"/>
      <c r="J30" s="72"/>
      <c r="K30" s="71"/>
      <c r="L30" s="72"/>
      <c r="M30" s="72"/>
      <c r="N30" s="72"/>
      <c r="O30" s="72"/>
      <c r="P30" s="72"/>
      <c r="Q30" s="72"/>
      <c r="R30" s="7">
        <f t="shared" si="0"/>
        <v>0</v>
      </c>
      <c r="S30" s="19">
        <f t="shared" si="1"/>
        <v>0</v>
      </c>
      <c r="T30" s="16" t="str">
        <f t="shared" si="2"/>
        <v>No rendida o no válida</v>
      </c>
      <c r="U30" s="68" t="s">
        <v>83</v>
      </c>
    </row>
    <row r="31" spans="1:21" ht="30" x14ac:dyDescent="0.25">
      <c r="A31" s="8">
        <v>20626728</v>
      </c>
      <c r="B31" s="8">
        <v>3</v>
      </c>
      <c r="C31" s="11" t="s">
        <v>183</v>
      </c>
      <c r="D31" s="9" t="s">
        <v>184</v>
      </c>
      <c r="E31" s="9" t="s">
        <v>185</v>
      </c>
      <c r="F31" s="9" t="s">
        <v>186</v>
      </c>
      <c r="G31" s="34" t="s">
        <v>73</v>
      </c>
      <c r="H31" s="95" t="s">
        <v>74</v>
      </c>
      <c r="I31" s="88">
        <v>45748</v>
      </c>
      <c r="J31" s="72"/>
      <c r="K31" s="69">
        <v>2</v>
      </c>
      <c r="L31" s="70">
        <v>2</v>
      </c>
      <c r="M31" s="70">
        <v>1</v>
      </c>
      <c r="N31" s="70">
        <v>1</v>
      </c>
      <c r="O31" s="70">
        <v>3</v>
      </c>
      <c r="P31" s="70">
        <v>3</v>
      </c>
      <c r="Q31" s="70">
        <v>3</v>
      </c>
      <c r="R31" s="7">
        <f t="shared" si="0"/>
        <v>15</v>
      </c>
      <c r="S31" s="19">
        <f t="shared" si="1"/>
        <v>0.7142857142857143</v>
      </c>
      <c r="T31" s="16" t="str">
        <f t="shared" si="2"/>
        <v>Por Mejorar</v>
      </c>
      <c r="U31" s="68" t="s">
        <v>75</v>
      </c>
    </row>
    <row r="32" spans="1:21" ht="30" x14ac:dyDescent="0.25">
      <c r="A32" s="8">
        <v>20647593</v>
      </c>
      <c r="B32" s="8">
        <v>5</v>
      </c>
      <c r="C32" s="11" t="s">
        <v>187</v>
      </c>
      <c r="D32" s="9" t="s">
        <v>188</v>
      </c>
      <c r="E32" s="9" t="s">
        <v>189</v>
      </c>
      <c r="F32" s="9" t="s">
        <v>190</v>
      </c>
      <c r="G32" s="34" t="s">
        <v>73</v>
      </c>
      <c r="H32" s="96" t="s">
        <v>74</v>
      </c>
      <c r="I32" s="72">
        <v>2024</v>
      </c>
      <c r="J32" s="74"/>
      <c r="K32" s="74"/>
      <c r="L32" s="74"/>
      <c r="M32" s="74"/>
      <c r="N32" s="2"/>
      <c r="O32" s="2"/>
      <c r="P32" s="2"/>
      <c r="Q32" s="2"/>
      <c r="R32" s="7">
        <f t="shared" si="0"/>
        <v>0</v>
      </c>
      <c r="S32" s="19">
        <f t="shared" si="1"/>
        <v>0</v>
      </c>
      <c r="T32" s="16" t="str">
        <f t="shared" si="2"/>
        <v>Base</v>
      </c>
      <c r="U32" s="68" t="s">
        <v>140</v>
      </c>
    </row>
    <row r="33" spans="1:21" ht="30" x14ac:dyDescent="0.25">
      <c r="A33" s="8">
        <v>20665162</v>
      </c>
      <c r="B33" s="8">
        <v>8</v>
      </c>
      <c r="C33" s="11" t="s">
        <v>191</v>
      </c>
      <c r="D33" s="9" t="s">
        <v>192</v>
      </c>
      <c r="E33" s="9" t="s">
        <v>91</v>
      </c>
      <c r="F33" s="9" t="s">
        <v>193</v>
      </c>
      <c r="G33" s="34" t="s">
        <v>73</v>
      </c>
      <c r="H33" s="95" t="s">
        <v>74</v>
      </c>
      <c r="I33" s="88">
        <v>45748</v>
      </c>
      <c r="J33" s="72"/>
      <c r="K33" s="69">
        <v>2</v>
      </c>
      <c r="L33" s="70">
        <v>3</v>
      </c>
      <c r="M33" s="70">
        <v>1</v>
      </c>
      <c r="N33" s="70">
        <v>1</v>
      </c>
      <c r="O33" s="70">
        <v>1</v>
      </c>
      <c r="P33" s="70">
        <v>3</v>
      </c>
      <c r="Q33" s="70">
        <v>2</v>
      </c>
      <c r="R33" s="7">
        <f t="shared" si="0"/>
        <v>13</v>
      </c>
      <c r="S33" s="19">
        <f t="shared" si="1"/>
        <v>0.61904761904761907</v>
      </c>
      <c r="T33" s="16" t="str">
        <f t="shared" si="2"/>
        <v>Por Mejorar</v>
      </c>
      <c r="U33" s="68" t="s">
        <v>75</v>
      </c>
    </row>
    <row r="34" spans="1:21" ht="30" x14ac:dyDescent="0.25">
      <c r="A34" s="8">
        <v>20668557</v>
      </c>
      <c r="B34" s="8">
        <v>3</v>
      </c>
      <c r="C34" s="11" t="s">
        <v>194</v>
      </c>
      <c r="D34" s="9" t="s">
        <v>195</v>
      </c>
      <c r="E34" s="9" t="s">
        <v>196</v>
      </c>
      <c r="F34" s="9" t="s">
        <v>197</v>
      </c>
      <c r="G34" s="34" t="s">
        <v>73</v>
      </c>
      <c r="H34" s="95" t="s">
        <v>74</v>
      </c>
      <c r="I34" s="88">
        <v>45748</v>
      </c>
      <c r="J34" s="72"/>
      <c r="K34" s="71">
        <v>2</v>
      </c>
      <c r="L34" s="72">
        <v>1</v>
      </c>
      <c r="M34" s="72">
        <v>0</v>
      </c>
      <c r="N34" s="72">
        <v>0</v>
      </c>
      <c r="O34" s="72">
        <v>1</v>
      </c>
      <c r="P34" s="72">
        <v>2</v>
      </c>
      <c r="Q34" s="72" t="s">
        <v>88</v>
      </c>
      <c r="R34" s="7">
        <f t="shared" si="0"/>
        <v>6</v>
      </c>
      <c r="S34" s="19">
        <f t="shared" si="1"/>
        <v>0.2857142857142857</v>
      </c>
      <c r="T34" s="16" t="str">
        <f t="shared" si="2"/>
        <v>Base</v>
      </c>
      <c r="U34" s="68" t="s">
        <v>75</v>
      </c>
    </row>
    <row r="35" spans="1:21" ht="30" x14ac:dyDescent="0.25">
      <c r="A35" s="8">
        <v>20713730</v>
      </c>
      <c r="B35" s="8">
        <v>8</v>
      </c>
      <c r="C35" s="11" t="s">
        <v>198</v>
      </c>
      <c r="D35" s="9" t="s">
        <v>90</v>
      </c>
      <c r="E35" s="9" t="s">
        <v>199</v>
      </c>
      <c r="F35" s="9" t="s">
        <v>200</v>
      </c>
      <c r="G35" s="34" t="s">
        <v>73</v>
      </c>
      <c r="H35" s="96" t="s">
        <v>74</v>
      </c>
      <c r="I35" s="72">
        <v>2024</v>
      </c>
      <c r="J35" s="72"/>
      <c r="K35" s="72"/>
      <c r="L35" s="72"/>
      <c r="M35" s="72"/>
      <c r="N35" s="2"/>
      <c r="O35" s="2"/>
      <c r="P35" s="2"/>
      <c r="Q35" s="2"/>
      <c r="R35" s="7">
        <f t="shared" si="0"/>
        <v>0</v>
      </c>
      <c r="S35" s="19">
        <f t="shared" si="1"/>
        <v>0</v>
      </c>
      <c r="T35" s="16" t="str">
        <f t="shared" si="2"/>
        <v>Por Mejorar</v>
      </c>
      <c r="U35" s="68" t="s">
        <v>140</v>
      </c>
    </row>
    <row r="36" spans="1:21" ht="30" x14ac:dyDescent="0.25">
      <c r="A36" s="8">
        <v>20721617</v>
      </c>
      <c r="B36" s="8">
        <v>8</v>
      </c>
      <c r="C36" s="11" t="s">
        <v>201</v>
      </c>
      <c r="D36" s="9" t="s">
        <v>202</v>
      </c>
      <c r="E36" s="9" t="s">
        <v>203</v>
      </c>
      <c r="F36" s="9" t="s">
        <v>204</v>
      </c>
      <c r="G36" s="34" t="s">
        <v>73</v>
      </c>
      <c r="H36" s="95" t="s">
        <v>74</v>
      </c>
      <c r="I36" s="88">
        <v>45748</v>
      </c>
      <c r="J36" s="72"/>
      <c r="K36" s="69">
        <v>2</v>
      </c>
      <c r="L36" s="70">
        <v>1</v>
      </c>
      <c r="M36" s="70">
        <v>2</v>
      </c>
      <c r="N36" s="70">
        <v>1</v>
      </c>
      <c r="O36" s="70">
        <v>2</v>
      </c>
      <c r="P36" s="70">
        <v>1</v>
      </c>
      <c r="Q36" s="70">
        <v>0</v>
      </c>
      <c r="R36" s="7">
        <f t="shared" si="0"/>
        <v>9</v>
      </c>
      <c r="S36" s="19">
        <f t="shared" si="1"/>
        <v>0.42857142857142855</v>
      </c>
      <c r="T36" s="16" t="str">
        <f t="shared" si="2"/>
        <v>Por Mejorar</v>
      </c>
      <c r="U36" s="68" t="s">
        <v>75</v>
      </c>
    </row>
    <row r="37" spans="1:21" ht="30" x14ac:dyDescent="0.25">
      <c r="A37" s="8">
        <v>20721618</v>
      </c>
      <c r="B37" s="8">
        <v>6</v>
      </c>
      <c r="C37" s="11" t="s">
        <v>205</v>
      </c>
      <c r="D37" s="9" t="s">
        <v>115</v>
      </c>
      <c r="E37" s="9" t="s">
        <v>206</v>
      </c>
      <c r="F37" s="9" t="s">
        <v>207</v>
      </c>
      <c r="G37" s="34" t="s">
        <v>73</v>
      </c>
      <c r="H37" s="96" t="s">
        <v>74</v>
      </c>
      <c r="I37" s="72">
        <v>2024</v>
      </c>
      <c r="J37" s="72"/>
      <c r="K37" s="72"/>
      <c r="L37" s="72"/>
      <c r="M37" s="72"/>
      <c r="N37" s="2"/>
      <c r="O37" s="2"/>
      <c r="P37" s="2"/>
      <c r="Q37" s="2"/>
      <c r="R37" s="7">
        <f t="shared" si="0"/>
        <v>0</v>
      </c>
      <c r="S37" s="19">
        <f t="shared" si="1"/>
        <v>0</v>
      </c>
      <c r="T37" s="16" t="str">
        <f t="shared" si="2"/>
        <v>Por Mejorar</v>
      </c>
      <c r="U37" s="68" t="s">
        <v>140</v>
      </c>
    </row>
    <row r="38" spans="1:21" ht="30" x14ac:dyDescent="0.25">
      <c r="A38" s="8">
        <v>20762669</v>
      </c>
      <c r="B38" s="8">
        <v>4</v>
      </c>
      <c r="C38" s="11" t="s">
        <v>208</v>
      </c>
      <c r="D38" s="9" t="s">
        <v>209</v>
      </c>
      <c r="E38" s="9" t="s">
        <v>210</v>
      </c>
      <c r="F38" s="9" t="s">
        <v>211</v>
      </c>
      <c r="G38" s="34" t="s">
        <v>73</v>
      </c>
      <c r="H38" s="95" t="s">
        <v>74</v>
      </c>
      <c r="I38" s="88">
        <v>45748</v>
      </c>
      <c r="J38" s="72"/>
      <c r="K38" s="69" t="s">
        <v>88</v>
      </c>
      <c r="L38" s="70" t="s">
        <v>88</v>
      </c>
      <c r="M38" s="70">
        <v>3</v>
      </c>
      <c r="N38" s="70">
        <v>1</v>
      </c>
      <c r="O38" s="70">
        <v>1</v>
      </c>
      <c r="P38" s="70">
        <v>3</v>
      </c>
      <c r="Q38" s="70">
        <v>0</v>
      </c>
      <c r="R38" s="7">
        <f t="shared" si="0"/>
        <v>8</v>
      </c>
      <c r="S38" s="19">
        <f t="shared" si="1"/>
        <v>0.38095238095238093</v>
      </c>
      <c r="T38" s="16" t="str">
        <f t="shared" si="2"/>
        <v>Por Mejorar</v>
      </c>
      <c r="U38" s="68" t="s">
        <v>75</v>
      </c>
    </row>
    <row r="39" spans="1:21" ht="30" x14ac:dyDescent="0.25">
      <c r="A39" s="8">
        <v>20774363</v>
      </c>
      <c r="B39" s="8">
        <v>1</v>
      </c>
      <c r="C39" s="11" t="s">
        <v>212</v>
      </c>
      <c r="D39" s="9" t="s">
        <v>213</v>
      </c>
      <c r="E39" s="9" t="s">
        <v>214</v>
      </c>
      <c r="F39" s="9" t="s">
        <v>215</v>
      </c>
      <c r="G39" s="34" t="s">
        <v>73</v>
      </c>
      <c r="H39" s="95" t="s">
        <v>74</v>
      </c>
      <c r="I39" s="88">
        <v>45748</v>
      </c>
      <c r="J39" s="72"/>
      <c r="K39" s="71">
        <v>2</v>
      </c>
      <c r="L39" s="72">
        <v>2</v>
      </c>
      <c r="M39" s="72">
        <v>2</v>
      </c>
      <c r="N39" s="72">
        <v>1</v>
      </c>
      <c r="O39" s="72">
        <v>1</v>
      </c>
      <c r="P39" s="72">
        <v>2</v>
      </c>
      <c r="Q39" s="72">
        <v>2</v>
      </c>
      <c r="R39" s="7">
        <f t="shared" si="0"/>
        <v>12</v>
      </c>
      <c r="S39" s="19">
        <f t="shared" si="1"/>
        <v>0.5714285714285714</v>
      </c>
      <c r="T39" s="16" t="str">
        <f t="shared" si="2"/>
        <v>Por Mejorar</v>
      </c>
      <c r="U39" s="68" t="s">
        <v>75</v>
      </c>
    </row>
    <row r="40" spans="1:21" ht="30" x14ac:dyDescent="0.25">
      <c r="A40" s="8">
        <v>20788860</v>
      </c>
      <c r="B40" s="8">
        <v>5</v>
      </c>
      <c r="C40" s="11" t="s">
        <v>216</v>
      </c>
      <c r="D40" s="9" t="s">
        <v>217</v>
      </c>
      <c r="E40" s="9" t="s">
        <v>218</v>
      </c>
      <c r="F40" s="9" t="s">
        <v>219</v>
      </c>
      <c r="G40" s="34" t="s">
        <v>73</v>
      </c>
      <c r="H40" s="96" t="s">
        <v>74</v>
      </c>
      <c r="I40" s="72">
        <v>2024</v>
      </c>
      <c r="J40" s="72"/>
      <c r="K40" s="72"/>
      <c r="L40" s="72"/>
      <c r="M40" s="72"/>
      <c r="N40" s="2"/>
      <c r="O40" s="2"/>
      <c r="P40" s="2"/>
      <c r="Q40" s="2"/>
      <c r="R40" s="7">
        <f t="shared" si="0"/>
        <v>0</v>
      </c>
      <c r="S40" s="19">
        <f t="shared" si="1"/>
        <v>0</v>
      </c>
      <c r="T40" s="16" t="str">
        <f t="shared" si="2"/>
        <v>Base</v>
      </c>
      <c r="U40" s="68" t="s">
        <v>140</v>
      </c>
    </row>
    <row r="41" spans="1:21" ht="30" x14ac:dyDescent="0.25">
      <c r="A41" s="8">
        <v>20811692</v>
      </c>
      <c r="B41" s="8">
        <v>4</v>
      </c>
      <c r="C41" s="11" t="s">
        <v>220</v>
      </c>
      <c r="D41" s="9" t="s">
        <v>221</v>
      </c>
      <c r="E41" s="9" t="s">
        <v>222</v>
      </c>
      <c r="F41" s="9" t="s">
        <v>223</v>
      </c>
      <c r="G41" s="34" t="s">
        <v>73</v>
      </c>
      <c r="H41" s="95" t="s">
        <v>74</v>
      </c>
      <c r="I41" s="88">
        <v>45748</v>
      </c>
      <c r="J41" s="72"/>
      <c r="K41" s="69">
        <v>2</v>
      </c>
      <c r="L41" s="70">
        <v>2</v>
      </c>
      <c r="M41" s="70">
        <v>3</v>
      </c>
      <c r="N41" s="70">
        <v>2</v>
      </c>
      <c r="O41" s="70">
        <v>2</v>
      </c>
      <c r="P41" s="70">
        <v>3</v>
      </c>
      <c r="Q41" s="70">
        <v>1</v>
      </c>
      <c r="R41" s="7">
        <f t="shared" si="0"/>
        <v>15</v>
      </c>
      <c r="S41" s="19">
        <f t="shared" si="1"/>
        <v>0.7142857142857143</v>
      </c>
      <c r="T41" s="16" t="str">
        <f t="shared" si="2"/>
        <v>Por Mejorar</v>
      </c>
      <c r="U41" s="68" t="s">
        <v>75</v>
      </c>
    </row>
    <row r="42" spans="1:21" ht="30" x14ac:dyDescent="0.25">
      <c r="A42" s="8">
        <v>20818619</v>
      </c>
      <c r="B42" s="8">
        <v>1</v>
      </c>
      <c r="C42" s="11" t="s">
        <v>224</v>
      </c>
      <c r="D42" s="9" t="s">
        <v>225</v>
      </c>
      <c r="E42" s="9" t="s">
        <v>226</v>
      </c>
      <c r="F42" s="9" t="s">
        <v>227</v>
      </c>
      <c r="G42" s="34" t="s">
        <v>73</v>
      </c>
      <c r="H42" s="95" t="s">
        <v>74</v>
      </c>
      <c r="I42" s="88">
        <v>45748</v>
      </c>
      <c r="J42" s="72"/>
      <c r="K42" s="71">
        <v>2</v>
      </c>
      <c r="L42" s="72">
        <v>2</v>
      </c>
      <c r="M42" s="72">
        <v>2</v>
      </c>
      <c r="N42" s="72">
        <v>1</v>
      </c>
      <c r="O42" s="72">
        <v>2</v>
      </c>
      <c r="P42" s="72">
        <v>3</v>
      </c>
      <c r="Q42" s="72">
        <v>2</v>
      </c>
      <c r="R42" s="7">
        <f t="shared" si="0"/>
        <v>14</v>
      </c>
      <c r="S42" s="19">
        <f t="shared" si="1"/>
        <v>0.66666666666666663</v>
      </c>
      <c r="T42" s="16" t="str">
        <f t="shared" si="2"/>
        <v>Satisfactorio</v>
      </c>
      <c r="U42" s="68" t="s">
        <v>75</v>
      </c>
    </row>
    <row r="43" spans="1:21" ht="30" x14ac:dyDescent="0.25">
      <c r="A43" s="8">
        <v>20829171</v>
      </c>
      <c r="B43" s="8">
        <v>8</v>
      </c>
      <c r="C43" s="11" t="s">
        <v>228</v>
      </c>
      <c r="D43" s="9" t="s">
        <v>229</v>
      </c>
      <c r="E43" s="9" t="s">
        <v>230</v>
      </c>
      <c r="F43" s="9" t="s">
        <v>231</v>
      </c>
      <c r="G43" s="34" t="s">
        <v>73</v>
      </c>
      <c r="H43" s="95" t="s">
        <v>74</v>
      </c>
      <c r="I43" s="88">
        <v>45748</v>
      </c>
      <c r="J43" s="72"/>
      <c r="K43" s="71">
        <v>2</v>
      </c>
      <c r="L43" s="72">
        <v>1</v>
      </c>
      <c r="M43" s="72">
        <v>1</v>
      </c>
      <c r="N43" s="72">
        <v>2</v>
      </c>
      <c r="O43" s="72">
        <v>1</v>
      </c>
      <c r="P43" s="72">
        <v>3</v>
      </c>
      <c r="Q43" s="72">
        <v>2</v>
      </c>
      <c r="R43" s="7">
        <f t="shared" si="0"/>
        <v>12</v>
      </c>
      <c r="S43" s="19">
        <f t="shared" si="1"/>
        <v>0.5714285714285714</v>
      </c>
      <c r="T43" s="16" t="str">
        <f t="shared" si="2"/>
        <v>Base</v>
      </c>
      <c r="U43" s="68" t="s">
        <v>75</v>
      </c>
    </row>
    <row r="44" spans="1:21" x14ac:dyDescent="0.25">
      <c r="A44" s="8">
        <v>20838618</v>
      </c>
      <c r="B44" s="8">
        <v>2</v>
      </c>
      <c r="C44" s="11" t="s">
        <v>232</v>
      </c>
      <c r="D44" s="9" t="s">
        <v>233</v>
      </c>
      <c r="E44" s="9" t="s">
        <v>234</v>
      </c>
      <c r="F44" s="9" t="s">
        <v>235</v>
      </c>
      <c r="G44" t="s">
        <v>236</v>
      </c>
      <c r="H44" s="96" t="s">
        <v>82</v>
      </c>
      <c r="I44" s="72"/>
      <c r="J44" s="72"/>
      <c r="K44" s="72"/>
      <c r="L44" s="72"/>
      <c r="M44" s="72"/>
      <c r="N44" s="2"/>
      <c r="O44" s="2"/>
      <c r="P44" s="2"/>
      <c r="Q44" s="2"/>
      <c r="R44" s="7">
        <f t="shared" si="0"/>
        <v>0</v>
      </c>
      <c r="S44" s="19">
        <f t="shared" si="1"/>
        <v>0</v>
      </c>
      <c r="T44" s="16" t="str">
        <f t="shared" si="2"/>
        <v>No rendida o no válida</v>
      </c>
      <c r="U44" s="68" t="s">
        <v>83</v>
      </c>
    </row>
    <row r="45" spans="1:21" ht="30" x14ac:dyDescent="0.25">
      <c r="A45" s="8">
        <v>20858785</v>
      </c>
      <c r="B45" s="8">
        <v>4</v>
      </c>
      <c r="C45" s="11" t="s">
        <v>237</v>
      </c>
      <c r="D45" s="9" t="s">
        <v>238</v>
      </c>
      <c r="E45" s="9" t="s">
        <v>239</v>
      </c>
      <c r="F45" s="9" t="s">
        <v>240</v>
      </c>
      <c r="G45" s="34" t="s">
        <v>73</v>
      </c>
      <c r="H45" s="95" t="s">
        <v>74</v>
      </c>
      <c r="I45" s="88">
        <v>45748</v>
      </c>
      <c r="J45" s="72"/>
      <c r="K45" s="69" t="s">
        <v>88</v>
      </c>
      <c r="L45" s="70" t="s">
        <v>88</v>
      </c>
      <c r="M45" s="70">
        <v>1</v>
      </c>
      <c r="N45" s="70">
        <v>0</v>
      </c>
      <c r="O45" s="70">
        <v>0</v>
      </c>
      <c r="P45" s="70">
        <v>3</v>
      </c>
      <c r="Q45" s="70">
        <v>2</v>
      </c>
      <c r="R45" s="7">
        <f t="shared" si="0"/>
        <v>6</v>
      </c>
      <c r="S45" s="19">
        <f t="shared" si="1"/>
        <v>0.2857142857142857</v>
      </c>
      <c r="T45" s="16" t="str">
        <f t="shared" si="2"/>
        <v>Por Mejorar</v>
      </c>
      <c r="U45" s="68" t="s">
        <v>75</v>
      </c>
    </row>
    <row r="46" spans="1:21" ht="30" x14ac:dyDescent="0.25">
      <c r="A46" s="8">
        <v>20913647</v>
      </c>
      <c r="B46" s="8">
        <v>3</v>
      </c>
      <c r="C46" s="11" t="s">
        <v>241</v>
      </c>
      <c r="D46" s="9" t="s">
        <v>242</v>
      </c>
      <c r="E46" s="9" t="s">
        <v>243</v>
      </c>
      <c r="F46" s="9" t="s">
        <v>244</v>
      </c>
      <c r="G46" s="34" t="s">
        <v>118</v>
      </c>
      <c r="H46" s="95" t="s">
        <v>82</v>
      </c>
      <c r="I46" s="88">
        <v>45748</v>
      </c>
      <c r="J46" s="72"/>
      <c r="K46" s="73" t="s">
        <v>42</v>
      </c>
      <c r="L46" s="74" t="s">
        <v>42</v>
      </c>
      <c r="M46" s="74" t="s">
        <v>42</v>
      </c>
      <c r="N46" s="74" t="s">
        <v>42</v>
      </c>
      <c r="O46" s="74" t="s">
        <v>42</v>
      </c>
      <c r="P46" s="74" t="s">
        <v>42</v>
      </c>
      <c r="Q46" s="74" t="s">
        <v>42</v>
      </c>
      <c r="R46" s="7">
        <f t="shared" si="0"/>
        <v>0</v>
      </c>
      <c r="S46" s="19">
        <f t="shared" si="1"/>
        <v>0</v>
      </c>
      <c r="T46" s="16" t="str">
        <f t="shared" si="2"/>
        <v>No rendida o no válida</v>
      </c>
      <c r="U46" s="68" t="s">
        <v>75</v>
      </c>
    </row>
    <row r="47" spans="1:21" ht="30" x14ac:dyDescent="0.25">
      <c r="A47" s="8">
        <v>20948026</v>
      </c>
      <c r="B47" s="8">
        <v>3</v>
      </c>
      <c r="C47" s="11" t="s">
        <v>245</v>
      </c>
      <c r="D47" s="9" t="s">
        <v>166</v>
      </c>
      <c r="E47" s="9" t="s">
        <v>188</v>
      </c>
      <c r="F47" s="9" t="s">
        <v>246</v>
      </c>
      <c r="G47" s="34" t="s">
        <v>73</v>
      </c>
      <c r="H47" s="95" t="s">
        <v>74</v>
      </c>
      <c r="I47" s="88">
        <v>45748</v>
      </c>
      <c r="J47" s="72"/>
      <c r="K47" s="71">
        <v>2</v>
      </c>
      <c r="L47" s="72">
        <v>1</v>
      </c>
      <c r="M47" s="72">
        <v>1</v>
      </c>
      <c r="N47" s="72">
        <v>1</v>
      </c>
      <c r="O47" s="72">
        <v>0</v>
      </c>
      <c r="P47" s="72">
        <v>2</v>
      </c>
      <c r="Q47" s="72" t="s">
        <v>88</v>
      </c>
      <c r="R47" s="7">
        <f t="shared" si="0"/>
        <v>7</v>
      </c>
      <c r="S47" s="19">
        <f t="shared" si="1"/>
        <v>0.33333333333333331</v>
      </c>
      <c r="T47" s="16" t="str">
        <f t="shared" si="2"/>
        <v>Por Mejorar</v>
      </c>
      <c r="U47" s="68" t="s">
        <v>75</v>
      </c>
    </row>
    <row r="48" spans="1:21" ht="30" x14ac:dyDescent="0.25">
      <c r="A48" s="8">
        <v>20948356</v>
      </c>
      <c r="B48" s="8">
        <v>4</v>
      </c>
      <c r="C48" s="11" t="s">
        <v>247</v>
      </c>
      <c r="D48" s="9" t="s">
        <v>248</v>
      </c>
      <c r="E48" s="9" t="s">
        <v>249</v>
      </c>
      <c r="F48" s="9" t="s">
        <v>250</v>
      </c>
      <c r="G48" s="34" t="s">
        <v>73</v>
      </c>
      <c r="H48" s="96" t="s">
        <v>74</v>
      </c>
      <c r="I48" s="72">
        <v>2024</v>
      </c>
      <c r="J48" s="72"/>
      <c r="K48" s="72"/>
      <c r="L48" s="72"/>
      <c r="M48" s="72"/>
      <c r="N48" s="2"/>
      <c r="O48" s="2"/>
      <c r="P48" s="2"/>
      <c r="Q48" s="2"/>
      <c r="R48" s="7">
        <f t="shared" si="0"/>
        <v>0</v>
      </c>
      <c r="S48" s="19">
        <f t="shared" si="1"/>
        <v>0</v>
      </c>
      <c r="T48" s="16" t="str">
        <f t="shared" si="2"/>
        <v>Por Mejorar</v>
      </c>
      <c r="U48" s="68" t="s">
        <v>140</v>
      </c>
    </row>
    <row r="49" spans="1:21" ht="30" x14ac:dyDescent="0.25">
      <c r="A49" s="8">
        <v>20964823</v>
      </c>
      <c r="B49" s="8">
        <v>7</v>
      </c>
      <c r="C49" s="11" t="s">
        <v>251</v>
      </c>
      <c r="D49" s="9" t="s">
        <v>252</v>
      </c>
      <c r="E49" s="9" t="s">
        <v>253</v>
      </c>
      <c r="F49" s="9" t="s">
        <v>254</v>
      </c>
      <c r="G49" s="34" t="s">
        <v>73</v>
      </c>
      <c r="H49" s="96" t="s">
        <v>74</v>
      </c>
      <c r="I49" s="72">
        <v>2024</v>
      </c>
      <c r="J49" s="72"/>
      <c r="K49" s="72"/>
      <c r="L49" s="72"/>
      <c r="M49" s="72"/>
      <c r="N49" s="1"/>
      <c r="O49" s="1"/>
      <c r="P49" s="1"/>
      <c r="Q49" s="1"/>
      <c r="R49" s="7">
        <f t="shared" si="0"/>
        <v>0</v>
      </c>
      <c r="S49" s="19">
        <f t="shared" si="1"/>
        <v>0</v>
      </c>
      <c r="T49" s="16" t="str">
        <f t="shared" si="2"/>
        <v>Por Mejorar</v>
      </c>
      <c r="U49" s="68" t="s">
        <v>140</v>
      </c>
    </row>
    <row r="50" spans="1:21" ht="30" x14ac:dyDescent="0.25">
      <c r="A50" s="8">
        <v>20966359</v>
      </c>
      <c r="B50" s="8">
        <v>7</v>
      </c>
      <c r="C50" s="11" t="s">
        <v>255</v>
      </c>
      <c r="D50" s="9" t="s">
        <v>115</v>
      </c>
      <c r="E50" s="9" t="s">
        <v>256</v>
      </c>
      <c r="F50" s="9" t="s">
        <v>257</v>
      </c>
      <c r="G50" s="34" t="s">
        <v>73</v>
      </c>
      <c r="H50" s="96" t="s">
        <v>74</v>
      </c>
      <c r="I50" s="72">
        <v>2024</v>
      </c>
      <c r="J50" s="72"/>
      <c r="K50" s="72"/>
      <c r="L50" s="72"/>
      <c r="M50" s="72"/>
      <c r="N50" s="2"/>
      <c r="O50" s="2"/>
      <c r="P50" s="2"/>
      <c r="Q50" s="2"/>
      <c r="R50" s="7">
        <f t="shared" si="0"/>
        <v>0</v>
      </c>
      <c r="S50" s="19">
        <f t="shared" si="1"/>
        <v>0</v>
      </c>
      <c r="T50" s="16" t="str">
        <f t="shared" si="2"/>
        <v>Por Mejorar</v>
      </c>
      <c r="U50" s="68" t="s">
        <v>140</v>
      </c>
    </row>
    <row r="51" spans="1:21" ht="30" x14ac:dyDescent="0.25">
      <c r="A51" s="8">
        <v>20996732</v>
      </c>
      <c r="B51" s="8">
        <v>4</v>
      </c>
      <c r="C51" s="11" t="s">
        <v>258</v>
      </c>
      <c r="D51" s="9" t="s">
        <v>259</v>
      </c>
      <c r="E51" s="9" t="s">
        <v>260</v>
      </c>
      <c r="F51" s="9" t="s">
        <v>261</v>
      </c>
      <c r="G51" s="34" t="s">
        <v>73</v>
      </c>
      <c r="H51" s="96" t="s">
        <v>74</v>
      </c>
      <c r="I51" s="72">
        <v>2024</v>
      </c>
      <c r="J51" s="72"/>
      <c r="K51" s="72"/>
      <c r="L51" s="72"/>
      <c r="M51" s="72"/>
      <c r="N51" s="2"/>
      <c r="O51" s="2"/>
      <c r="P51" s="2"/>
      <c r="Q51" s="2"/>
      <c r="R51" s="7">
        <f t="shared" si="0"/>
        <v>0</v>
      </c>
      <c r="S51" s="19">
        <f t="shared" si="1"/>
        <v>0</v>
      </c>
      <c r="T51" s="16" t="str">
        <f t="shared" si="2"/>
        <v>Por Mejorar</v>
      </c>
      <c r="U51" s="68" t="s">
        <v>140</v>
      </c>
    </row>
    <row r="52" spans="1:21" ht="30" x14ac:dyDescent="0.25">
      <c r="A52" s="8">
        <v>21000895</v>
      </c>
      <c r="B52" s="8">
        <v>0</v>
      </c>
      <c r="C52" s="11" t="s">
        <v>262</v>
      </c>
      <c r="D52" s="9" t="s">
        <v>263</v>
      </c>
      <c r="E52" s="9" t="s">
        <v>264</v>
      </c>
      <c r="F52" s="9" t="s">
        <v>265</v>
      </c>
      <c r="G52" s="34" t="s">
        <v>118</v>
      </c>
      <c r="H52" s="96" t="s">
        <v>82</v>
      </c>
      <c r="I52" s="72"/>
      <c r="J52" s="72"/>
      <c r="K52" s="72"/>
      <c r="L52" s="72"/>
      <c r="M52" s="72"/>
      <c r="N52" s="2"/>
      <c r="O52" s="2"/>
      <c r="P52" s="2"/>
      <c r="Q52" s="2"/>
      <c r="R52" s="7">
        <f t="shared" si="0"/>
        <v>0</v>
      </c>
      <c r="S52" s="19">
        <f t="shared" si="1"/>
        <v>0</v>
      </c>
      <c r="T52" s="16" t="str">
        <f t="shared" si="2"/>
        <v>No rendida o no válida</v>
      </c>
      <c r="U52" s="68" t="s">
        <v>83</v>
      </c>
    </row>
    <row r="53" spans="1:21" ht="30" x14ac:dyDescent="0.25">
      <c r="A53" s="8">
        <v>21012299</v>
      </c>
      <c r="B53" s="8">
        <v>0</v>
      </c>
      <c r="C53" s="11" t="s">
        <v>266</v>
      </c>
      <c r="D53" s="9" t="s">
        <v>267</v>
      </c>
      <c r="E53" s="9" t="s">
        <v>268</v>
      </c>
      <c r="F53" s="9" t="s">
        <v>269</v>
      </c>
      <c r="G53" s="34" t="s">
        <v>73</v>
      </c>
      <c r="H53" s="95" t="s">
        <v>74</v>
      </c>
      <c r="I53" s="88">
        <v>45748</v>
      </c>
      <c r="J53" s="72"/>
      <c r="K53" s="69">
        <v>2</v>
      </c>
      <c r="L53" s="70">
        <v>1</v>
      </c>
      <c r="M53" s="70">
        <v>1</v>
      </c>
      <c r="N53" s="70">
        <v>1</v>
      </c>
      <c r="O53" s="70">
        <v>1</v>
      </c>
      <c r="P53" s="70">
        <v>3</v>
      </c>
      <c r="Q53" s="70">
        <v>3</v>
      </c>
      <c r="R53" s="7">
        <f t="shared" si="0"/>
        <v>12</v>
      </c>
      <c r="S53" s="19">
        <f t="shared" si="1"/>
        <v>0.5714285714285714</v>
      </c>
      <c r="T53" s="16" t="str">
        <f t="shared" si="2"/>
        <v>Por Mejorar</v>
      </c>
      <c r="U53" s="68" t="s">
        <v>75</v>
      </c>
    </row>
    <row r="54" spans="1:21" ht="30" x14ac:dyDescent="0.25">
      <c r="A54" s="8">
        <v>21051383</v>
      </c>
      <c r="B54" s="8">
        <v>3</v>
      </c>
      <c r="C54" s="11" t="s">
        <v>270</v>
      </c>
      <c r="D54" s="9" t="s">
        <v>271</v>
      </c>
      <c r="E54" s="9" t="s">
        <v>272</v>
      </c>
      <c r="F54" s="9" t="s">
        <v>273</v>
      </c>
      <c r="G54" s="34" t="s">
        <v>73</v>
      </c>
      <c r="H54" s="95" t="s">
        <v>74</v>
      </c>
      <c r="I54" s="88">
        <v>45748</v>
      </c>
      <c r="J54" s="72"/>
      <c r="K54" s="71">
        <v>2</v>
      </c>
      <c r="L54" s="72">
        <v>1</v>
      </c>
      <c r="M54" s="72">
        <v>1</v>
      </c>
      <c r="N54" s="72">
        <v>1</v>
      </c>
      <c r="O54" s="72">
        <v>0</v>
      </c>
      <c r="P54" s="72">
        <v>2</v>
      </c>
      <c r="Q54" s="72">
        <v>2</v>
      </c>
      <c r="R54" s="7">
        <f t="shared" si="0"/>
        <v>9</v>
      </c>
      <c r="S54" s="19">
        <f t="shared" si="1"/>
        <v>0.42857142857142855</v>
      </c>
      <c r="T54" s="16" t="str">
        <f t="shared" si="2"/>
        <v>Base</v>
      </c>
      <c r="U54" s="68" t="s">
        <v>75</v>
      </c>
    </row>
    <row r="55" spans="1:21" ht="30" x14ac:dyDescent="0.25">
      <c r="A55" s="8">
        <v>21051586</v>
      </c>
      <c r="B55" s="8">
        <v>0</v>
      </c>
      <c r="C55" s="11" t="s">
        <v>274</v>
      </c>
      <c r="D55" s="9" t="s">
        <v>275</v>
      </c>
      <c r="E55" s="9" t="s">
        <v>276</v>
      </c>
      <c r="F55" s="9" t="s">
        <v>277</v>
      </c>
      <c r="G55" s="34" t="s">
        <v>73</v>
      </c>
      <c r="H55" s="95" t="s">
        <v>74</v>
      </c>
      <c r="I55" s="88">
        <v>45748</v>
      </c>
      <c r="J55" s="72"/>
      <c r="K55" s="71">
        <v>2</v>
      </c>
      <c r="L55" s="72">
        <v>2</v>
      </c>
      <c r="M55" s="72">
        <v>1</v>
      </c>
      <c r="N55" s="72">
        <v>1</v>
      </c>
      <c r="O55" s="72">
        <v>0</v>
      </c>
      <c r="P55" s="72">
        <v>2</v>
      </c>
      <c r="Q55" s="72" t="s">
        <v>88</v>
      </c>
      <c r="R55" s="7">
        <f t="shared" si="0"/>
        <v>8</v>
      </c>
      <c r="S55" s="19">
        <f t="shared" si="1"/>
        <v>0.38095238095238093</v>
      </c>
      <c r="T55" s="16" t="str">
        <f t="shared" si="2"/>
        <v>Por Mejorar</v>
      </c>
      <c r="U55" s="68" t="s">
        <v>75</v>
      </c>
    </row>
    <row r="56" spans="1:21" ht="30" x14ac:dyDescent="0.25">
      <c r="A56" s="8">
        <v>21052154</v>
      </c>
      <c r="B56" s="8">
        <v>2</v>
      </c>
      <c r="C56" s="11" t="s">
        <v>278</v>
      </c>
      <c r="D56" s="9" t="s">
        <v>279</v>
      </c>
      <c r="E56" s="9" t="s">
        <v>280</v>
      </c>
      <c r="F56" s="9" t="s">
        <v>281</v>
      </c>
      <c r="G56" s="34" t="s">
        <v>73</v>
      </c>
      <c r="H56" s="95" t="s">
        <v>74</v>
      </c>
      <c r="I56" s="88">
        <v>45748</v>
      </c>
      <c r="J56" s="72"/>
      <c r="K56" s="71" t="s">
        <v>88</v>
      </c>
      <c r="L56" s="72" t="s">
        <v>88</v>
      </c>
      <c r="M56" s="72" t="s">
        <v>88</v>
      </c>
      <c r="N56" s="72" t="s">
        <v>88</v>
      </c>
      <c r="O56" s="72" t="s">
        <v>88</v>
      </c>
      <c r="P56" s="72" t="s">
        <v>88</v>
      </c>
      <c r="Q56" s="72" t="s">
        <v>88</v>
      </c>
      <c r="R56" s="7">
        <f t="shared" si="0"/>
        <v>0</v>
      </c>
      <c r="S56" s="19">
        <f t="shared" si="1"/>
        <v>0</v>
      </c>
      <c r="T56" s="16" t="str">
        <f t="shared" si="2"/>
        <v>Por Mejorar</v>
      </c>
      <c r="U56" s="68" t="s">
        <v>75</v>
      </c>
    </row>
    <row r="57" spans="1:21" ht="30" x14ac:dyDescent="0.25">
      <c r="A57" s="8">
        <v>21065826</v>
      </c>
      <c r="B57" s="8">
        <v>2</v>
      </c>
      <c r="C57" s="11" t="s">
        <v>282</v>
      </c>
      <c r="D57" s="9" t="s">
        <v>283</v>
      </c>
      <c r="E57" s="9" t="s">
        <v>242</v>
      </c>
      <c r="F57" s="9" t="s">
        <v>284</v>
      </c>
      <c r="G57" s="34" t="s">
        <v>73</v>
      </c>
      <c r="H57" s="95" t="s">
        <v>74</v>
      </c>
      <c r="I57" s="88">
        <v>45748</v>
      </c>
      <c r="J57" s="72"/>
      <c r="K57" s="71">
        <v>2</v>
      </c>
      <c r="L57" s="72">
        <v>1</v>
      </c>
      <c r="M57" s="72">
        <v>1</v>
      </c>
      <c r="N57" s="72">
        <v>1</v>
      </c>
      <c r="O57" s="72">
        <v>1</v>
      </c>
      <c r="P57" s="72">
        <v>3</v>
      </c>
      <c r="Q57" s="72" t="s">
        <v>88</v>
      </c>
      <c r="R57" s="7">
        <f t="shared" si="0"/>
        <v>9</v>
      </c>
      <c r="S57" s="19">
        <f t="shared" si="1"/>
        <v>0.42857142857142855</v>
      </c>
      <c r="T57" s="16" t="str">
        <f t="shared" si="2"/>
        <v>Por Mejorar</v>
      </c>
      <c r="U57" s="68" t="s">
        <v>75</v>
      </c>
    </row>
    <row r="58" spans="1:21" ht="30" x14ac:dyDescent="0.25">
      <c r="A58" s="8">
        <v>21075627</v>
      </c>
      <c r="B58" s="8">
        <v>2</v>
      </c>
      <c r="C58" s="11" t="s">
        <v>285</v>
      </c>
      <c r="D58" s="9" t="s">
        <v>286</v>
      </c>
      <c r="E58" s="9" t="s">
        <v>287</v>
      </c>
      <c r="F58" s="9" t="s">
        <v>288</v>
      </c>
      <c r="G58" s="34" t="s">
        <v>73</v>
      </c>
      <c r="H58" s="95" t="s">
        <v>74</v>
      </c>
      <c r="I58" s="88">
        <v>45748</v>
      </c>
      <c r="J58" s="72"/>
      <c r="K58" s="71">
        <v>3</v>
      </c>
      <c r="L58" s="72">
        <v>1</v>
      </c>
      <c r="M58" s="72">
        <v>1</v>
      </c>
      <c r="N58" s="72">
        <v>1</v>
      </c>
      <c r="O58" s="72">
        <v>2</v>
      </c>
      <c r="P58" s="72">
        <v>3</v>
      </c>
      <c r="Q58" s="72">
        <v>3</v>
      </c>
      <c r="R58" s="7">
        <f t="shared" si="0"/>
        <v>14</v>
      </c>
      <c r="S58" s="19">
        <f t="shared" si="1"/>
        <v>0.66666666666666663</v>
      </c>
      <c r="T58" s="16" t="str">
        <f t="shared" si="2"/>
        <v>Por Mejorar</v>
      </c>
      <c r="U58" s="68" t="s">
        <v>75</v>
      </c>
    </row>
    <row r="59" spans="1:21" ht="30" x14ac:dyDescent="0.25">
      <c r="A59" s="8">
        <v>21081699</v>
      </c>
      <c r="B59" s="8">
        <v>2</v>
      </c>
      <c r="C59" s="11" t="s">
        <v>289</v>
      </c>
      <c r="D59" s="9" t="s">
        <v>290</v>
      </c>
      <c r="E59" s="9" t="s">
        <v>290</v>
      </c>
      <c r="F59" s="9" t="s">
        <v>291</v>
      </c>
      <c r="G59" s="34" t="s">
        <v>73</v>
      </c>
      <c r="H59" s="95" t="s">
        <v>74</v>
      </c>
      <c r="I59" s="88">
        <v>45748</v>
      </c>
      <c r="J59" s="72"/>
      <c r="K59" s="71">
        <v>1</v>
      </c>
      <c r="L59" s="72">
        <v>1</v>
      </c>
      <c r="M59" s="72">
        <v>3</v>
      </c>
      <c r="N59" s="72">
        <v>2</v>
      </c>
      <c r="O59" s="72">
        <v>2</v>
      </c>
      <c r="P59" s="72">
        <v>2</v>
      </c>
      <c r="Q59" s="72">
        <v>1</v>
      </c>
      <c r="R59" s="7">
        <f t="shared" si="0"/>
        <v>12</v>
      </c>
      <c r="S59" s="19">
        <f t="shared" si="1"/>
        <v>0.5714285714285714</v>
      </c>
      <c r="T59" s="16" t="str">
        <f t="shared" si="2"/>
        <v>Base</v>
      </c>
      <c r="U59" s="68" t="s">
        <v>75</v>
      </c>
    </row>
    <row r="60" spans="1:21" ht="30" x14ac:dyDescent="0.25">
      <c r="A60" s="8">
        <v>21084524</v>
      </c>
      <c r="B60" s="8">
        <v>0</v>
      </c>
      <c r="C60" s="11" t="s">
        <v>292</v>
      </c>
      <c r="D60" s="9" t="s">
        <v>226</v>
      </c>
      <c r="E60" s="9" t="s">
        <v>293</v>
      </c>
      <c r="F60" s="9" t="s">
        <v>294</v>
      </c>
      <c r="G60" s="34" t="s">
        <v>73</v>
      </c>
      <c r="H60" s="95" t="s">
        <v>74</v>
      </c>
      <c r="I60" s="88">
        <v>45748</v>
      </c>
      <c r="J60" s="72"/>
      <c r="K60" s="71">
        <v>3</v>
      </c>
      <c r="L60" s="72">
        <v>2</v>
      </c>
      <c r="M60" s="72">
        <v>3</v>
      </c>
      <c r="N60" s="72">
        <v>2</v>
      </c>
      <c r="O60" s="72">
        <v>2</v>
      </c>
      <c r="P60" s="72">
        <v>2</v>
      </c>
      <c r="Q60" s="72">
        <v>2</v>
      </c>
      <c r="R60" s="7">
        <f t="shared" si="0"/>
        <v>16</v>
      </c>
      <c r="S60" s="19">
        <f t="shared" si="1"/>
        <v>0.76190476190476186</v>
      </c>
      <c r="T60" s="16" t="str">
        <f t="shared" si="2"/>
        <v>Satisfactorio</v>
      </c>
      <c r="U60" s="68" t="s">
        <v>75</v>
      </c>
    </row>
    <row r="61" spans="1:21" ht="30" x14ac:dyDescent="0.25">
      <c r="A61" s="8">
        <v>21088926</v>
      </c>
      <c r="B61" s="8">
        <v>4</v>
      </c>
      <c r="C61" s="11" t="s">
        <v>295</v>
      </c>
      <c r="D61" s="9" t="s">
        <v>296</v>
      </c>
      <c r="E61" s="9" t="s">
        <v>297</v>
      </c>
      <c r="F61" s="9" t="s">
        <v>298</v>
      </c>
      <c r="G61" s="34" t="s">
        <v>73</v>
      </c>
      <c r="H61" s="95" t="s">
        <v>74</v>
      </c>
      <c r="I61" s="88">
        <v>45748</v>
      </c>
      <c r="J61" s="72"/>
      <c r="K61" s="71">
        <v>1</v>
      </c>
      <c r="L61" s="72" t="s">
        <v>88</v>
      </c>
      <c r="M61" s="72">
        <v>2</v>
      </c>
      <c r="N61" s="72">
        <v>1</v>
      </c>
      <c r="O61" s="72">
        <v>1</v>
      </c>
      <c r="P61" s="72">
        <v>3</v>
      </c>
      <c r="Q61" s="72" t="s">
        <v>88</v>
      </c>
      <c r="R61" s="7">
        <f t="shared" si="0"/>
        <v>8</v>
      </c>
      <c r="S61" s="19">
        <f t="shared" si="1"/>
        <v>0.38095238095238093</v>
      </c>
      <c r="T61" s="16" t="str">
        <f t="shared" si="2"/>
        <v>Base</v>
      </c>
      <c r="U61" s="68" t="s">
        <v>75</v>
      </c>
    </row>
    <row r="62" spans="1:21" ht="30" x14ac:dyDescent="0.25">
      <c r="A62" s="8">
        <v>21119423</v>
      </c>
      <c r="B62" s="8">
        <v>5</v>
      </c>
      <c r="C62" s="11" t="s">
        <v>299</v>
      </c>
      <c r="D62" s="9" t="s">
        <v>300</v>
      </c>
      <c r="E62" s="9" t="s">
        <v>290</v>
      </c>
      <c r="F62" s="9" t="s">
        <v>197</v>
      </c>
      <c r="G62" s="34" t="s">
        <v>73</v>
      </c>
      <c r="H62" s="95" t="s">
        <v>74</v>
      </c>
      <c r="I62" s="88">
        <v>45748</v>
      </c>
      <c r="J62" s="72"/>
      <c r="K62" s="71">
        <v>1</v>
      </c>
      <c r="L62" s="72">
        <v>0</v>
      </c>
      <c r="M62" s="72">
        <v>2</v>
      </c>
      <c r="N62" s="72">
        <v>2</v>
      </c>
      <c r="O62" s="72">
        <v>0</v>
      </c>
      <c r="P62" s="72">
        <v>3</v>
      </c>
      <c r="Q62" s="72">
        <v>2</v>
      </c>
      <c r="R62" s="7">
        <f t="shared" si="0"/>
        <v>10</v>
      </c>
      <c r="S62" s="19">
        <f t="shared" si="1"/>
        <v>0.47619047619047616</v>
      </c>
      <c r="T62" s="16" t="str">
        <f t="shared" si="2"/>
        <v>Por Mejorar</v>
      </c>
      <c r="U62" s="68" t="s">
        <v>75</v>
      </c>
    </row>
    <row r="63" spans="1:21" ht="30" x14ac:dyDescent="0.25">
      <c r="A63" s="8">
        <v>21121645</v>
      </c>
      <c r="B63" s="8" t="s">
        <v>76</v>
      </c>
      <c r="C63" s="11" t="s">
        <v>301</v>
      </c>
      <c r="D63" s="9" t="s">
        <v>302</v>
      </c>
      <c r="E63" s="9" t="s">
        <v>150</v>
      </c>
      <c r="F63" s="9" t="s">
        <v>303</v>
      </c>
      <c r="G63" s="34" t="s">
        <v>73</v>
      </c>
      <c r="H63" s="95" t="s">
        <v>74</v>
      </c>
      <c r="I63" s="88">
        <v>45748</v>
      </c>
      <c r="J63" s="72"/>
      <c r="K63" s="71">
        <v>2</v>
      </c>
      <c r="L63" s="72">
        <v>1</v>
      </c>
      <c r="M63" s="72">
        <v>2</v>
      </c>
      <c r="N63" s="72">
        <v>2</v>
      </c>
      <c r="O63" s="72">
        <v>1</v>
      </c>
      <c r="P63" s="72">
        <v>3</v>
      </c>
      <c r="Q63" s="72">
        <v>2</v>
      </c>
      <c r="R63" s="7">
        <f t="shared" si="0"/>
        <v>13</v>
      </c>
      <c r="S63" s="19">
        <f t="shared" si="1"/>
        <v>0.61904761904761907</v>
      </c>
      <c r="T63" s="16" t="str">
        <f t="shared" si="2"/>
        <v>Por Mejorar</v>
      </c>
      <c r="U63" s="68" t="s">
        <v>75</v>
      </c>
    </row>
    <row r="64" spans="1:21" ht="30" x14ac:dyDescent="0.25">
      <c r="A64" s="8">
        <v>21142755</v>
      </c>
      <c r="B64" s="8">
        <v>8</v>
      </c>
      <c r="C64" s="11" t="s">
        <v>304</v>
      </c>
      <c r="D64" s="9" t="s">
        <v>305</v>
      </c>
      <c r="E64" s="9" t="s">
        <v>306</v>
      </c>
      <c r="F64" s="9" t="s">
        <v>307</v>
      </c>
      <c r="G64" s="34" t="s">
        <v>73</v>
      </c>
      <c r="H64" s="95" t="s">
        <v>74</v>
      </c>
      <c r="I64" s="88">
        <v>45748</v>
      </c>
      <c r="J64" s="72"/>
      <c r="K64" s="71">
        <v>3</v>
      </c>
      <c r="L64" s="72" t="s">
        <v>88</v>
      </c>
      <c r="M64" s="72">
        <v>1</v>
      </c>
      <c r="N64" s="72">
        <v>2</v>
      </c>
      <c r="O64" s="72">
        <v>0</v>
      </c>
      <c r="P64" s="72">
        <v>3</v>
      </c>
      <c r="Q64" s="72">
        <v>3</v>
      </c>
      <c r="R64" s="7">
        <f t="shared" si="0"/>
        <v>12</v>
      </c>
      <c r="S64" s="19">
        <f t="shared" si="1"/>
        <v>0.5714285714285714</v>
      </c>
      <c r="T64" s="16" t="str">
        <f t="shared" si="2"/>
        <v>Base</v>
      </c>
      <c r="U64" s="68" t="s">
        <v>75</v>
      </c>
    </row>
    <row r="65" spans="1:21" ht="30" x14ac:dyDescent="0.25">
      <c r="A65" s="8">
        <v>21151978</v>
      </c>
      <c r="B65" s="8">
        <v>9</v>
      </c>
      <c r="C65" s="11" t="s">
        <v>308</v>
      </c>
      <c r="D65" s="9" t="s">
        <v>154</v>
      </c>
      <c r="E65" s="9" t="s">
        <v>309</v>
      </c>
      <c r="F65" s="9" t="s">
        <v>310</v>
      </c>
      <c r="G65" s="34" t="s">
        <v>73</v>
      </c>
      <c r="H65" s="95" t="s">
        <v>74</v>
      </c>
      <c r="I65" s="88">
        <v>45748</v>
      </c>
      <c r="J65" s="72"/>
      <c r="K65" s="71">
        <v>3</v>
      </c>
      <c r="L65" s="72" t="s">
        <v>88</v>
      </c>
      <c r="M65" s="72">
        <v>1</v>
      </c>
      <c r="N65" s="72">
        <v>1</v>
      </c>
      <c r="O65" s="72">
        <v>1</v>
      </c>
      <c r="P65" s="72" t="s">
        <v>88</v>
      </c>
      <c r="Q65" s="72" t="s">
        <v>88</v>
      </c>
      <c r="R65" s="7">
        <f t="shared" si="0"/>
        <v>6</v>
      </c>
      <c r="S65" s="19">
        <f t="shared" si="1"/>
        <v>0.2857142857142857</v>
      </c>
      <c r="T65" s="16" t="str">
        <f t="shared" si="2"/>
        <v>Base</v>
      </c>
      <c r="U65" s="68" t="s">
        <v>75</v>
      </c>
    </row>
    <row r="66" spans="1:21" ht="30" x14ac:dyDescent="0.25">
      <c r="A66" s="8">
        <v>21152799</v>
      </c>
      <c r="B66" s="8">
        <v>4</v>
      </c>
      <c r="C66" s="11" t="s">
        <v>311</v>
      </c>
      <c r="D66" s="9" t="s">
        <v>91</v>
      </c>
      <c r="E66" s="9" t="s">
        <v>174</v>
      </c>
      <c r="F66" s="9" t="s">
        <v>312</v>
      </c>
      <c r="G66" s="34" t="s">
        <v>73</v>
      </c>
      <c r="H66" s="95" t="s">
        <v>74</v>
      </c>
      <c r="I66" s="88">
        <v>45748</v>
      </c>
      <c r="J66" s="72"/>
      <c r="K66" s="71">
        <v>1</v>
      </c>
      <c r="L66" s="72">
        <v>2</v>
      </c>
      <c r="M66" s="72">
        <v>1</v>
      </c>
      <c r="N66" s="72">
        <v>1</v>
      </c>
      <c r="O66" s="72">
        <v>1</v>
      </c>
      <c r="P66" s="72">
        <v>3</v>
      </c>
      <c r="Q66" s="72">
        <v>1</v>
      </c>
      <c r="R66" s="7">
        <f t="shared" si="0"/>
        <v>10</v>
      </c>
      <c r="S66" s="19">
        <f t="shared" si="1"/>
        <v>0.47619047619047616</v>
      </c>
      <c r="T66" s="16" t="str">
        <f t="shared" si="2"/>
        <v>Por Mejorar</v>
      </c>
      <c r="U66" s="68" t="s">
        <v>75</v>
      </c>
    </row>
    <row r="67" spans="1:21" ht="30" x14ac:dyDescent="0.25">
      <c r="A67" s="8">
        <v>21167910</v>
      </c>
      <c r="B67" s="8">
        <v>7</v>
      </c>
      <c r="C67" s="11" t="s">
        <v>313</v>
      </c>
      <c r="D67" s="9" t="s">
        <v>314</v>
      </c>
      <c r="E67" s="9" t="s">
        <v>315</v>
      </c>
      <c r="F67" s="9" t="s">
        <v>316</v>
      </c>
      <c r="G67" s="34" t="s">
        <v>73</v>
      </c>
      <c r="H67" s="95" t="s">
        <v>74</v>
      </c>
      <c r="I67" s="88">
        <v>45748</v>
      </c>
      <c r="J67" s="72"/>
      <c r="K67" s="71">
        <v>2</v>
      </c>
      <c r="L67" s="72">
        <v>2</v>
      </c>
      <c r="M67" s="72">
        <v>3</v>
      </c>
      <c r="N67" s="72">
        <v>3</v>
      </c>
      <c r="O67" s="72">
        <v>3</v>
      </c>
      <c r="P67" s="72">
        <v>3</v>
      </c>
      <c r="Q67" s="72">
        <v>1</v>
      </c>
      <c r="R67" s="7">
        <f t="shared" si="0"/>
        <v>17</v>
      </c>
      <c r="S67" s="19">
        <f t="shared" si="1"/>
        <v>0.80952380952380953</v>
      </c>
      <c r="T67" s="16" t="str">
        <f t="shared" si="2"/>
        <v>Por Mejorar</v>
      </c>
      <c r="U67" s="68" t="s">
        <v>75</v>
      </c>
    </row>
    <row r="68" spans="1:21" ht="30" x14ac:dyDescent="0.25">
      <c r="A68" s="8">
        <v>21173377</v>
      </c>
      <c r="B68" s="8">
        <v>2</v>
      </c>
      <c r="C68" s="11" t="s">
        <v>317</v>
      </c>
      <c r="D68" s="9" t="s">
        <v>115</v>
      </c>
      <c r="E68" s="9" t="s">
        <v>318</v>
      </c>
      <c r="F68" s="9" t="s">
        <v>319</v>
      </c>
      <c r="G68" s="34" t="s">
        <v>73</v>
      </c>
      <c r="H68" s="95" t="s">
        <v>74</v>
      </c>
      <c r="I68" s="88">
        <v>45748</v>
      </c>
      <c r="J68" s="72"/>
      <c r="K68" s="71">
        <v>2</v>
      </c>
      <c r="L68" s="72">
        <v>0</v>
      </c>
      <c r="M68" s="72">
        <v>0</v>
      </c>
      <c r="N68" s="72">
        <v>1</v>
      </c>
      <c r="O68" s="72">
        <v>1</v>
      </c>
      <c r="P68" s="72">
        <v>3</v>
      </c>
      <c r="Q68" s="72">
        <v>2</v>
      </c>
      <c r="R68" s="7">
        <f t="shared" si="0"/>
        <v>9</v>
      </c>
      <c r="S68" s="19">
        <f t="shared" si="1"/>
        <v>0.42857142857142855</v>
      </c>
      <c r="T68" s="16" t="str">
        <f t="shared" si="2"/>
        <v>Base</v>
      </c>
      <c r="U68" s="68" t="s">
        <v>75</v>
      </c>
    </row>
    <row r="69" spans="1:21" ht="30" x14ac:dyDescent="0.25">
      <c r="A69" s="8">
        <v>21188125</v>
      </c>
      <c r="B69" s="8">
        <v>9</v>
      </c>
      <c r="C69" s="11" t="s">
        <v>320</v>
      </c>
      <c r="D69" s="9" t="s">
        <v>121</v>
      </c>
      <c r="E69" s="9" t="s">
        <v>321</v>
      </c>
      <c r="F69" s="9" t="s">
        <v>322</v>
      </c>
      <c r="G69" s="34" t="s">
        <v>73</v>
      </c>
      <c r="H69" s="96" t="s">
        <v>74</v>
      </c>
      <c r="I69" s="72">
        <v>2024</v>
      </c>
      <c r="J69" s="72"/>
      <c r="K69" s="72"/>
      <c r="L69" s="72"/>
      <c r="M69" s="72"/>
      <c r="N69" s="2"/>
      <c r="O69" s="2"/>
      <c r="P69" s="2"/>
      <c r="Q69" s="2"/>
      <c r="R69" s="7">
        <f t="shared" ref="R69:R132" si="3">SUM(K69:Q69)</f>
        <v>0</v>
      </c>
      <c r="S69" s="19">
        <f t="shared" si="1"/>
        <v>0</v>
      </c>
      <c r="T69" s="16" t="str">
        <f t="shared" si="2"/>
        <v>Por Mejorar</v>
      </c>
      <c r="U69" s="68" t="s">
        <v>140</v>
      </c>
    </row>
    <row r="70" spans="1:21" ht="30" x14ac:dyDescent="0.25">
      <c r="A70" s="8">
        <v>21192007</v>
      </c>
      <c r="B70" s="8">
        <v>6</v>
      </c>
      <c r="C70" s="11" t="s">
        <v>323</v>
      </c>
      <c r="D70" s="9" t="s">
        <v>324</v>
      </c>
      <c r="E70" s="9" t="s">
        <v>325</v>
      </c>
      <c r="F70" s="9" t="s">
        <v>326</v>
      </c>
      <c r="G70" s="34" t="s">
        <v>73</v>
      </c>
      <c r="H70" s="95" t="s">
        <v>74</v>
      </c>
      <c r="I70" s="88">
        <v>45748</v>
      </c>
      <c r="J70" s="72"/>
      <c r="K70" s="69">
        <v>2</v>
      </c>
      <c r="L70" s="70">
        <v>1</v>
      </c>
      <c r="M70" s="70">
        <v>1</v>
      </c>
      <c r="N70" s="70">
        <v>1</v>
      </c>
      <c r="O70" s="70">
        <v>0</v>
      </c>
      <c r="P70" s="70">
        <v>3</v>
      </c>
      <c r="Q70" s="70">
        <v>2</v>
      </c>
      <c r="R70" s="7">
        <f t="shared" si="3"/>
        <v>10</v>
      </c>
      <c r="S70" s="19">
        <f t="shared" ref="S70:S133" si="4">R70/21</f>
        <v>0.47619047619047616</v>
      </c>
      <c r="T70" s="16" t="str">
        <f t="shared" ref="T70:T133" si="5">IF(H70="Rendida",IF(S69&lt;49.5%,"Por Mejorar",IF(S70&lt;64.5%,"Base",IF(S70&lt;84.5%,"Satisfactorio","Óptimo"))),"No rendida o no válida")</f>
        <v>Por Mejorar</v>
      </c>
      <c r="U70" s="68" t="s">
        <v>75</v>
      </c>
    </row>
    <row r="71" spans="1:21" ht="30" x14ac:dyDescent="0.25">
      <c r="A71" s="8">
        <v>21199947</v>
      </c>
      <c r="B71" s="8">
        <v>0</v>
      </c>
      <c r="C71" s="11" t="s">
        <v>327</v>
      </c>
      <c r="D71" s="9" t="s">
        <v>276</v>
      </c>
      <c r="E71" s="9" t="s">
        <v>328</v>
      </c>
      <c r="F71" s="9" t="s">
        <v>329</v>
      </c>
      <c r="G71" s="34" t="s">
        <v>73</v>
      </c>
      <c r="H71" s="95" t="s">
        <v>74</v>
      </c>
      <c r="I71" s="88">
        <v>45748</v>
      </c>
      <c r="J71" s="72"/>
      <c r="K71" s="71">
        <v>1</v>
      </c>
      <c r="L71" s="72">
        <v>0</v>
      </c>
      <c r="M71" s="72">
        <v>1</v>
      </c>
      <c r="N71" s="72">
        <v>1</v>
      </c>
      <c r="O71" s="72">
        <v>1</v>
      </c>
      <c r="P71" s="72">
        <v>3</v>
      </c>
      <c r="Q71" s="72">
        <v>2</v>
      </c>
      <c r="R71" s="7">
        <f t="shared" si="3"/>
        <v>9</v>
      </c>
      <c r="S71" s="19">
        <f t="shared" si="4"/>
        <v>0.42857142857142855</v>
      </c>
      <c r="T71" s="16" t="str">
        <f t="shared" si="5"/>
        <v>Por Mejorar</v>
      </c>
      <c r="U71" s="68" t="s">
        <v>75</v>
      </c>
    </row>
    <row r="72" spans="1:21" ht="30" x14ac:dyDescent="0.25">
      <c r="A72" s="8">
        <v>21204420</v>
      </c>
      <c r="B72" s="8">
        <v>2</v>
      </c>
      <c r="C72" s="11" t="s">
        <v>330</v>
      </c>
      <c r="D72" s="9" t="s">
        <v>331</v>
      </c>
      <c r="E72" s="9" t="s">
        <v>332</v>
      </c>
      <c r="F72" s="9" t="s">
        <v>333</v>
      </c>
      <c r="G72" s="34" t="s">
        <v>73</v>
      </c>
      <c r="H72" s="95" t="s">
        <v>74</v>
      </c>
      <c r="I72" s="88">
        <v>45748</v>
      </c>
      <c r="J72" s="72"/>
      <c r="K72" s="71">
        <v>2</v>
      </c>
      <c r="L72" s="72">
        <v>1</v>
      </c>
      <c r="M72" s="72">
        <v>1</v>
      </c>
      <c r="N72" s="72">
        <v>1</v>
      </c>
      <c r="O72" s="72">
        <v>2</v>
      </c>
      <c r="P72" s="72">
        <v>1</v>
      </c>
      <c r="Q72" s="72">
        <v>2</v>
      </c>
      <c r="R72" s="7">
        <f t="shared" si="3"/>
        <v>10</v>
      </c>
      <c r="S72" s="19">
        <f t="shared" si="4"/>
        <v>0.47619047619047616</v>
      </c>
      <c r="T72" s="16" t="str">
        <f t="shared" si="5"/>
        <v>Por Mejorar</v>
      </c>
      <c r="U72" s="68" t="s">
        <v>75</v>
      </c>
    </row>
    <row r="73" spans="1:21" ht="30" x14ac:dyDescent="0.25">
      <c r="A73" s="8">
        <v>21242763</v>
      </c>
      <c r="B73" s="8">
        <v>2</v>
      </c>
      <c r="C73" s="11" t="s">
        <v>334</v>
      </c>
      <c r="D73" s="9" t="s">
        <v>335</v>
      </c>
      <c r="E73" s="9" t="s">
        <v>336</v>
      </c>
      <c r="F73" s="9" t="s">
        <v>337</v>
      </c>
      <c r="G73" t="s">
        <v>236</v>
      </c>
      <c r="H73" s="96" t="s">
        <v>82</v>
      </c>
      <c r="I73" s="72"/>
      <c r="J73" s="72"/>
      <c r="K73" s="72"/>
      <c r="L73" s="72"/>
      <c r="M73" s="72"/>
      <c r="N73" s="2"/>
      <c r="O73" s="2"/>
      <c r="P73" s="2"/>
      <c r="Q73" s="2"/>
      <c r="R73" s="7">
        <f t="shared" si="3"/>
        <v>0</v>
      </c>
      <c r="S73" s="19">
        <f t="shared" si="4"/>
        <v>0</v>
      </c>
      <c r="T73" s="16" t="str">
        <f t="shared" si="5"/>
        <v>No rendida o no válida</v>
      </c>
      <c r="U73" s="68" t="s">
        <v>83</v>
      </c>
    </row>
    <row r="74" spans="1:21" ht="30" x14ac:dyDescent="0.25">
      <c r="A74" s="8">
        <v>21255811</v>
      </c>
      <c r="B74" s="8">
        <v>7</v>
      </c>
      <c r="C74" s="11" t="s">
        <v>338</v>
      </c>
      <c r="D74" s="9" t="s">
        <v>339</v>
      </c>
      <c r="E74" s="9" t="s">
        <v>90</v>
      </c>
      <c r="F74" s="9" t="s">
        <v>340</v>
      </c>
      <c r="G74" t="s">
        <v>236</v>
      </c>
      <c r="H74" s="96" t="s">
        <v>82</v>
      </c>
      <c r="I74" s="72"/>
      <c r="J74" s="72"/>
      <c r="K74" s="72"/>
      <c r="L74" s="72"/>
      <c r="M74" s="72"/>
      <c r="N74" s="2"/>
      <c r="O74" s="2"/>
      <c r="P74" s="2"/>
      <c r="Q74" s="2"/>
      <c r="R74" s="7">
        <f t="shared" si="3"/>
        <v>0</v>
      </c>
      <c r="S74" s="19">
        <f t="shared" si="4"/>
        <v>0</v>
      </c>
      <c r="T74" s="16" t="str">
        <f t="shared" si="5"/>
        <v>No rendida o no válida</v>
      </c>
      <c r="U74" s="68" t="s">
        <v>83</v>
      </c>
    </row>
    <row r="75" spans="1:21" ht="30" x14ac:dyDescent="0.25">
      <c r="A75" s="8">
        <v>21256686</v>
      </c>
      <c r="B75" s="8">
        <v>1</v>
      </c>
      <c r="C75" s="11" t="s">
        <v>341</v>
      </c>
      <c r="D75" s="9" t="s">
        <v>86</v>
      </c>
      <c r="E75" s="9" t="s">
        <v>342</v>
      </c>
      <c r="F75" s="9" t="s">
        <v>254</v>
      </c>
      <c r="G75" s="34" t="s">
        <v>73</v>
      </c>
      <c r="H75" s="95" t="s">
        <v>74</v>
      </c>
      <c r="I75" s="88">
        <v>45748</v>
      </c>
      <c r="J75" s="72"/>
      <c r="K75" s="69">
        <v>2</v>
      </c>
      <c r="L75" s="70">
        <v>2</v>
      </c>
      <c r="M75" s="70">
        <v>2</v>
      </c>
      <c r="N75" s="70">
        <v>1</v>
      </c>
      <c r="O75" s="70">
        <v>1</v>
      </c>
      <c r="P75" s="70">
        <v>3</v>
      </c>
      <c r="Q75" s="70">
        <v>3</v>
      </c>
      <c r="R75" s="7">
        <f t="shared" si="3"/>
        <v>14</v>
      </c>
      <c r="S75" s="19">
        <f t="shared" si="4"/>
        <v>0.66666666666666663</v>
      </c>
      <c r="T75" s="16" t="str">
        <f t="shared" si="5"/>
        <v>Por Mejorar</v>
      </c>
      <c r="U75" s="68" t="s">
        <v>75</v>
      </c>
    </row>
    <row r="76" spans="1:21" ht="30" x14ac:dyDescent="0.25">
      <c r="A76" s="8">
        <v>21261926</v>
      </c>
      <c r="B76" s="8">
        <v>4</v>
      </c>
      <c r="C76" s="11" t="s">
        <v>343</v>
      </c>
      <c r="D76" s="9" t="s">
        <v>256</v>
      </c>
      <c r="E76" s="9" t="s">
        <v>344</v>
      </c>
      <c r="F76" s="9" t="s">
        <v>345</v>
      </c>
      <c r="G76" s="34" t="s">
        <v>73</v>
      </c>
      <c r="H76" s="95" t="s">
        <v>74</v>
      </c>
      <c r="I76" s="88">
        <v>45748</v>
      </c>
      <c r="J76" s="72"/>
      <c r="K76" s="71">
        <v>3</v>
      </c>
      <c r="L76" s="72" t="s">
        <v>88</v>
      </c>
      <c r="M76" s="72">
        <v>1</v>
      </c>
      <c r="N76" s="72">
        <v>1</v>
      </c>
      <c r="O76" s="72">
        <v>1</v>
      </c>
      <c r="P76" s="72" t="s">
        <v>88</v>
      </c>
      <c r="Q76" s="72" t="s">
        <v>88</v>
      </c>
      <c r="R76" s="7">
        <f t="shared" si="3"/>
        <v>6</v>
      </c>
      <c r="S76" s="19">
        <f t="shared" si="4"/>
        <v>0.2857142857142857</v>
      </c>
      <c r="T76" s="16" t="str">
        <f t="shared" si="5"/>
        <v>Base</v>
      </c>
      <c r="U76" s="68" t="s">
        <v>75</v>
      </c>
    </row>
    <row r="77" spans="1:21" ht="30" x14ac:dyDescent="0.25">
      <c r="A77" s="8">
        <v>21272673</v>
      </c>
      <c r="B77" s="8">
        <v>7</v>
      </c>
      <c r="C77" s="11" t="s">
        <v>346</v>
      </c>
      <c r="D77" s="9" t="s">
        <v>90</v>
      </c>
      <c r="E77" s="9" t="s">
        <v>347</v>
      </c>
      <c r="F77" s="9" t="s">
        <v>348</v>
      </c>
      <c r="G77" s="71" t="s">
        <v>81</v>
      </c>
      <c r="H77" s="96" t="s">
        <v>82</v>
      </c>
      <c r="I77" s="72"/>
      <c r="J77" s="72"/>
      <c r="K77" s="72"/>
      <c r="L77" s="72"/>
      <c r="M77" s="72"/>
      <c r="N77" s="1"/>
      <c r="O77" s="1"/>
      <c r="P77" s="1"/>
      <c r="Q77" s="1"/>
      <c r="R77" s="7">
        <f t="shared" si="3"/>
        <v>0</v>
      </c>
      <c r="S77" s="19">
        <f t="shared" si="4"/>
        <v>0</v>
      </c>
      <c r="T77" s="16" t="str">
        <f t="shared" si="5"/>
        <v>No rendida o no válida</v>
      </c>
      <c r="U77" s="68" t="s">
        <v>83</v>
      </c>
    </row>
    <row r="78" spans="1:21" ht="30" x14ac:dyDescent="0.25">
      <c r="A78" s="8">
        <v>21283613</v>
      </c>
      <c r="B78" s="8">
        <v>3</v>
      </c>
      <c r="C78" s="11" t="s">
        <v>349</v>
      </c>
      <c r="D78" s="9" t="s">
        <v>350</v>
      </c>
      <c r="E78" s="9" t="s">
        <v>351</v>
      </c>
      <c r="F78" s="9" t="s">
        <v>352</v>
      </c>
      <c r="G78" s="34" t="s">
        <v>73</v>
      </c>
      <c r="H78" s="95" t="s">
        <v>74</v>
      </c>
      <c r="I78" s="88">
        <v>45748</v>
      </c>
      <c r="J78" s="72"/>
      <c r="K78" s="69">
        <v>1</v>
      </c>
      <c r="L78" s="70">
        <v>2</v>
      </c>
      <c r="M78" s="70">
        <v>0</v>
      </c>
      <c r="N78" s="70">
        <v>0</v>
      </c>
      <c r="O78" s="70">
        <v>2</v>
      </c>
      <c r="P78" s="70">
        <v>3</v>
      </c>
      <c r="Q78" s="70">
        <v>3</v>
      </c>
      <c r="R78" s="7">
        <f t="shared" si="3"/>
        <v>11</v>
      </c>
      <c r="S78" s="19">
        <f t="shared" si="4"/>
        <v>0.52380952380952384</v>
      </c>
      <c r="T78" s="16" t="str">
        <f t="shared" si="5"/>
        <v>Por Mejorar</v>
      </c>
      <c r="U78" s="68" t="s">
        <v>75</v>
      </c>
    </row>
    <row r="79" spans="1:21" ht="30" x14ac:dyDescent="0.25">
      <c r="A79" s="8">
        <v>21314027</v>
      </c>
      <c r="B79" s="8">
        <v>2</v>
      </c>
      <c r="C79" s="11" t="s">
        <v>353</v>
      </c>
      <c r="D79" s="9" t="s">
        <v>71</v>
      </c>
      <c r="E79" s="9" t="s">
        <v>354</v>
      </c>
      <c r="F79" s="9" t="s">
        <v>355</v>
      </c>
      <c r="G79" s="34" t="s">
        <v>73</v>
      </c>
      <c r="H79" s="95" t="s">
        <v>74</v>
      </c>
      <c r="I79" s="88">
        <v>45748</v>
      </c>
      <c r="J79" s="72"/>
      <c r="K79" s="71">
        <v>1</v>
      </c>
      <c r="L79" s="72">
        <v>1</v>
      </c>
      <c r="M79" s="72">
        <v>2</v>
      </c>
      <c r="N79" s="72">
        <v>1</v>
      </c>
      <c r="O79" s="72">
        <v>1</v>
      </c>
      <c r="P79" s="72">
        <v>3</v>
      </c>
      <c r="Q79" s="72" t="s">
        <v>88</v>
      </c>
      <c r="R79" s="7">
        <f t="shared" si="3"/>
        <v>9</v>
      </c>
      <c r="S79" s="19">
        <f t="shared" si="4"/>
        <v>0.42857142857142855</v>
      </c>
      <c r="T79" s="16" t="str">
        <f t="shared" si="5"/>
        <v>Base</v>
      </c>
      <c r="U79" s="68" t="s">
        <v>75</v>
      </c>
    </row>
    <row r="80" spans="1:21" ht="30" x14ac:dyDescent="0.25">
      <c r="A80" s="8">
        <v>21319227</v>
      </c>
      <c r="B80" s="8">
        <v>2</v>
      </c>
      <c r="C80" s="11" t="s">
        <v>356</v>
      </c>
      <c r="D80" s="9" t="s">
        <v>357</v>
      </c>
      <c r="E80" s="9" t="s">
        <v>174</v>
      </c>
      <c r="F80" s="9" t="s">
        <v>358</v>
      </c>
      <c r="G80" s="34" t="s">
        <v>118</v>
      </c>
      <c r="H80" s="96" t="s">
        <v>82</v>
      </c>
      <c r="I80" s="72"/>
      <c r="J80" s="72"/>
      <c r="K80" s="72"/>
      <c r="L80" s="72"/>
      <c r="M80" s="72"/>
      <c r="N80" s="2"/>
      <c r="O80" s="2"/>
      <c r="P80" s="2"/>
      <c r="Q80" s="2"/>
      <c r="R80" s="7">
        <f t="shared" si="3"/>
        <v>0</v>
      </c>
      <c r="S80" s="19">
        <f t="shared" si="4"/>
        <v>0</v>
      </c>
      <c r="T80" s="16" t="str">
        <f t="shared" si="5"/>
        <v>No rendida o no válida</v>
      </c>
      <c r="U80" s="68" t="s">
        <v>83</v>
      </c>
    </row>
    <row r="81" spans="1:21" ht="30" x14ac:dyDescent="0.25">
      <c r="A81" s="8">
        <v>21327154</v>
      </c>
      <c r="B81" s="8">
        <v>7</v>
      </c>
      <c r="C81" s="11" t="s">
        <v>359</v>
      </c>
      <c r="D81" s="9" t="s">
        <v>360</v>
      </c>
      <c r="E81" s="9" t="s">
        <v>361</v>
      </c>
      <c r="F81" s="9" t="s">
        <v>362</v>
      </c>
      <c r="G81" s="34" t="s">
        <v>73</v>
      </c>
      <c r="H81" s="95" t="s">
        <v>74</v>
      </c>
      <c r="I81" s="88">
        <v>45748</v>
      </c>
      <c r="J81" s="72"/>
      <c r="K81" s="69">
        <v>1</v>
      </c>
      <c r="L81" s="70">
        <v>1</v>
      </c>
      <c r="M81" s="70">
        <v>1</v>
      </c>
      <c r="N81" s="70">
        <v>1</v>
      </c>
      <c r="O81" s="70">
        <v>2</v>
      </c>
      <c r="P81" s="70">
        <v>1</v>
      </c>
      <c r="Q81" s="70">
        <v>2</v>
      </c>
      <c r="R81" s="7">
        <f t="shared" si="3"/>
        <v>9</v>
      </c>
      <c r="S81" s="19">
        <f t="shared" si="4"/>
        <v>0.42857142857142855</v>
      </c>
      <c r="T81" s="16" t="str">
        <f t="shared" si="5"/>
        <v>Por Mejorar</v>
      </c>
      <c r="U81" s="68" t="s">
        <v>75</v>
      </c>
    </row>
    <row r="82" spans="1:21" ht="30" x14ac:dyDescent="0.25">
      <c r="A82" s="8">
        <v>21334777</v>
      </c>
      <c r="B82" s="8">
        <v>2</v>
      </c>
      <c r="C82" s="11" t="s">
        <v>363</v>
      </c>
      <c r="D82" s="9" t="s">
        <v>364</v>
      </c>
      <c r="E82" s="9" t="s">
        <v>290</v>
      </c>
      <c r="F82" s="9" t="s">
        <v>365</v>
      </c>
      <c r="G82" s="34" t="s">
        <v>73</v>
      </c>
      <c r="H82" s="95" t="s">
        <v>74</v>
      </c>
      <c r="I82" s="88">
        <v>45748</v>
      </c>
      <c r="J82" s="72"/>
      <c r="K82" s="71">
        <v>2</v>
      </c>
      <c r="L82" s="72">
        <v>1</v>
      </c>
      <c r="M82" s="72">
        <v>1</v>
      </c>
      <c r="N82" s="72">
        <v>1</v>
      </c>
      <c r="O82" s="72">
        <v>3</v>
      </c>
      <c r="P82" s="72">
        <v>3</v>
      </c>
      <c r="Q82" s="72">
        <v>2</v>
      </c>
      <c r="R82" s="7">
        <f t="shared" si="3"/>
        <v>13</v>
      </c>
      <c r="S82" s="19">
        <f t="shared" si="4"/>
        <v>0.61904761904761907</v>
      </c>
      <c r="T82" s="16" t="str">
        <f t="shared" si="5"/>
        <v>Por Mejorar</v>
      </c>
      <c r="U82" s="68" t="s">
        <v>75</v>
      </c>
    </row>
    <row r="83" spans="1:21" ht="30" x14ac:dyDescent="0.25">
      <c r="A83" s="8">
        <v>21336092</v>
      </c>
      <c r="B83" s="8">
        <v>2</v>
      </c>
      <c r="C83" s="11" t="s">
        <v>366</v>
      </c>
      <c r="D83" s="9" t="s">
        <v>367</v>
      </c>
      <c r="E83" s="9" t="s">
        <v>368</v>
      </c>
      <c r="F83" s="9" t="s">
        <v>369</v>
      </c>
      <c r="G83" s="34" t="s">
        <v>73</v>
      </c>
      <c r="H83" s="95" t="s">
        <v>74</v>
      </c>
      <c r="I83" s="88">
        <v>45748</v>
      </c>
      <c r="J83" s="72"/>
      <c r="K83" s="71">
        <v>2</v>
      </c>
      <c r="L83" s="72">
        <v>1</v>
      </c>
      <c r="M83" s="72">
        <v>1</v>
      </c>
      <c r="N83" s="72">
        <v>1</v>
      </c>
      <c r="O83" s="72">
        <v>1</v>
      </c>
      <c r="P83" s="72">
        <v>3</v>
      </c>
      <c r="Q83" s="72">
        <v>2</v>
      </c>
      <c r="R83" s="7">
        <f t="shared" si="3"/>
        <v>11</v>
      </c>
      <c r="S83" s="19">
        <f t="shared" si="4"/>
        <v>0.52380952380952384</v>
      </c>
      <c r="T83" s="16" t="str">
        <f t="shared" si="5"/>
        <v>Base</v>
      </c>
      <c r="U83" s="68" t="s">
        <v>75</v>
      </c>
    </row>
    <row r="84" spans="1:21" ht="30" x14ac:dyDescent="0.25">
      <c r="A84" s="8">
        <v>21336544</v>
      </c>
      <c r="B84" s="8">
        <v>4</v>
      </c>
      <c r="C84" s="11" t="s">
        <v>370</v>
      </c>
      <c r="D84" s="9" t="s">
        <v>371</v>
      </c>
      <c r="E84" s="9" t="s">
        <v>372</v>
      </c>
      <c r="F84" s="9" t="s">
        <v>373</v>
      </c>
      <c r="G84" s="34" t="s">
        <v>73</v>
      </c>
      <c r="H84" s="95" t="s">
        <v>74</v>
      </c>
      <c r="I84" s="88">
        <v>45748</v>
      </c>
      <c r="J84" s="72"/>
      <c r="K84" s="71">
        <v>1</v>
      </c>
      <c r="L84" s="72">
        <v>1</v>
      </c>
      <c r="M84" s="72">
        <v>1</v>
      </c>
      <c r="N84" s="72">
        <v>1</v>
      </c>
      <c r="O84" s="72">
        <v>0</v>
      </c>
      <c r="P84" s="72">
        <v>3</v>
      </c>
      <c r="Q84" s="72" t="s">
        <v>88</v>
      </c>
      <c r="R84" s="7">
        <f t="shared" si="3"/>
        <v>7</v>
      </c>
      <c r="S84" s="19">
        <f t="shared" si="4"/>
        <v>0.33333333333333331</v>
      </c>
      <c r="T84" s="16" t="str">
        <f t="shared" si="5"/>
        <v>Base</v>
      </c>
      <c r="U84" s="68" t="s">
        <v>75</v>
      </c>
    </row>
    <row r="85" spans="1:21" ht="30" x14ac:dyDescent="0.25">
      <c r="A85" s="8">
        <v>21337076</v>
      </c>
      <c r="B85" s="8">
        <v>6</v>
      </c>
      <c r="C85" s="11" t="s">
        <v>374</v>
      </c>
      <c r="D85" s="9" t="s">
        <v>375</v>
      </c>
      <c r="E85" s="9" t="s">
        <v>376</v>
      </c>
      <c r="F85" s="9" t="s">
        <v>377</v>
      </c>
      <c r="G85" s="34" t="s">
        <v>73</v>
      </c>
      <c r="H85" s="95" t="s">
        <v>74</v>
      </c>
      <c r="I85" s="88">
        <v>45748</v>
      </c>
      <c r="J85" s="72"/>
      <c r="K85" s="71">
        <v>2</v>
      </c>
      <c r="L85" s="72" t="s">
        <v>88</v>
      </c>
      <c r="M85" s="72">
        <v>2</v>
      </c>
      <c r="N85" s="72">
        <v>1</v>
      </c>
      <c r="O85" s="72">
        <v>0</v>
      </c>
      <c r="P85" s="72">
        <v>2</v>
      </c>
      <c r="Q85" s="72" t="s">
        <v>88</v>
      </c>
      <c r="R85" s="7">
        <f t="shared" si="3"/>
        <v>7</v>
      </c>
      <c r="S85" s="19">
        <f t="shared" si="4"/>
        <v>0.33333333333333331</v>
      </c>
      <c r="T85" s="16" t="str">
        <f t="shared" si="5"/>
        <v>Por Mejorar</v>
      </c>
      <c r="U85" s="68" t="s">
        <v>75</v>
      </c>
    </row>
    <row r="86" spans="1:21" ht="30" x14ac:dyDescent="0.25">
      <c r="A86" s="8">
        <v>21342003</v>
      </c>
      <c r="B86" s="8">
        <v>8</v>
      </c>
      <c r="C86" s="11" t="s">
        <v>378</v>
      </c>
      <c r="D86" s="9" t="s">
        <v>379</v>
      </c>
      <c r="E86" s="9" t="s">
        <v>181</v>
      </c>
      <c r="F86" s="9" t="s">
        <v>380</v>
      </c>
      <c r="G86" s="34" t="s">
        <v>73</v>
      </c>
      <c r="H86" s="95" t="s">
        <v>74</v>
      </c>
      <c r="I86" s="88">
        <v>45748</v>
      </c>
      <c r="J86" s="82"/>
      <c r="K86" s="71">
        <v>2</v>
      </c>
      <c r="L86" s="72">
        <v>2</v>
      </c>
      <c r="M86" s="72">
        <v>1</v>
      </c>
      <c r="N86" s="72">
        <v>1</v>
      </c>
      <c r="O86" s="72">
        <v>2</v>
      </c>
      <c r="P86" s="72">
        <v>2</v>
      </c>
      <c r="Q86" s="72">
        <v>2</v>
      </c>
      <c r="R86" s="7">
        <f t="shared" si="3"/>
        <v>12</v>
      </c>
      <c r="S86" s="19">
        <f t="shared" si="4"/>
        <v>0.5714285714285714</v>
      </c>
      <c r="T86" s="16" t="str">
        <f t="shared" si="5"/>
        <v>Por Mejorar</v>
      </c>
      <c r="U86" s="68" t="s">
        <v>75</v>
      </c>
    </row>
    <row r="87" spans="1:21" ht="30" x14ac:dyDescent="0.25">
      <c r="A87" s="8">
        <v>21351167</v>
      </c>
      <c r="B87" s="8" t="s">
        <v>76</v>
      </c>
      <c r="C87" s="11" t="s">
        <v>381</v>
      </c>
      <c r="D87" s="9" t="s">
        <v>382</v>
      </c>
      <c r="E87" s="9" t="s">
        <v>383</v>
      </c>
      <c r="F87" s="9" t="s">
        <v>384</v>
      </c>
      <c r="G87" s="34" t="s">
        <v>101</v>
      </c>
      <c r="H87" s="96" t="s">
        <v>82</v>
      </c>
      <c r="I87" s="90"/>
      <c r="J87" s="69"/>
      <c r="K87" s="72"/>
      <c r="L87" s="72"/>
      <c r="M87" s="72"/>
      <c r="N87" s="2"/>
      <c r="O87" s="2"/>
      <c r="P87" s="2"/>
      <c r="Q87" s="2"/>
      <c r="R87" s="7">
        <f t="shared" si="3"/>
        <v>0</v>
      </c>
      <c r="S87" s="19">
        <f t="shared" si="4"/>
        <v>0</v>
      </c>
      <c r="T87" s="16" t="str">
        <f t="shared" si="5"/>
        <v>No rendida o no válida</v>
      </c>
      <c r="U87" s="68" t="s">
        <v>102</v>
      </c>
    </row>
    <row r="88" spans="1:21" ht="30" x14ac:dyDescent="0.25">
      <c r="A88" s="8">
        <v>21368411</v>
      </c>
      <c r="B88" s="8">
        <v>6</v>
      </c>
      <c r="C88" s="11" t="s">
        <v>385</v>
      </c>
      <c r="D88" s="9" t="s">
        <v>386</v>
      </c>
      <c r="E88" s="9" t="s">
        <v>387</v>
      </c>
      <c r="F88" s="9" t="s">
        <v>388</v>
      </c>
      <c r="G88" s="34" t="s">
        <v>73</v>
      </c>
      <c r="H88" s="95" t="s">
        <v>74</v>
      </c>
      <c r="I88" s="88">
        <v>45748</v>
      </c>
      <c r="J88" s="72"/>
      <c r="K88" s="69">
        <v>2</v>
      </c>
      <c r="L88" s="70">
        <v>2</v>
      </c>
      <c r="M88" s="70">
        <v>3</v>
      </c>
      <c r="N88" s="70">
        <v>1</v>
      </c>
      <c r="O88" s="70">
        <v>1</v>
      </c>
      <c r="P88" s="70">
        <v>3</v>
      </c>
      <c r="Q88" s="70">
        <v>0</v>
      </c>
      <c r="R88" s="7">
        <f t="shared" si="3"/>
        <v>12</v>
      </c>
      <c r="S88" s="19">
        <f t="shared" si="4"/>
        <v>0.5714285714285714</v>
      </c>
      <c r="T88" s="16" t="str">
        <f t="shared" si="5"/>
        <v>Por Mejorar</v>
      </c>
      <c r="U88" s="68" t="s">
        <v>75</v>
      </c>
    </row>
    <row r="89" spans="1:21" ht="30" x14ac:dyDescent="0.25">
      <c r="A89" s="8">
        <v>21369375</v>
      </c>
      <c r="B89" s="8">
        <v>1</v>
      </c>
      <c r="C89" s="11" t="s">
        <v>389</v>
      </c>
      <c r="D89" s="9" t="s">
        <v>390</v>
      </c>
      <c r="E89" s="9" t="s">
        <v>226</v>
      </c>
      <c r="F89" s="9" t="s">
        <v>391</v>
      </c>
      <c r="G89" s="34" t="s">
        <v>73</v>
      </c>
      <c r="H89" s="95" t="s">
        <v>74</v>
      </c>
      <c r="I89" s="88">
        <v>45748</v>
      </c>
      <c r="J89" s="72"/>
      <c r="K89" s="71">
        <v>3</v>
      </c>
      <c r="L89" s="72">
        <v>2</v>
      </c>
      <c r="M89" s="72">
        <v>1</v>
      </c>
      <c r="N89" s="72">
        <v>2</v>
      </c>
      <c r="O89" s="72">
        <v>1</v>
      </c>
      <c r="P89" s="72">
        <v>2</v>
      </c>
      <c r="Q89" s="72">
        <v>2</v>
      </c>
      <c r="R89" s="7">
        <f t="shared" si="3"/>
        <v>13</v>
      </c>
      <c r="S89" s="19">
        <f t="shared" si="4"/>
        <v>0.61904761904761907</v>
      </c>
      <c r="T89" s="16" t="str">
        <f t="shared" si="5"/>
        <v>Base</v>
      </c>
      <c r="U89" s="68" t="s">
        <v>75</v>
      </c>
    </row>
    <row r="90" spans="1:21" ht="30" x14ac:dyDescent="0.25">
      <c r="A90" s="8">
        <v>21379534</v>
      </c>
      <c r="B90" s="8">
        <v>1</v>
      </c>
      <c r="C90" s="11" t="s">
        <v>392</v>
      </c>
      <c r="D90" s="9" t="s">
        <v>393</v>
      </c>
      <c r="E90" s="9" t="s">
        <v>394</v>
      </c>
      <c r="F90" s="9" t="s">
        <v>395</v>
      </c>
      <c r="G90" s="34" t="s">
        <v>73</v>
      </c>
      <c r="H90" s="95" t="s">
        <v>74</v>
      </c>
      <c r="I90" s="88">
        <v>45748</v>
      </c>
      <c r="J90" s="72"/>
      <c r="K90" s="71">
        <v>2</v>
      </c>
      <c r="L90" s="72" t="s">
        <v>88</v>
      </c>
      <c r="M90" s="72">
        <v>1</v>
      </c>
      <c r="N90" s="72">
        <v>1</v>
      </c>
      <c r="O90" s="72">
        <v>0</v>
      </c>
      <c r="P90" s="72">
        <v>1</v>
      </c>
      <c r="Q90" s="72" t="s">
        <v>88</v>
      </c>
      <c r="R90" s="7">
        <f t="shared" si="3"/>
        <v>5</v>
      </c>
      <c r="S90" s="19">
        <f t="shared" si="4"/>
        <v>0.23809523809523808</v>
      </c>
      <c r="T90" s="16" t="str">
        <f t="shared" si="5"/>
        <v>Base</v>
      </c>
      <c r="U90" s="68" t="s">
        <v>75</v>
      </c>
    </row>
    <row r="91" spans="1:21" ht="30" x14ac:dyDescent="0.25">
      <c r="A91" s="8">
        <v>21387903</v>
      </c>
      <c r="B91" s="8">
        <v>0</v>
      </c>
      <c r="C91" s="11" t="s">
        <v>396</v>
      </c>
      <c r="D91" s="9" t="s">
        <v>297</v>
      </c>
      <c r="E91" s="9" t="s">
        <v>397</v>
      </c>
      <c r="F91" s="9" t="s">
        <v>398</v>
      </c>
      <c r="G91" s="34" t="s">
        <v>73</v>
      </c>
      <c r="H91" s="95" t="s">
        <v>74</v>
      </c>
      <c r="I91" s="88">
        <v>45771</v>
      </c>
      <c r="J91" s="72"/>
      <c r="K91" s="71">
        <v>3</v>
      </c>
      <c r="L91" s="72">
        <v>3</v>
      </c>
      <c r="M91" s="72">
        <v>3</v>
      </c>
      <c r="N91" s="72">
        <v>2</v>
      </c>
      <c r="O91" s="72">
        <v>1</v>
      </c>
      <c r="P91" s="72">
        <v>3</v>
      </c>
      <c r="Q91" s="72">
        <v>0</v>
      </c>
      <c r="R91" s="7">
        <f t="shared" si="3"/>
        <v>15</v>
      </c>
      <c r="S91" s="19">
        <f t="shared" si="4"/>
        <v>0.7142857142857143</v>
      </c>
      <c r="T91" s="16" t="str">
        <f t="shared" si="5"/>
        <v>Por Mejorar</v>
      </c>
      <c r="U91" s="68" t="s">
        <v>75</v>
      </c>
    </row>
    <row r="92" spans="1:21" ht="30" x14ac:dyDescent="0.25">
      <c r="A92" s="8">
        <v>21388107</v>
      </c>
      <c r="B92" s="8">
        <v>8</v>
      </c>
      <c r="C92" s="11" t="s">
        <v>399</v>
      </c>
      <c r="D92" s="9" t="s">
        <v>188</v>
      </c>
      <c r="E92" s="9" t="s">
        <v>400</v>
      </c>
      <c r="F92" s="9" t="s">
        <v>401</v>
      </c>
      <c r="G92" s="34" t="s">
        <v>73</v>
      </c>
      <c r="H92" s="95" t="s">
        <v>74</v>
      </c>
      <c r="I92" s="88">
        <v>45748</v>
      </c>
      <c r="J92" s="72"/>
      <c r="K92" s="71">
        <v>2</v>
      </c>
      <c r="L92" s="72">
        <v>2</v>
      </c>
      <c r="M92" s="72">
        <v>2</v>
      </c>
      <c r="N92" s="72">
        <v>1</v>
      </c>
      <c r="O92" s="72">
        <v>2</v>
      </c>
      <c r="P92" s="72">
        <v>3</v>
      </c>
      <c r="Q92" s="72">
        <v>1</v>
      </c>
      <c r="R92" s="7">
        <f t="shared" si="3"/>
        <v>13</v>
      </c>
      <c r="S92" s="19">
        <f t="shared" si="4"/>
        <v>0.61904761904761907</v>
      </c>
      <c r="T92" s="16" t="str">
        <f t="shared" si="5"/>
        <v>Base</v>
      </c>
      <c r="U92" s="68" t="s">
        <v>75</v>
      </c>
    </row>
    <row r="93" spans="1:21" ht="30" x14ac:dyDescent="0.25">
      <c r="A93" s="8">
        <v>21391011</v>
      </c>
      <c r="B93" s="8">
        <v>6</v>
      </c>
      <c r="C93" s="11" t="s">
        <v>402</v>
      </c>
      <c r="D93" s="9" t="s">
        <v>403</v>
      </c>
      <c r="E93" s="9" t="s">
        <v>181</v>
      </c>
      <c r="F93" s="9" t="s">
        <v>404</v>
      </c>
      <c r="G93" s="34" t="s">
        <v>73</v>
      </c>
      <c r="H93" s="95" t="s">
        <v>74</v>
      </c>
      <c r="I93" s="88">
        <v>45748</v>
      </c>
      <c r="J93" s="72"/>
      <c r="K93" s="71">
        <v>2</v>
      </c>
      <c r="L93" s="72">
        <v>0</v>
      </c>
      <c r="M93" s="72">
        <v>3</v>
      </c>
      <c r="N93" s="72">
        <v>2</v>
      </c>
      <c r="O93" s="72">
        <v>1</v>
      </c>
      <c r="P93" s="72">
        <v>2</v>
      </c>
      <c r="Q93" s="72" t="s">
        <v>88</v>
      </c>
      <c r="R93" s="7">
        <f t="shared" si="3"/>
        <v>10</v>
      </c>
      <c r="S93" s="19">
        <f t="shared" si="4"/>
        <v>0.47619047619047616</v>
      </c>
      <c r="T93" s="16" t="str">
        <f t="shared" si="5"/>
        <v>Base</v>
      </c>
      <c r="U93" s="68" t="s">
        <v>75</v>
      </c>
    </row>
    <row r="94" spans="1:21" ht="30" x14ac:dyDescent="0.25">
      <c r="A94" s="8">
        <v>21392844</v>
      </c>
      <c r="B94" s="8">
        <v>9</v>
      </c>
      <c r="C94" s="11" t="s">
        <v>405</v>
      </c>
      <c r="D94" s="9" t="s">
        <v>406</v>
      </c>
      <c r="E94" s="9" t="s">
        <v>161</v>
      </c>
      <c r="F94" s="9" t="s">
        <v>407</v>
      </c>
      <c r="G94" s="34" t="s">
        <v>73</v>
      </c>
      <c r="H94" s="95" t="s">
        <v>74</v>
      </c>
      <c r="I94" s="88">
        <v>45748</v>
      </c>
      <c r="J94" s="72"/>
      <c r="K94" s="71">
        <v>2</v>
      </c>
      <c r="L94" s="72">
        <v>2</v>
      </c>
      <c r="M94" s="72">
        <v>3</v>
      </c>
      <c r="N94" s="72">
        <v>3</v>
      </c>
      <c r="O94" s="72">
        <v>3</v>
      </c>
      <c r="P94" s="72">
        <v>2</v>
      </c>
      <c r="Q94" s="72" t="s">
        <v>88</v>
      </c>
      <c r="R94" s="7">
        <f t="shared" si="3"/>
        <v>15</v>
      </c>
      <c r="S94" s="19">
        <f t="shared" si="4"/>
        <v>0.7142857142857143</v>
      </c>
      <c r="T94" s="16" t="str">
        <f t="shared" si="5"/>
        <v>Por Mejorar</v>
      </c>
      <c r="U94" s="68" t="s">
        <v>75</v>
      </c>
    </row>
    <row r="95" spans="1:21" ht="30" x14ac:dyDescent="0.25">
      <c r="A95" s="8">
        <v>21395295</v>
      </c>
      <c r="B95" s="8">
        <v>1</v>
      </c>
      <c r="C95" s="11" t="s">
        <v>408</v>
      </c>
      <c r="D95" s="9" t="s">
        <v>409</v>
      </c>
      <c r="E95" s="9" t="s">
        <v>410</v>
      </c>
      <c r="F95" s="9" t="s">
        <v>411</v>
      </c>
      <c r="G95" s="34" t="s">
        <v>73</v>
      </c>
      <c r="H95" s="95" t="s">
        <v>74</v>
      </c>
      <c r="I95" s="88">
        <v>45748</v>
      </c>
      <c r="J95" s="72"/>
      <c r="K95" s="71">
        <v>1</v>
      </c>
      <c r="L95" s="72">
        <v>2</v>
      </c>
      <c r="M95" s="72">
        <v>1</v>
      </c>
      <c r="N95" s="72">
        <v>3</v>
      </c>
      <c r="O95" s="72">
        <v>2</v>
      </c>
      <c r="P95" s="72">
        <v>2</v>
      </c>
      <c r="Q95" s="72">
        <v>1</v>
      </c>
      <c r="R95" s="7">
        <f t="shared" si="3"/>
        <v>12</v>
      </c>
      <c r="S95" s="19">
        <f t="shared" si="4"/>
        <v>0.5714285714285714</v>
      </c>
      <c r="T95" s="16" t="str">
        <f t="shared" si="5"/>
        <v>Base</v>
      </c>
      <c r="U95" s="68" t="s">
        <v>75</v>
      </c>
    </row>
    <row r="96" spans="1:21" ht="30" x14ac:dyDescent="0.25">
      <c r="A96" s="8">
        <v>21402927</v>
      </c>
      <c r="B96" s="8">
        <v>8</v>
      </c>
      <c r="C96" s="11" t="s">
        <v>412</v>
      </c>
      <c r="D96" s="9" t="s">
        <v>413</v>
      </c>
      <c r="E96" s="9" t="s">
        <v>414</v>
      </c>
      <c r="F96" s="9" t="s">
        <v>415</v>
      </c>
      <c r="G96" s="34" t="s">
        <v>73</v>
      </c>
      <c r="H96" s="95" t="s">
        <v>74</v>
      </c>
      <c r="I96" s="88">
        <v>45748</v>
      </c>
      <c r="J96" s="72"/>
      <c r="K96" s="71">
        <v>2</v>
      </c>
      <c r="L96" s="72">
        <v>2</v>
      </c>
      <c r="M96" s="72">
        <v>2</v>
      </c>
      <c r="N96" s="72">
        <v>1</v>
      </c>
      <c r="O96" s="72">
        <v>1</v>
      </c>
      <c r="P96" s="72">
        <v>2</v>
      </c>
      <c r="Q96" s="72" t="s">
        <v>88</v>
      </c>
      <c r="R96" s="7">
        <f t="shared" si="3"/>
        <v>10</v>
      </c>
      <c r="S96" s="19">
        <f t="shared" si="4"/>
        <v>0.47619047619047616</v>
      </c>
      <c r="T96" s="16" t="str">
        <f t="shared" si="5"/>
        <v>Base</v>
      </c>
      <c r="U96" s="68" t="s">
        <v>75</v>
      </c>
    </row>
    <row r="97" spans="1:21" x14ac:dyDescent="0.25">
      <c r="A97" s="8">
        <v>21415854</v>
      </c>
      <c r="B97" s="8" t="s">
        <v>76</v>
      </c>
      <c r="C97" s="11" t="s">
        <v>416</v>
      </c>
      <c r="D97" s="9" t="s">
        <v>386</v>
      </c>
      <c r="E97" s="9" t="s">
        <v>239</v>
      </c>
      <c r="F97" s="9" t="s">
        <v>417</v>
      </c>
      <c r="G97" t="s">
        <v>236</v>
      </c>
      <c r="H97" s="96" t="s">
        <v>82</v>
      </c>
      <c r="I97" s="72"/>
      <c r="J97" s="72"/>
      <c r="K97" s="72"/>
      <c r="L97" s="72"/>
      <c r="M97" s="72"/>
      <c r="N97" s="2"/>
      <c r="O97" s="2"/>
      <c r="P97" s="2"/>
      <c r="Q97" s="2"/>
      <c r="R97" s="7">
        <f t="shared" si="3"/>
        <v>0</v>
      </c>
      <c r="S97" s="19">
        <f t="shared" si="4"/>
        <v>0</v>
      </c>
      <c r="T97" s="16" t="str">
        <f t="shared" si="5"/>
        <v>No rendida o no válida</v>
      </c>
      <c r="U97" s="68" t="s">
        <v>83</v>
      </c>
    </row>
    <row r="98" spans="1:21" ht="30" x14ac:dyDescent="0.25">
      <c r="A98" s="8">
        <v>21420026</v>
      </c>
      <c r="B98" s="8">
        <v>0</v>
      </c>
      <c r="C98" s="11" t="s">
        <v>418</v>
      </c>
      <c r="D98" s="9" t="s">
        <v>256</v>
      </c>
      <c r="E98" s="9" t="s">
        <v>419</v>
      </c>
      <c r="F98" s="9" t="s">
        <v>420</v>
      </c>
      <c r="G98" s="34" t="s">
        <v>73</v>
      </c>
      <c r="H98" s="95" t="s">
        <v>74</v>
      </c>
      <c r="I98" s="88">
        <v>45748</v>
      </c>
      <c r="J98" s="72"/>
      <c r="K98" s="69">
        <v>1</v>
      </c>
      <c r="L98" s="70" t="s">
        <v>88</v>
      </c>
      <c r="M98" s="70" t="s">
        <v>88</v>
      </c>
      <c r="N98" s="70" t="s">
        <v>88</v>
      </c>
      <c r="O98" s="70" t="s">
        <v>88</v>
      </c>
      <c r="P98" s="70">
        <v>1</v>
      </c>
      <c r="Q98" s="70">
        <v>1</v>
      </c>
      <c r="R98" s="7">
        <f t="shared" si="3"/>
        <v>3</v>
      </c>
      <c r="S98" s="19">
        <f t="shared" si="4"/>
        <v>0.14285714285714285</v>
      </c>
      <c r="T98" s="16" t="str">
        <f t="shared" si="5"/>
        <v>Por Mejorar</v>
      </c>
      <c r="U98" s="68" t="s">
        <v>75</v>
      </c>
    </row>
    <row r="99" spans="1:21" ht="30" x14ac:dyDescent="0.25">
      <c r="A99" s="8">
        <v>21428244</v>
      </c>
      <c r="B99" s="8">
        <v>5</v>
      </c>
      <c r="C99" s="11" t="s">
        <v>421</v>
      </c>
      <c r="D99" s="9" t="s">
        <v>422</v>
      </c>
      <c r="E99" s="9" t="s">
        <v>222</v>
      </c>
      <c r="F99" s="9" t="s">
        <v>423</v>
      </c>
      <c r="G99" s="34" t="s">
        <v>73</v>
      </c>
      <c r="H99" s="95" t="s">
        <v>74</v>
      </c>
      <c r="I99" s="88">
        <v>45748</v>
      </c>
      <c r="J99" s="72"/>
      <c r="K99" s="71">
        <v>2</v>
      </c>
      <c r="L99" s="72">
        <v>1</v>
      </c>
      <c r="M99" s="72">
        <v>1</v>
      </c>
      <c r="N99" s="72">
        <v>1</v>
      </c>
      <c r="O99" s="72">
        <v>1</v>
      </c>
      <c r="P99" s="72">
        <v>3</v>
      </c>
      <c r="Q99" s="72">
        <v>2</v>
      </c>
      <c r="R99" s="7">
        <f t="shared" si="3"/>
        <v>11</v>
      </c>
      <c r="S99" s="19">
        <f t="shared" si="4"/>
        <v>0.52380952380952384</v>
      </c>
      <c r="T99" s="16" t="str">
        <f t="shared" si="5"/>
        <v>Por Mejorar</v>
      </c>
      <c r="U99" s="68" t="s">
        <v>75</v>
      </c>
    </row>
    <row r="100" spans="1:21" ht="30" x14ac:dyDescent="0.25">
      <c r="A100" s="8">
        <v>21470262</v>
      </c>
      <c r="B100" s="8">
        <v>2</v>
      </c>
      <c r="C100" s="11" t="s">
        <v>424</v>
      </c>
      <c r="D100" s="9" t="s">
        <v>425</v>
      </c>
      <c r="E100" s="9" t="s">
        <v>357</v>
      </c>
      <c r="F100" s="9" t="s">
        <v>426</v>
      </c>
      <c r="G100" s="34" t="s">
        <v>73</v>
      </c>
      <c r="H100" s="95" t="s">
        <v>74</v>
      </c>
      <c r="I100" s="88">
        <v>45748</v>
      </c>
      <c r="J100" s="72"/>
      <c r="K100" s="71">
        <v>3</v>
      </c>
      <c r="L100" s="72">
        <v>2</v>
      </c>
      <c r="M100" s="72">
        <v>2</v>
      </c>
      <c r="N100" s="72">
        <v>1</v>
      </c>
      <c r="O100" s="72">
        <v>1</v>
      </c>
      <c r="P100" s="72">
        <v>3</v>
      </c>
      <c r="Q100" s="72">
        <v>2</v>
      </c>
      <c r="R100" s="7">
        <f t="shared" si="3"/>
        <v>14</v>
      </c>
      <c r="S100" s="19">
        <f t="shared" si="4"/>
        <v>0.66666666666666663</v>
      </c>
      <c r="T100" s="16" t="str">
        <f t="shared" si="5"/>
        <v>Satisfactorio</v>
      </c>
      <c r="U100" s="68" t="s">
        <v>75</v>
      </c>
    </row>
    <row r="101" spans="1:21" x14ac:dyDescent="0.25">
      <c r="A101" s="8">
        <v>21478641</v>
      </c>
      <c r="B101" s="8">
        <v>9</v>
      </c>
      <c r="C101" s="11" t="s">
        <v>427</v>
      </c>
      <c r="D101" s="9" t="s">
        <v>428</v>
      </c>
      <c r="E101" s="9" t="s">
        <v>375</v>
      </c>
      <c r="F101" s="9" t="s">
        <v>429</v>
      </c>
      <c r="G101" t="s">
        <v>236</v>
      </c>
      <c r="H101" s="96" t="s">
        <v>82</v>
      </c>
      <c r="I101" s="72"/>
      <c r="J101" s="72"/>
      <c r="K101" s="72"/>
      <c r="L101" s="72"/>
      <c r="M101" s="72"/>
      <c r="N101" s="2"/>
      <c r="O101" s="2"/>
      <c r="P101" s="2"/>
      <c r="Q101" s="2"/>
      <c r="R101" s="7">
        <f t="shared" si="3"/>
        <v>0</v>
      </c>
      <c r="S101" s="19">
        <f t="shared" si="4"/>
        <v>0</v>
      </c>
      <c r="T101" s="16" t="str">
        <f t="shared" si="5"/>
        <v>No rendida o no válida</v>
      </c>
      <c r="U101" s="68" t="s">
        <v>83</v>
      </c>
    </row>
    <row r="102" spans="1:21" ht="30" x14ac:dyDescent="0.25">
      <c r="A102" s="8">
        <v>21484284</v>
      </c>
      <c r="B102" s="8" t="s">
        <v>76</v>
      </c>
      <c r="C102" s="11" t="s">
        <v>430</v>
      </c>
      <c r="D102" s="9" t="s">
        <v>192</v>
      </c>
      <c r="E102" s="9" t="s">
        <v>169</v>
      </c>
      <c r="F102" s="9" t="s">
        <v>431</v>
      </c>
      <c r="G102" s="34" t="s">
        <v>73</v>
      </c>
      <c r="H102" s="95" t="s">
        <v>74</v>
      </c>
      <c r="I102" s="88">
        <v>45748</v>
      </c>
      <c r="J102" s="72"/>
      <c r="K102" s="69">
        <v>2</v>
      </c>
      <c r="L102" s="70">
        <v>1</v>
      </c>
      <c r="M102" s="70">
        <v>1</v>
      </c>
      <c r="N102" s="70">
        <v>1</v>
      </c>
      <c r="O102" s="70">
        <v>1</v>
      </c>
      <c r="P102" s="70">
        <v>0</v>
      </c>
      <c r="Q102" s="70">
        <v>0</v>
      </c>
      <c r="R102" s="7">
        <f t="shared" si="3"/>
        <v>6</v>
      </c>
      <c r="S102" s="19">
        <f t="shared" si="4"/>
        <v>0.2857142857142857</v>
      </c>
      <c r="T102" s="16" t="str">
        <f t="shared" si="5"/>
        <v>Por Mejorar</v>
      </c>
      <c r="U102" s="68" t="s">
        <v>75</v>
      </c>
    </row>
    <row r="103" spans="1:21" ht="30" x14ac:dyDescent="0.25">
      <c r="A103" s="8">
        <v>21496293</v>
      </c>
      <c r="B103" s="8">
        <v>4</v>
      </c>
      <c r="C103" s="11" t="s">
        <v>432</v>
      </c>
      <c r="D103" s="9" t="s">
        <v>90</v>
      </c>
      <c r="E103" s="9" t="s">
        <v>433</v>
      </c>
      <c r="F103" s="9" t="s">
        <v>434</v>
      </c>
      <c r="G103" s="34" t="s">
        <v>73</v>
      </c>
      <c r="H103" s="95" t="s">
        <v>74</v>
      </c>
      <c r="I103" s="88">
        <v>45748</v>
      </c>
      <c r="J103" s="72"/>
      <c r="K103" s="71">
        <v>2</v>
      </c>
      <c r="L103" s="72" t="s">
        <v>88</v>
      </c>
      <c r="M103" s="72">
        <v>0</v>
      </c>
      <c r="N103" s="72">
        <v>1</v>
      </c>
      <c r="O103" s="72">
        <v>1</v>
      </c>
      <c r="P103" s="72">
        <v>2</v>
      </c>
      <c r="Q103" s="72">
        <v>2</v>
      </c>
      <c r="R103" s="7">
        <f t="shared" si="3"/>
        <v>8</v>
      </c>
      <c r="S103" s="19">
        <f t="shared" si="4"/>
        <v>0.38095238095238093</v>
      </c>
      <c r="T103" s="16" t="str">
        <f t="shared" si="5"/>
        <v>Por Mejorar</v>
      </c>
      <c r="U103" s="68" t="s">
        <v>75</v>
      </c>
    </row>
    <row r="104" spans="1:21" ht="30" x14ac:dyDescent="0.25">
      <c r="A104" s="8">
        <v>21504161</v>
      </c>
      <c r="B104" s="8">
        <v>1</v>
      </c>
      <c r="C104" s="11" t="s">
        <v>435</v>
      </c>
      <c r="D104" s="9" t="s">
        <v>436</v>
      </c>
      <c r="E104" s="9" t="s">
        <v>437</v>
      </c>
      <c r="F104" s="9" t="s">
        <v>438</v>
      </c>
      <c r="G104" s="34" t="s">
        <v>73</v>
      </c>
      <c r="H104" s="95" t="s">
        <v>74</v>
      </c>
      <c r="I104" s="88">
        <v>45748</v>
      </c>
      <c r="J104" s="72"/>
      <c r="K104" s="71">
        <v>1</v>
      </c>
      <c r="L104" s="72" t="s">
        <v>88</v>
      </c>
      <c r="M104" s="72">
        <v>0</v>
      </c>
      <c r="N104" s="72">
        <v>0</v>
      </c>
      <c r="O104" s="72">
        <v>0</v>
      </c>
      <c r="P104" s="72">
        <v>1</v>
      </c>
      <c r="Q104" s="72">
        <v>0</v>
      </c>
      <c r="R104" s="7">
        <f t="shared" si="3"/>
        <v>2</v>
      </c>
      <c r="S104" s="19">
        <f t="shared" si="4"/>
        <v>9.5238095238095233E-2</v>
      </c>
      <c r="T104" s="16" t="str">
        <f t="shared" si="5"/>
        <v>Por Mejorar</v>
      </c>
      <c r="U104" s="68" t="s">
        <v>75</v>
      </c>
    </row>
    <row r="105" spans="1:21" ht="30" x14ac:dyDescent="0.25">
      <c r="A105" s="8">
        <v>21513321</v>
      </c>
      <c r="B105" s="8">
        <v>4</v>
      </c>
      <c r="C105" s="11" t="s">
        <v>439</v>
      </c>
      <c r="D105" s="9" t="s">
        <v>440</v>
      </c>
      <c r="E105" s="9" t="s">
        <v>242</v>
      </c>
      <c r="F105" s="9" t="s">
        <v>441</v>
      </c>
      <c r="G105" s="34" t="s">
        <v>73</v>
      </c>
      <c r="H105" s="95" t="s">
        <v>74</v>
      </c>
      <c r="I105" s="88">
        <v>45748</v>
      </c>
      <c r="J105" s="72"/>
      <c r="K105" s="71">
        <v>3</v>
      </c>
      <c r="L105" s="72" t="s">
        <v>88</v>
      </c>
      <c r="M105" s="72">
        <v>1</v>
      </c>
      <c r="N105" s="72">
        <v>1</v>
      </c>
      <c r="O105" s="72">
        <v>1</v>
      </c>
      <c r="P105" s="72">
        <v>3</v>
      </c>
      <c r="Q105" s="72" t="s">
        <v>88</v>
      </c>
      <c r="R105" s="7">
        <f t="shared" si="3"/>
        <v>9</v>
      </c>
      <c r="S105" s="19">
        <f t="shared" si="4"/>
        <v>0.42857142857142855</v>
      </c>
      <c r="T105" s="16" t="str">
        <f t="shared" si="5"/>
        <v>Por Mejorar</v>
      </c>
      <c r="U105" s="68" t="s">
        <v>75</v>
      </c>
    </row>
    <row r="106" spans="1:21" ht="30" x14ac:dyDescent="0.25">
      <c r="A106" s="8">
        <v>21517182</v>
      </c>
      <c r="B106" s="8">
        <v>5</v>
      </c>
      <c r="C106" s="11" t="s">
        <v>442</v>
      </c>
      <c r="D106" s="9" t="s">
        <v>386</v>
      </c>
      <c r="E106" s="9" t="s">
        <v>443</v>
      </c>
      <c r="F106" s="9" t="s">
        <v>444</v>
      </c>
      <c r="G106" s="34" t="s">
        <v>73</v>
      </c>
      <c r="H106" s="95" t="s">
        <v>74</v>
      </c>
      <c r="I106" s="88">
        <v>45748</v>
      </c>
      <c r="J106" s="72"/>
      <c r="K106" s="71">
        <v>2</v>
      </c>
      <c r="L106" s="72">
        <v>2</v>
      </c>
      <c r="M106" s="72">
        <v>1</v>
      </c>
      <c r="N106" s="72">
        <v>2</v>
      </c>
      <c r="O106" s="72">
        <v>1</v>
      </c>
      <c r="P106" s="72">
        <v>2</v>
      </c>
      <c r="Q106" s="72">
        <v>1</v>
      </c>
      <c r="R106" s="7">
        <f t="shared" si="3"/>
        <v>11</v>
      </c>
      <c r="S106" s="19">
        <f t="shared" si="4"/>
        <v>0.52380952380952384</v>
      </c>
      <c r="T106" s="16" t="str">
        <f t="shared" si="5"/>
        <v>Por Mejorar</v>
      </c>
      <c r="U106" s="68" t="s">
        <v>75</v>
      </c>
    </row>
    <row r="107" spans="1:21" ht="30" x14ac:dyDescent="0.25">
      <c r="A107" s="8">
        <v>21527759</v>
      </c>
      <c r="B107" s="8">
        <v>3</v>
      </c>
      <c r="C107" s="11" t="s">
        <v>445</v>
      </c>
      <c r="D107" s="9" t="s">
        <v>446</v>
      </c>
      <c r="E107" s="9" t="s">
        <v>447</v>
      </c>
      <c r="F107" s="9" t="s">
        <v>448</v>
      </c>
      <c r="G107" s="34" t="s">
        <v>73</v>
      </c>
      <c r="H107" s="95" t="s">
        <v>74</v>
      </c>
      <c r="I107" s="88">
        <v>45748</v>
      </c>
      <c r="J107" s="72"/>
      <c r="K107" s="71">
        <v>2</v>
      </c>
      <c r="L107" s="72" t="s">
        <v>88</v>
      </c>
      <c r="M107" s="72">
        <v>1</v>
      </c>
      <c r="N107" s="72">
        <v>1</v>
      </c>
      <c r="O107" s="72">
        <v>0</v>
      </c>
      <c r="P107" s="72">
        <v>2</v>
      </c>
      <c r="Q107" s="72">
        <v>0</v>
      </c>
      <c r="R107" s="7">
        <f t="shared" si="3"/>
        <v>6</v>
      </c>
      <c r="S107" s="19">
        <f t="shared" si="4"/>
        <v>0.2857142857142857</v>
      </c>
      <c r="T107" s="16" t="str">
        <f t="shared" si="5"/>
        <v>Base</v>
      </c>
      <c r="U107" s="68" t="s">
        <v>75</v>
      </c>
    </row>
    <row r="108" spans="1:21" ht="30" x14ac:dyDescent="0.25">
      <c r="A108" s="8">
        <v>21531114</v>
      </c>
      <c r="B108" s="8">
        <v>7</v>
      </c>
      <c r="C108" s="11" t="s">
        <v>449</v>
      </c>
      <c r="D108" s="9" t="s">
        <v>450</v>
      </c>
      <c r="E108" s="9" t="s">
        <v>451</v>
      </c>
      <c r="F108" s="9" t="s">
        <v>452</v>
      </c>
      <c r="G108" s="34" t="s">
        <v>73</v>
      </c>
      <c r="H108" s="95" t="s">
        <v>74</v>
      </c>
      <c r="I108" s="88">
        <v>45748</v>
      </c>
      <c r="J108" s="72"/>
      <c r="K108" s="71">
        <v>1</v>
      </c>
      <c r="L108" s="72">
        <v>1</v>
      </c>
      <c r="M108" s="72">
        <v>1</v>
      </c>
      <c r="N108" s="72">
        <v>1</v>
      </c>
      <c r="O108" s="72">
        <v>1</v>
      </c>
      <c r="P108" s="72">
        <v>3</v>
      </c>
      <c r="Q108" s="72" t="s">
        <v>88</v>
      </c>
      <c r="R108" s="7">
        <f t="shared" si="3"/>
        <v>8</v>
      </c>
      <c r="S108" s="19">
        <f t="shared" si="4"/>
        <v>0.38095238095238093</v>
      </c>
      <c r="T108" s="16" t="str">
        <f t="shared" si="5"/>
        <v>Por Mejorar</v>
      </c>
      <c r="U108" s="68" t="s">
        <v>75</v>
      </c>
    </row>
    <row r="109" spans="1:21" ht="30" x14ac:dyDescent="0.25">
      <c r="A109" s="8">
        <v>21532604</v>
      </c>
      <c r="B109" s="8">
        <v>7</v>
      </c>
      <c r="C109" s="11" t="s">
        <v>453</v>
      </c>
      <c r="D109" s="9" t="s">
        <v>454</v>
      </c>
      <c r="E109" s="9" t="s">
        <v>455</v>
      </c>
      <c r="F109" s="9" t="s">
        <v>456</v>
      </c>
      <c r="G109" s="34" t="s">
        <v>73</v>
      </c>
      <c r="H109" s="95" t="s">
        <v>74</v>
      </c>
      <c r="I109" s="88">
        <v>45748</v>
      </c>
      <c r="J109" s="72"/>
      <c r="K109" s="71">
        <v>1</v>
      </c>
      <c r="L109" s="72">
        <v>1</v>
      </c>
      <c r="M109" s="72">
        <v>1</v>
      </c>
      <c r="N109" s="72">
        <v>2</v>
      </c>
      <c r="O109" s="72">
        <v>0</v>
      </c>
      <c r="P109" s="72">
        <v>3</v>
      </c>
      <c r="Q109" s="72">
        <v>2</v>
      </c>
      <c r="R109" s="7">
        <f t="shared" si="3"/>
        <v>10</v>
      </c>
      <c r="S109" s="19">
        <f t="shared" si="4"/>
        <v>0.47619047619047616</v>
      </c>
      <c r="T109" s="16" t="str">
        <f t="shared" si="5"/>
        <v>Por Mejorar</v>
      </c>
      <c r="U109" s="68" t="s">
        <v>75</v>
      </c>
    </row>
    <row r="110" spans="1:21" ht="30" x14ac:dyDescent="0.25">
      <c r="A110" s="8">
        <v>21540912</v>
      </c>
      <c r="B110" s="8">
        <v>0</v>
      </c>
      <c r="C110" s="11" t="s">
        <v>457</v>
      </c>
      <c r="D110" s="9" t="s">
        <v>458</v>
      </c>
      <c r="E110" s="9" t="s">
        <v>71</v>
      </c>
      <c r="F110" s="9" t="s">
        <v>459</v>
      </c>
      <c r="G110" s="34" t="s">
        <v>73</v>
      </c>
      <c r="H110" s="95" t="s">
        <v>74</v>
      </c>
      <c r="I110" s="88">
        <v>45748</v>
      </c>
      <c r="J110" s="72"/>
      <c r="K110" s="71">
        <v>3</v>
      </c>
      <c r="L110" s="72">
        <v>1</v>
      </c>
      <c r="M110" s="72">
        <v>2</v>
      </c>
      <c r="N110" s="72">
        <v>0</v>
      </c>
      <c r="O110" s="72">
        <v>2</v>
      </c>
      <c r="P110" s="72">
        <v>1</v>
      </c>
      <c r="Q110" s="72" t="s">
        <v>88</v>
      </c>
      <c r="R110" s="7">
        <f t="shared" si="3"/>
        <v>9</v>
      </c>
      <c r="S110" s="19">
        <f t="shared" si="4"/>
        <v>0.42857142857142855</v>
      </c>
      <c r="T110" s="16" t="str">
        <f t="shared" si="5"/>
        <v>Por Mejorar</v>
      </c>
      <c r="U110" s="68" t="s">
        <v>75</v>
      </c>
    </row>
    <row r="111" spans="1:21" ht="30" x14ac:dyDescent="0.25">
      <c r="A111" s="8">
        <v>21541334</v>
      </c>
      <c r="B111" s="8">
        <v>9</v>
      </c>
      <c r="C111" s="11" t="s">
        <v>460</v>
      </c>
      <c r="D111" s="9" t="s">
        <v>226</v>
      </c>
      <c r="E111" s="9" t="s">
        <v>85</v>
      </c>
      <c r="F111" s="9" t="s">
        <v>461</v>
      </c>
      <c r="G111" s="34" t="s">
        <v>73</v>
      </c>
      <c r="H111" s="95" t="s">
        <v>74</v>
      </c>
      <c r="I111" s="88">
        <v>45748</v>
      </c>
      <c r="J111" s="72"/>
      <c r="K111" s="71">
        <v>3</v>
      </c>
      <c r="L111" s="72">
        <v>0</v>
      </c>
      <c r="M111" s="72">
        <v>1</v>
      </c>
      <c r="N111" s="72">
        <v>1</v>
      </c>
      <c r="O111" s="72">
        <v>0</v>
      </c>
      <c r="P111" s="72">
        <v>3</v>
      </c>
      <c r="Q111" s="72">
        <v>3</v>
      </c>
      <c r="R111" s="7">
        <f t="shared" si="3"/>
        <v>11</v>
      </c>
      <c r="S111" s="19">
        <f t="shared" si="4"/>
        <v>0.52380952380952384</v>
      </c>
      <c r="T111" s="16" t="str">
        <f t="shared" si="5"/>
        <v>Por Mejorar</v>
      </c>
      <c r="U111" s="68" t="s">
        <v>75</v>
      </c>
    </row>
    <row r="112" spans="1:21" ht="30" x14ac:dyDescent="0.25">
      <c r="A112" s="8">
        <v>21545426</v>
      </c>
      <c r="B112" s="8">
        <v>6</v>
      </c>
      <c r="C112" s="11" t="s">
        <v>462</v>
      </c>
      <c r="D112" s="9" t="s">
        <v>256</v>
      </c>
      <c r="E112" s="9" t="s">
        <v>406</v>
      </c>
      <c r="F112" s="9" t="s">
        <v>463</v>
      </c>
      <c r="G112" s="34" t="s">
        <v>73</v>
      </c>
      <c r="H112" s="95" t="s">
        <v>74</v>
      </c>
      <c r="I112" s="88">
        <v>45748</v>
      </c>
      <c r="J112" s="72"/>
      <c r="K112" s="71">
        <v>1</v>
      </c>
      <c r="L112" s="72">
        <v>2</v>
      </c>
      <c r="M112" s="72">
        <v>2</v>
      </c>
      <c r="N112" s="72">
        <v>1</v>
      </c>
      <c r="O112" s="72">
        <v>1</v>
      </c>
      <c r="P112" s="72">
        <v>3</v>
      </c>
      <c r="Q112" s="72">
        <v>2</v>
      </c>
      <c r="R112" s="7">
        <f t="shared" si="3"/>
        <v>12</v>
      </c>
      <c r="S112" s="19">
        <f t="shared" si="4"/>
        <v>0.5714285714285714</v>
      </c>
      <c r="T112" s="16" t="str">
        <f t="shared" si="5"/>
        <v>Base</v>
      </c>
      <c r="U112" s="68" t="s">
        <v>75</v>
      </c>
    </row>
    <row r="113" spans="1:21" ht="30" x14ac:dyDescent="0.25">
      <c r="A113" s="8">
        <v>21550279</v>
      </c>
      <c r="B113" s="8">
        <v>1</v>
      </c>
      <c r="C113" s="11" t="s">
        <v>464</v>
      </c>
      <c r="D113" s="9" t="s">
        <v>397</v>
      </c>
      <c r="E113" s="9" t="s">
        <v>465</v>
      </c>
      <c r="F113" s="9" t="s">
        <v>466</v>
      </c>
      <c r="G113" s="34" t="s">
        <v>73</v>
      </c>
      <c r="H113" s="95" t="s">
        <v>74</v>
      </c>
      <c r="I113" s="88">
        <v>45748</v>
      </c>
      <c r="J113" s="72"/>
      <c r="K113" s="71">
        <v>1</v>
      </c>
      <c r="L113" s="72">
        <v>2</v>
      </c>
      <c r="M113" s="72">
        <v>0</v>
      </c>
      <c r="N113" s="72">
        <v>1</v>
      </c>
      <c r="O113" s="72">
        <v>0</v>
      </c>
      <c r="P113" s="72">
        <v>2</v>
      </c>
      <c r="Q113" s="72">
        <v>2</v>
      </c>
      <c r="R113" s="7">
        <f t="shared" si="3"/>
        <v>8</v>
      </c>
      <c r="S113" s="19">
        <f t="shared" si="4"/>
        <v>0.38095238095238093</v>
      </c>
      <c r="T113" s="16" t="str">
        <f t="shared" si="5"/>
        <v>Base</v>
      </c>
      <c r="U113" s="68" t="s">
        <v>75</v>
      </c>
    </row>
    <row r="114" spans="1:21" ht="30" x14ac:dyDescent="0.25">
      <c r="A114" s="8">
        <v>21550372</v>
      </c>
      <c r="B114" s="8">
        <v>0</v>
      </c>
      <c r="C114" s="11" t="s">
        <v>467</v>
      </c>
      <c r="D114" s="9" t="s">
        <v>256</v>
      </c>
      <c r="E114" s="9" t="s">
        <v>468</v>
      </c>
      <c r="F114" s="9" t="s">
        <v>469</v>
      </c>
      <c r="G114" t="s">
        <v>470</v>
      </c>
      <c r="H114" s="96" t="s">
        <v>82</v>
      </c>
      <c r="I114" s="72"/>
      <c r="J114" s="72"/>
      <c r="K114" s="72"/>
      <c r="L114" s="72"/>
      <c r="M114" s="72"/>
      <c r="N114" s="6"/>
      <c r="O114" s="6"/>
      <c r="P114" s="6"/>
      <c r="Q114" s="6"/>
      <c r="R114" s="7">
        <f t="shared" si="3"/>
        <v>0</v>
      </c>
      <c r="S114" s="19">
        <f t="shared" si="4"/>
        <v>0</v>
      </c>
      <c r="T114" s="16" t="str">
        <f t="shared" si="5"/>
        <v>No rendida o no válida</v>
      </c>
      <c r="U114" s="68" t="s">
        <v>83</v>
      </c>
    </row>
    <row r="115" spans="1:21" ht="30" x14ac:dyDescent="0.25">
      <c r="A115" s="8">
        <v>21550781</v>
      </c>
      <c r="B115" s="8">
        <v>5</v>
      </c>
      <c r="C115" s="11" t="s">
        <v>471</v>
      </c>
      <c r="D115" s="9" t="s">
        <v>222</v>
      </c>
      <c r="E115" s="9" t="s">
        <v>472</v>
      </c>
      <c r="F115" s="9" t="s">
        <v>473</v>
      </c>
      <c r="G115" s="34" t="s">
        <v>73</v>
      </c>
      <c r="H115" s="95" t="s">
        <v>74</v>
      </c>
      <c r="I115" s="88">
        <v>45748</v>
      </c>
      <c r="J115" s="72"/>
      <c r="K115" s="69">
        <v>3</v>
      </c>
      <c r="L115" s="70">
        <v>2</v>
      </c>
      <c r="M115" s="70">
        <v>2</v>
      </c>
      <c r="N115" s="70">
        <v>1</v>
      </c>
      <c r="O115" s="70">
        <v>1</v>
      </c>
      <c r="P115" s="70">
        <v>3</v>
      </c>
      <c r="Q115" s="70">
        <v>3</v>
      </c>
      <c r="R115" s="7">
        <f t="shared" si="3"/>
        <v>15</v>
      </c>
      <c r="S115" s="19">
        <f t="shared" si="4"/>
        <v>0.7142857142857143</v>
      </c>
      <c r="T115" s="16" t="str">
        <f t="shared" si="5"/>
        <v>Por Mejorar</v>
      </c>
      <c r="U115" s="68" t="s">
        <v>75</v>
      </c>
    </row>
    <row r="116" spans="1:21" ht="30" x14ac:dyDescent="0.25">
      <c r="A116" s="8">
        <v>21574471</v>
      </c>
      <c r="B116" s="8" t="s">
        <v>76</v>
      </c>
      <c r="C116" s="11" t="s">
        <v>474</v>
      </c>
      <c r="D116" s="9" t="s">
        <v>475</v>
      </c>
      <c r="E116" s="9" t="s">
        <v>364</v>
      </c>
      <c r="F116" s="9" t="s">
        <v>476</v>
      </c>
      <c r="G116" s="34" t="s">
        <v>73</v>
      </c>
      <c r="H116" s="95" t="s">
        <v>74</v>
      </c>
      <c r="I116" s="88">
        <v>45748</v>
      </c>
      <c r="J116" s="72"/>
      <c r="K116" s="71">
        <v>2</v>
      </c>
      <c r="L116" s="72">
        <v>1</v>
      </c>
      <c r="M116" s="72">
        <v>1</v>
      </c>
      <c r="N116" s="72">
        <v>1</v>
      </c>
      <c r="O116" s="72">
        <v>0</v>
      </c>
      <c r="P116" s="72">
        <v>2</v>
      </c>
      <c r="Q116" s="72" t="s">
        <v>88</v>
      </c>
      <c r="R116" s="7">
        <f t="shared" si="3"/>
        <v>7</v>
      </c>
      <c r="S116" s="19">
        <f t="shared" si="4"/>
        <v>0.33333333333333331</v>
      </c>
      <c r="T116" s="16" t="str">
        <f t="shared" si="5"/>
        <v>Base</v>
      </c>
      <c r="U116" s="68" t="s">
        <v>75</v>
      </c>
    </row>
    <row r="117" spans="1:21" ht="30" x14ac:dyDescent="0.25">
      <c r="A117" s="8">
        <v>21574629</v>
      </c>
      <c r="B117" s="8">
        <v>1</v>
      </c>
      <c r="C117" s="11" t="s">
        <v>477</v>
      </c>
      <c r="D117" s="9" t="s">
        <v>239</v>
      </c>
      <c r="E117" s="9" t="s">
        <v>478</v>
      </c>
      <c r="F117" s="9" t="s">
        <v>479</v>
      </c>
      <c r="G117" s="34" t="s">
        <v>73</v>
      </c>
      <c r="H117" s="95" t="s">
        <v>74</v>
      </c>
      <c r="I117" s="88">
        <v>45748</v>
      </c>
      <c r="J117" s="72"/>
      <c r="K117" s="71">
        <v>2</v>
      </c>
      <c r="L117" s="72">
        <v>0</v>
      </c>
      <c r="M117" s="72">
        <v>1</v>
      </c>
      <c r="N117" s="72">
        <v>1</v>
      </c>
      <c r="O117" s="72">
        <v>1</v>
      </c>
      <c r="P117" s="72">
        <v>3</v>
      </c>
      <c r="Q117" s="72">
        <v>3</v>
      </c>
      <c r="R117" s="7">
        <f t="shared" si="3"/>
        <v>11</v>
      </c>
      <c r="S117" s="19">
        <f t="shared" si="4"/>
        <v>0.52380952380952384</v>
      </c>
      <c r="T117" s="16" t="str">
        <f t="shared" si="5"/>
        <v>Por Mejorar</v>
      </c>
      <c r="U117" s="68" t="s">
        <v>75</v>
      </c>
    </row>
    <row r="118" spans="1:21" ht="30" x14ac:dyDescent="0.25">
      <c r="A118" s="8">
        <v>21587448</v>
      </c>
      <c r="B118" s="8">
        <v>6</v>
      </c>
      <c r="C118" s="11" t="s">
        <v>480</v>
      </c>
      <c r="D118" s="9" t="s">
        <v>364</v>
      </c>
      <c r="E118" s="9" t="s">
        <v>481</v>
      </c>
      <c r="F118" s="9" t="s">
        <v>482</v>
      </c>
      <c r="G118" s="34" t="s">
        <v>73</v>
      </c>
      <c r="H118" s="95" t="s">
        <v>74</v>
      </c>
      <c r="I118" s="88">
        <v>45748</v>
      </c>
      <c r="J118" s="72"/>
      <c r="K118" s="71">
        <v>1</v>
      </c>
      <c r="L118" s="72">
        <v>2</v>
      </c>
      <c r="M118" s="72">
        <v>1</v>
      </c>
      <c r="N118" s="72">
        <v>1</v>
      </c>
      <c r="O118" s="72">
        <v>1</v>
      </c>
      <c r="P118" s="72">
        <v>3</v>
      </c>
      <c r="Q118" s="72">
        <v>2</v>
      </c>
      <c r="R118" s="7">
        <f t="shared" si="3"/>
        <v>11</v>
      </c>
      <c r="S118" s="19">
        <f t="shared" si="4"/>
        <v>0.52380952380952384</v>
      </c>
      <c r="T118" s="16" t="str">
        <f t="shared" si="5"/>
        <v>Base</v>
      </c>
      <c r="U118" s="68" t="s">
        <v>75</v>
      </c>
    </row>
    <row r="119" spans="1:21" ht="30" x14ac:dyDescent="0.25">
      <c r="A119" s="8">
        <v>21588014</v>
      </c>
      <c r="B119" s="8">
        <v>1</v>
      </c>
      <c r="C119" s="11" t="s">
        <v>483</v>
      </c>
      <c r="D119" s="9" t="s">
        <v>484</v>
      </c>
      <c r="E119" s="9" t="s">
        <v>485</v>
      </c>
      <c r="F119" s="9" t="s">
        <v>486</v>
      </c>
      <c r="G119" s="34" t="s">
        <v>73</v>
      </c>
      <c r="H119" s="95" t="s">
        <v>74</v>
      </c>
      <c r="I119" s="88">
        <v>45748</v>
      </c>
      <c r="J119" s="72"/>
      <c r="K119" s="71">
        <v>3</v>
      </c>
      <c r="L119" s="72" t="s">
        <v>88</v>
      </c>
      <c r="M119" s="72">
        <v>1</v>
      </c>
      <c r="N119" s="72">
        <v>2</v>
      </c>
      <c r="O119" s="72">
        <v>2</v>
      </c>
      <c r="P119" s="72">
        <v>3</v>
      </c>
      <c r="Q119" s="72">
        <v>2</v>
      </c>
      <c r="R119" s="7">
        <f t="shared" si="3"/>
        <v>13</v>
      </c>
      <c r="S119" s="19">
        <f t="shared" si="4"/>
        <v>0.61904761904761907</v>
      </c>
      <c r="T119" s="16" t="str">
        <f t="shared" si="5"/>
        <v>Base</v>
      </c>
      <c r="U119" s="68" t="s">
        <v>75</v>
      </c>
    </row>
    <row r="120" spans="1:21" x14ac:dyDescent="0.25">
      <c r="A120" s="8">
        <v>21592263</v>
      </c>
      <c r="B120" s="8">
        <v>4</v>
      </c>
      <c r="C120" s="11" t="s">
        <v>487</v>
      </c>
      <c r="D120" s="9" t="s">
        <v>488</v>
      </c>
      <c r="E120" s="9" t="s">
        <v>293</v>
      </c>
      <c r="F120" s="9" t="s">
        <v>489</v>
      </c>
      <c r="G120" s="89" t="s">
        <v>118</v>
      </c>
      <c r="H120" s="96" t="s">
        <v>82</v>
      </c>
      <c r="I120" s="72"/>
      <c r="J120" s="72"/>
      <c r="K120" s="72"/>
      <c r="L120" s="72"/>
      <c r="M120" s="72"/>
      <c r="N120" s="6"/>
      <c r="O120" s="6"/>
      <c r="P120" s="6"/>
      <c r="Q120" s="6"/>
      <c r="R120" s="7">
        <f t="shared" si="3"/>
        <v>0</v>
      </c>
      <c r="S120" s="19">
        <f t="shared" si="4"/>
        <v>0</v>
      </c>
      <c r="T120" s="16" t="str">
        <f t="shared" si="5"/>
        <v>No rendida o no válida</v>
      </c>
      <c r="U120" s="68" t="s">
        <v>83</v>
      </c>
    </row>
    <row r="121" spans="1:21" ht="30" x14ac:dyDescent="0.25">
      <c r="A121" s="8">
        <v>21604658</v>
      </c>
      <c r="B121" s="8">
        <v>7</v>
      </c>
      <c r="C121" s="11" t="s">
        <v>490</v>
      </c>
      <c r="D121" s="9" t="s">
        <v>491</v>
      </c>
      <c r="E121" s="9" t="s">
        <v>492</v>
      </c>
      <c r="F121" s="9" t="s">
        <v>493</v>
      </c>
      <c r="G121" s="34" t="s">
        <v>73</v>
      </c>
      <c r="H121" s="95" t="s">
        <v>74</v>
      </c>
      <c r="I121" s="88">
        <v>45748</v>
      </c>
      <c r="J121" s="72"/>
      <c r="K121" s="69">
        <v>2</v>
      </c>
      <c r="L121" s="70">
        <v>2</v>
      </c>
      <c r="M121" s="70">
        <v>1</v>
      </c>
      <c r="N121" s="70">
        <v>1</v>
      </c>
      <c r="O121" s="70">
        <v>3</v>
      </c>
      <c r="P121" s="70">
        <v>3</v>
      </c>
      <c r="Q121" s="70">
        <v>3</v>
      </c>
      <c r="R121" s="7">
        <f t="shared" si="3"/>
        <v>15</v>
      </c>
      <c r="S121" s="19">
        <f t="shared" si="4"/>
        <v>0.7142857142857143</v>
      </c>
      <c r="T121" s="16" t="str">
        <f t="shared" si="5"/>
        <v>Por Mejorar</v>
      </c>
      <c r="U121" s="68" t="s">
        <v>75</v>
      </c>
    </row>
    <row r="122" spans="1:21" ht="30" x14ac:dyDescent="0.25">
      <c r="A122" s="8">
        <v>21608402</v>
      </c>
      <c r="B122" s="8">
        <v>0</v>
      </c>
      <c r="C122" s="11" t="s">
        <v>494</v>
      </c>
      <c r="D122" s="9" t="s">
        <v>495</v>
      </c>
      <c r="E122" s="9" t="s">
        <v>495</v>
      </c>
      <c r="F122" s="9" t="s">
        <v>496</v>
      </c>
      <c r="G122" s="34" t="s">
        <v>73</v>
      </c>
      <c r="H122" s="95" t="s">
        <v>74</v>
      </c>
      <c r="I122" s="88">
        <v>45748</v>
      </c>
      <c r="J122" s="72"/>
      <c r="K122" s="71">
        <v>2</v>
      </c>
      <c r="L122" s="72" t="s">
        <v>88</v>
      </c>
      <c r="M122" s="72">
        <v>1</v>
      </c>
      <c r="N122" s="72">
        <v>1</v>
      </c>
      <c r="O122" s="72">
        <v>0</v>
      </c>
      <c r="P122" s="72">
        <v>3</v>
      </c>
      <c r="Q122" s="72">
        <v>2</v>
      </c>
      <c r="R122" s="7">
        <f t="shared" si="3"/>
        <v>9</v>
      </c>
      <c r="S122" s="19">
        <f t="shared" si="4"/>
        <v>0.42857142857142855</v>
      </c>
      <c r="T122" s="16" t="str">
        <f t="shared" si="5"/>
        <v>Base</v>
      </c>
      <c r="U122" s="68" t="s">
        <v>75</v>
      </c>
    </row>
    <row r="123" spans="1:21" ht="30" x14ac:dyDescent="0.25">
      <c r="A123" s="8">
        <v>21620111</v>
      </c>
      <c r="B123" s="8">
        <v>6</v>
      </c>
      <c r="C123" s="11" t="s">
        <v>497</v>
      </c>
      <c r="D123" s="9" t="s">
        <v>498</v>
      </c>
      <c r="E123" s="9" t="s">
        <v>499</v>
      </c>
      <c r="F123" s="9" t="s">
        <v>500</v>
      </c>
      <c r="G123" s="34" t="s">
        <v>73</v>
      </c>
      <c r="H123" s="95" t="s">
        <v>74</v>
      </c>
      <c r="I123" s="88">
        <v>45748</v>
      </c>
      <c r="J123" s="72"/>
      <c r="K123" s="69">
        <v>3</v>
      </c>
      <c r="L123" s="70">
        <v>2</v>
      </c>
      <c r="M123" s="70">
        <v>1</v>
      </c>
      <c r="N123" s="70">
        <v>1</v>
      </c>
      <c r="O123" s="70">
        <v>1</v>
      </c>
      <c r="P123" s="70">
        <v>3</v>
      </c>
      <c r="Q123" s="70" t="s">
        <v>88</v>
      </c>
      <c r="R123" s="7">
        <f t="shared" si="3"/>
        <v>11</v>
      </c>
      <c r="S123" s="19">
        <f t="shared" si="4"/>
        <v>0.52380952380952384</v>
      </c>
      <c r="T123" s="16" t="str">
        <f t="shared" si="5"/>
        <v>Por Mejorar</v>
      </c>
      <c r="U123" s="68" t="s">
        <v>75</v>
      </c>
    </row>
    <row r="124" spans="1:21" ht="30" x14ac:dyDescent="0.25">
      <c r="A124" s="8">
        <v>21620538</v>
      </c>
      <c r="B124" s="8">
        <v>3</v>
      </c>
      <c r="C124" s="11" t="s">
        <v>501</v>
      </c>
      <c r="D124" s="9" t="s">
        <v>290</v>
      </c>
      <c r="E124" s="9" t="s">
        <v>502</v>
      </c>
      <c r="F124" s="9" t="s">
        <v>503</v>
      </c>
      <c r="G124" s="34" t="s">
        <v>118</v>
      </c>
      <c r="H124" s="96" t="s">
        <v>82</v>
      </c>
      <c r="I124" s="72"/>
      <c r="J124" s="72"/>
      <c r="K124" s="72"/>
      <c r="L124" s="72"/>
      <c r="M124" s="72"/>
      <c r="N124" s="6"/>
      <c r="O124" s="6"/>
      <c r="P124" s="6"/>
      <c r="Q124" s="6"/>
      <c r="R124" s="7">
        <f t="shared" si="3"/>
        <v>0</v>
      </c>
      <c r="S124" s="19">
        <f t="shared" si="4"/>
        <v>0</v>
      </c>
      <c r="T124" s="16" t="str">
        <f t="shared" si="5"/>
        <v>No rendida o no válida</v>
      </c>
      <c r="U124" s="68" t="s">
        <v>119</v>
      </c>
    </row>
    <row r="125" spans="1:21" ht="30" x14ac:dyDescent="0.25">
      <c r="A125" s="8">
        <v>21621990</v>
      </c>
      <c r="B125" s="8">
        <v>2</v>
      </c>
      <c r="C125" s="11" t="s">
        <v>504</v>
      </c>
      <c r="D125" s="9" t="s">
        <v>79</v>
      </c>
      <c r="E125" s="9" t="s">
        <v>406</v>
      </c>
      <c r="F125" s="9" t="s">
        <v>505</v>
      </c>
      <c r="G125" s="34" t="s">
        <v>73</v>
      </c>
      <c r="H125" s="95" t="s">
        <v>74</v>
      </c>
      <c r="I125" s="88">
        <v>45748</v>
      </c>
      <c r="J125" s="72"/>
      <c r="K125" s="69">
        <v>3</v>
      </c>
      <c r="L125" s="70">
        <v>2</v>
      </c>
      <c r="M125" s="70">
        <v>1</v>
      </c>
      <c r="N125" s="70">
        <v>1</v>
      </c>
      <c r="O125" s="70">
        <v>0</v>
      </c>
      <c r="P125" s="70">
        <v>2</v>
      </c>
      <c r="Q125" s="70" t="s">
        <v>88</v>
      </c>
      <c r="R125" s="7">
        <f t="shared" si="3"/>
        <v>9</v>
      </c>
      <c r="S125" s="19">
        <f t="shared" si="4"/>
        <v>0.42857142857142855</v>
      </c>
      <c r="T125" s="16" t="str">
        <f t="shared" si="5"/>
        <v>Por Mejorar</v>
      </c>
      <c r="U125" s="68" t="s">
        <v>75</v>
      </c>
    </row>
    <row r="126" spans="1:21" ht="30" x14ac:dyDescent="0.25">
      <c r="A126" s="8">
        <v>21623152</v>
      </c>
      <c r="B126" s="8" t="s">
        <v>76</v>
      </c>
      <c r="C126" s="11" t="s">
        <v>506</v>
      </c>
      <c r="D126" s="9" t="s">
        <v>318</v>
      </c>
      <c r="E126" s="9" t="s">
        <v>507</v>
      </c>
      <c r="F126" s="9" t="s">
        <v>508</v>
      </c>
      <c r="G126" s="34" t="s">
        <v>73</v>
      </c>
      <c r="H126" s="95" t="s">
        <v>74</v>
      </c>
      <c r="I126" s="88">
        <v>45748</v>
      </c>
      <c r="J126" s="72"/>
      <c r="K126" s="71">
        <v>1</v>
      </c>
      <c r="L126" s="72">
        <v>0</v>
      </c>
      <c r="M126" s="72">
        <v>1</v>
      </c>
      <c r="N126" s="72">
        <v>1</v>
      </c>
      <c r="O126" s="72">
        <v>0</v>
      </c>
      <c r="P126" s="72">
        <v>2</v>
      </c>
      <c r="Q126" s="72">
        <v>0</v>
      </c>
      <c r="R126" s="7">
        <f t="shared" si="3"/>
        <v>5</v>
      </c>
      <c r="S126" s="19">
        <f t="shared" si="4"/>
        <v>0.23809523809523808</v>
      </c>
      <c r="T126" s="16" t="str">
        <f t="shared" si="5"/>
        <v>Por Mejorar</v>
      </c>
      <c r="U126" s="68" t="s">
        <v>75</v>
      </c>
    </row>
    <row r="127" spans="1:21" ht="30" x14ac:dyDescent="0.25">
      <c r="A127" s="8">
        <v>21627609</v>
      </c>
      <c r="B127" s="8">
        <v>4</v>
      </c>
      <c r="C127" s="11" t="s">
        <v>509</v>
      </c>
      <c r="D127" s="9" t="s">
        <v>321</v>
      </c>
      <c r="E127" s="9" t="s">
        <v>279</v>
      </c>
      <c r="F127" s="9" t="s">
        <v>510</v>
      </c>
      <c r="G127" s="34" t="s">
        <v>73</v>
      </c>
      <c r="H127" s="95" t="s">
        <v>74</v>
      </c>
      <c r="I127" s="88">
        <v>45748</v>
      </c>
      <c r="J127" s="72"/>
      <c r="K127" s="71">
        <v>2</v>
      </c>
      <c r="L127" s="72">
        <v>2</v>
      </c>
      <c r="M127" s="72">
        <v>3</v>
      </c>
      <c r="N127" s="72">
        <v>1</v>
      </c>
      <c r="O127" s="72">
        <v>2</v>
      </c>
      <c r="P127" s="72">
        <v>3</v>
      </c>
      <c r="Q127" s="72">
        <v>2</v>
      </c>
      <c r="R127" s="7">
        <f t="shared" si="3"/>
        <v>15</v>
      </c>
      <c r="S127" s="19">
        <f t="shared" si="4"/>
        <v>0.7142857142857143</v>
      </c>
      <c r="T127" s="16" t="str">
        <f t="shared" si="5"/>
        <v>Por Mejorar</v>
      </c>
      <c r="U127" s="68" t="s">
        <v>75</v>
      </c>
    </row>
    <row r="128" spans="1:21" ht="30" x14ac:dyDescent="0.25">
      <c r="A128" s="8">
        <v>21634894</v>
      </c>
      <c r="B128" s="8" t="s">
        <v>76</v>
      </c>
      <c r="C128" s="11" t="s">
        <v>511</v>
      </c>
      <c r="D128" s="9" t="s">
        <v>512</v>
      </c>
      <c r="E128" s="9" t="s">
        <v>513</v>
      </c>
      <c r="F128" s="9" t="s">
        <v>514</v>
      </c>
      <c r="G128" s="34" t="s">
        <v>73</v>
      </c>
      <c r="H128" s="95" t="s">
        <v>74</v>
      </c>
      <c r="I128" s="88">
        <v>45748</v>
      </c>
      <c r="J128" s="72"/>
      <c r="K128" s="71">
        <v>1</v>
      </c>
      <c r="L128" s="72">
        <v>1</v>
      </c>
      <c r="M128" s="72">
        <v>2</v>
      </c>
      <c r="N128" s="72">
        <v>1</v>
      </c>
      <c r="O128" s="72">
        <v>1</v>
      </c>
      <c r="P128" s="72">
        <v>3</v>
      </c>
      <c r="Q128" s="72">
        <v>1</v>
      </c>
      <c r="R128" s="7">
        <f t="shared" si="3"/>
        <v>10</v>
      </c>
      <c r="S128" s="19">
        <f t="shared" si="4"/>
        <v>0.47619047619047616</v>
      </c>
      <c r="T128" s="16" t="str">
        <f t="shared" si="5"/>
        <v>Base</v>
      </c>
      <c r="U128" s="68" t="s">
        <v>75</v>
      </c>
    </row>
    <row r="129" spans="1:21" ht="30" x14ac:dyDescent="0.25">
      <c r="A129" s="8">
        <v>21636276</v>
      </c>
      <c r="B129" s="8">
        <v>4</v>
      </c>
      <c r="C129" s="11" t="s">
        <v>515</v>
      </c>
      <c r="D129" s="9" t="s">
        <v>516</v>
      </c>
      <c r="E129" s="9" t="s">
        <v>517</v>
      </c>
      <c r="F129" s="9" t="s">
        <v>518</v>
      </c>
      <c r="G129" s="34" t="s">
        <v>73</v>
      </c>
      <c r="H129" s="95" t="s">
        <v>74</v>
      </c>
      <c r="I129" s="88">
        <v>45748</v>
      </c>
      <c r="J129" s="72"/>
      <c r="K129" s="71">
        <v>3</v>
      </c>
      <c r="L129" s="72" t="s">
        <v>88</v>
      </c>
      <c r="M129" s="72">
        <v>3</v>
      </c>
      <c r="N129" s="72">
        <v>1</v>
      </c>
      <c r="O129" s="72">
        <v>2</v>
      </c>
      <c r="P129" s="72">
        <v>3</v>
      </c>
      <c r="Q129" s="72">
        <v>3</v>
      </c>
      <c r="R129" s="7">
        <f t="shared" si="3"/>
        <v>15</v>
      </c>
      <c r="S129" s="19">
        <f t="shared" si="4"/>
        <v>0.7142857142857143</v>
      </c>
      <c r="T129" s="16" t="str">
        <f t="shared" si="5"/>
        <v>Por Mejorar</v>
      </c>
      <c r="U129" s="68" t="s">
        <v>75</v>
      </c>
    </row>
    <row r="130" spans="1:21" ht="30" x14ac:dyDescent="0.25">
      <c r="A130" s="8">
        <v>21636352</v>
      </c>
      <c r="B130" s="8">
        <v>3</v>
      </c>
      <c r="C130" s="11" t="s">
        <v>519</v>
      </c>
      <c r="D130" s="9" t="s">
        <v>520</v>
      </c>
      <c r="E130" s="9" t="s">
        <v>521</v>
      </c>
      <c r="F130" s="9" t="s">
        <v>522</v>
      </c>
      <c r="G130" s="34" t="s">
        <v>73</v>
      </c>
      <c r="H130" s="95" t="s">
        <v>74</v>
      </c>
      <c r="I130" s="88">
        <v>45748</v>
      </c>
      <c r="J130" s="72"/>
      <c r="K130" s="71">
        <v>2</v>
      </c>
      <c r="L130" s="72" t="s">
        <v>88</v>
      </c>
      <c r="M130" s="72">
        <v>0</v>
      </c>
      <c r="N130" s="72">
        <v>0</v>
      </c>
      <c r="O130" s="72">
        <v>1</v>
      </c>
      <c r="P130" s="72">
        <v>1</v>
      </c>
      <c r="Q130" s="72" t="s">
        <v>88</v>
      </c>
      <c r="R130" s="7">
        <f t="shared" si="3"/>
        <v>4</v>
      </c>
      <c r="S130" s="19">
        <f t="shared" si="4"/>
        <v>0.19047619047619047</v>
      </c>
      <c r="T130" s="16" t="str">
        <f t="shared" si="5"/>
        <v>Base</v>
      </c>
      <c r="U130" s="68" t="s">
        <v>75</v>
      </c>
    </row>
    <row r="131" spans="1:21" ht="30" x14ac:dyDescent="0.25">
      <c r="A131" s="8">
        <v>21638662</v>
      </c>
      <c r="B131" s="8">
        <v>0</v>
      </c>
      <c r="C131" s="11" t="s">
        <v>523</v>
      </c>
      <c r="D131" s="9" t="s">
        <v>524</v>
      </c>
      <c r="E131" s="9" t="s">
        <v>525</v>
      </c>
      <c r="F131" s="9" t="s">
        <v>526</v>
      </c>
      <c r="G131" s="34" t="s">
        <v>73</v>
      </c>
      <c r="H131" s="95" t="s">
        <v>74</v>
      </c>
      <c r="I131" s="88">
        <v>45748</v>
      </c>
      <c r="J131" s="72"/>
      <c r="K131" s="71">
        <v>2</v>
      </c>
      <c r="L131" s="72" t="s">
        <v>88</v>
      </c>
      <c r="M131" s="72">
        <v>1</v>
      </c>
      <c r="N131" s="72">
        <v>1</v>
      </c>
      <c r="O131" s="72">
        <v>0</v>
      </c>
      <c r="P131" s="72">
        <v>3</v>
      </c>
      <c r="Q131" s="72">
        <v>3</v>
      </c>
      <c r="R131" s="7">
        <f t="shared" si="3"/>
        <v>10</v>
      </c>
      <c r="S131" s="19">
        <f t="shared" si="4"/>
        <v>0.47619047619047616</v>
      </c>
      <c r="T131" s="16" t="str">
        <f t="shared" si="5"/>
        <v>Por Mejorar</v>
      </c>
      <c r="U131" s="68" t="s">
        <v>75</v>
      </c>
    </row>
    <row r="132" spans="1:21" ht="30" x14ac:dyDescent="0.25">
      <c r="A132" s="8">
        <v>21639642</v>
      </c>
      <c r="B132" s="8">
        <v>1</v>
      </c>
      <c r="C132" s="11" t="s">
        <v>527</v>
      </c>
      <c r="D132" s="9" t="s">
        <v>286</v>
      </c>
      <c r="E132" s="9" t="s">
        <v>528</v>
      </c>
      <c r="F132" s="9" t="s">
        <v>529</v>
      </c>
      <c r="G132" s="34" t="s">
        <v>73</v>
      </c>
      <c r="H132" s="95" t="s">
        <v>74</v>
      </c>
      <c r="I132" s="88">
        <v>45748</v>
      </c>
      <c r="J132" s="72"/>
      <c r="K132" s="71">
        <v>2</v>
      </c>
      <c r="L132" s="72" t="s">
        <v>88</v>
      </c>
      <c r="M132" s="72">
        <v>1</v>
      </c>
      <c r="N132" s="72">
        <v>1</v>
      </c>
      <c r="O132" s="72">
        <v>0</v>
      </c>
      <c r="P132" s="72">
        <v>2</v>
      </c>
      <c r="Q132" s="72">
        <v>2</v>
      </c>
      <c r="R132" s="7">
        <f t="shared" si="3"/>
        <v>8</v>
      </c>
      <c r="S132" s="19">
        <f t="shared" si="4"/>
        <v>0.38095238095238093</v>
      </c>
      <c r="T132" s="16" t="str">
        <f t="shared" si="5"/>
        <v>Por Mejorar</v>
      </c>
      <c r="U132" s="68" t="s">
        <v>75</v>
      </c>
    </row>
    <row r="133" spans="1:21" ht="30" x14ac:dyDescent="0.25">
      <c r="A133" s="8">
        <v>21640661</v>
      </c>
      <c r="B133" s="8">
        <v>3</v>
      </c>
      <c r="C133" s="11" t="s">
        <v>530</v>
      </c>
      <c r="D133" s="9" t="s">
        <v>256</v>
      </c>
      <c r="E133" s="9" t="s">
        <v>531</v>
      </c>
      <c r="F133" s="9" t="s">
        <v>532</v>
      </c>
      <c r="G133" s="71" t="s">
        <v>81</v>
      </c>
      <c r="H133" s="96" t="s">
        <v>82</v>
      </c>
      <c r="I133" s="72"/>
      <c r="J133" s="72"/>
      <c r="K133" s="72"/>
      <c r="L133" s="72"/>
      <c r="M133" s="72"/>
      <c r="N133" s="6"/>
      <c r="O133" s="6"/>
      <c r="P133" s="6"/>
      <c r="Q133" s="6"/>
      <c r="R133" s="7">
        <f t="shared" ref="R133:R196" si="6">SUM(K133:Q133)</f>
        <v>0</v>
      </c>
      <c r="S133" s="19">
        <f t="shared" si="4"/>
        <v>0</v>
      </c>
      <c r="T133" s="16" t="str">
        <f t="shared" si="5"/>
        <v>No rendida o no válida</v>
      </c>
      <c r="U133" s="68" t="s">
        <v>83</v>
      </c>
    </row>
    <row r="134" spans="1:21" ht="30" x14ac:dyDescent="0.25">
      <c r="A134" s="8">
        <v>21647293</v>
      </c>
      <c r="B134" s="8">
        <v>4</v>
      </c>
      <c r="C134" s="11" t="s">
        <v>533</v>
      </c>
      <c r="D134" s="9" t="s">
        <v>534</v>
      </c>
      <c r="E134" s="9" t="s">
        <v>188</v>
      </c>
      <c r="F134" s="9" t="s">
        <v>535</v>
      </c>
      <c r="G134" s="34" t="s">
        <v>73</v>
      </c>
      <c r="H134" s="95" t="s">
        <v>74</v>
      </c>
      <c r="I134" s="88">
        <v>45748</v>
      </c>
      <c r="J134" s="72"/>
      <c r="K134" s="69">
        <v>1</v>
      </c>
      <c r="L134" s="70">
        <v>1</v>
      </c>
      <c r="M134" s="70">
        <v>2</v>
      </c>
      <c r="N134" s="70">
        <v>1</v>
      </c>
      <c r="O134" s="70">
        <v>0</v>
      </c>
      <c r="P134" s="70">
        <v>3</v>
      </c>
      <c r="Q134" s="70">
        <v>0</v>
      </c>
      <c r="R134" s="7">
        <f t="shared" si="6"/>
        <v>8</v>
      </c>
      <c r="S134" s="19">
        <f t="shared" ref="S134:S197" si="7">R134/21</f>
        <v>0.38095238095238093</v>
      </c>
      <c r="T134" s="16" t="str">
        <f t="shared" ref="T134:T197" si="8">IF(H134="Rendida",IF(S133&lt;49.5%,"Por Mejorar",IF(S134&lt;64.5%,"Base",IF(S134&lt;84.5%,"Satisfactorio","Óptimo"))),"No rendida o no válida")</f>
        <v>Por Mejorar</v>
      </c>
      <c r="U134" s="68" t="s">
        <v>75</v>
      </c>
    </row>
    <row r="135" spans="1:21" x14ac:dyDescent="0.25">
      <c r="A135" s="8">
        <v>21648572</v>
      </c>
      <c r="B135" s="8">
        <v>6</v>
      </c>
      <c r="C135" s="11" t="s">
        <v>536</v>
      </c>
      <c r="D135" s="9" t="s">
        <v>521</v>
      </c>
      <c r="E135" s="9" t="s">
        <v>209</v>
      </c>
      <c r="F135" s="9" t="s">
        <v>537</v>
      </c>
      <c r="G135" s="34" t="s">
        <v>118</v>
      </c>
      <c r="H135" s="96" t="s">
        <v>82</v>
      </c>
      <c r="I135" s="72"/>
      <c r="J135" s="72"/>
      <c r="K135" s="72"/>
      <c r="L135" s="72"/>
      <c r="M135" s="72"/>
      <c r="N135" s="6"/>
      <c r="O135" s="6"/>
      <c r="P135" s="6"/>
      <c r="Q135" s="6"/>
      <c r="R135" s="7">
        <f t="shared" si="6"/>
        <v>0</v>
      </c>
      <c r="S135" s="19">
        <f t="shared" si="7"/>
        <v>0</v>
      </c>
      <c r="T135" s="16" t="str">
        <f t="shared" si="8"/>
        <v>No rendida o no válida</v>
      </c>
      <c r="U135" s="68" t="s">
        <v>83</v>
      </c>
    </row>
    <row r="136" spans="1:21" ht="30" x14ac:dyDescent="0.25">
      <c r="A136" s="8">
        <v>21650146</v>
      </c>
      <c r="B136" s="8">
        <v>2</v>
      </c>
      <c r="C136" s="11" t="s">
        <v>538</v>
      </c>
      <c r="D136" s="9" t="s">
        <v>121</v>
      </c>
      <c r="E136" s="9" t="s">
        <v>371</v>
      </c>
      <c r="F136" s="9" t="s">
        <v>539</v>
      </c>
      <c r="G136" s="34" t="s">
        <v>73</v>
      </c>
      <c r="H136" s="95" t="s">
        <v>74</v>
      </c>
      <c r="I136" s="88">
        <v>45748</v>
      </c>
      <c r="J136" s="72"/>
      <c r="K136" s="69">
        <v>3</v>
      </c>
      <c r="L136" s="70">
        <v>1</v>
      </c>
      <c r="M136" s="70">
        <v>1</v>
      </c>
      <c r="N136" s="70">
        <v>1</v>
      </c>
      <c r="O136" s="70">
        <v>1</v>
      </c>
      <c r="P136" s="70">
        <v>3</v>
      </c>
      <c r="Q136" s="70">
        <v>3</v>
      </c>
      <c r="R136" s="7">
        <f t="shared" si="6"/>
        <v>13</v>
      </c>
      <c r="S136" s="19">
        <f t="shared" si="7"/>
        <v>0.61904761904761907</v>
      </c>
      <c r="T136" s="16" t="str">
        <f t="shared" si="8"/>
        <v>Por Mejorar</v>
      </c>
      <c r="U136" s="68" t="s">
        <v>75</v>
      </c>
    </row>
    <row r="137" spans="1:21" ht="30" x14ac:dyDescent="0.25">
      <c r="A137" s="8">
        <v>21652241</v>
      </c>
      <c r="B137" s="8">
        <v>9</v>
      </c>
      <c r="C137" s="11" t="s">
        <v>540</v>
      </c>
      <c r="D137" s="9" t="s">
        <v>104</v>
      </c>
      <c r="E137" s="9" t="s">
        <v>541</v>
      </c>
      <c r="F137" s="9" t="s">
        <v>542</v>
      </c>
      <c r="G137" s="34" t="s">
        <v>73</v>
      </c>
      <c r="H137" s="95" t="s">
        <v>74</v>
      </c>
      <c r="I137" s="88">
        <v>45748</v>
      </c>
      <c r="J137" s="72"/>
      <c r="K137" s="71">
        <v>2</v>
      </c>
      <c r="L137" s="72" t="s">
        <v>88</v>
      </c>
      <c r="M137" s="72">
        <v>0</v>
      </c>
      <c r="N137" s="72">
        <v>2</v>
      </c>
      <c r="O137" s="72">
        <v>1</v>
      </c>
      <c r="P137" s="72">
        <v>2</v>
      </c>
      <c r="Q137" s="72">
        <v>0</v>
      </c>
      <c r="R137" s="7">
        <f t="shared" si="6"/>
        <v>7</v>
      </c>
      <c r="S137" s="19">
        <f t="shared" si="7"/>
        <v>0.33333333333333331</v>
      </c>
      <c r="T137" s="16" t="str">
        <f t="shared" si="8"/>
        <v>Base</v>
      </c>
      <c r="U137" s="68" t="s">
        <v>75</v>
      </c>
    </row>
    <row r="138" spans="1:21" ht="30" x14ac:dyDescent="0.25">
      <c r="A138" s="8">
        <v>21667111</v>
      </c>
      <c r="B138" s="8">
        <v>2</v>
      </c>
      <c r="C138" s="11" t="s">
        <v>543</v>
      </c>
      <c r="D138" s="9" t="s">
        <v>544</v>
      </c>
      <c r="E138" s="9" t="s">
        <v>545</v>
      </c>
      <c r="F138" s="9" t="s">
        <v>546</v>
      </c>
      <c r="G138" s="34" t="s">
        <v>73</v>
      </c>
      <c r="H138" s="95" t="s">
        <v>74</v>
      </c>
      <c r="I138" s="88">
        <v>45748</v>
      </c>
      <c r="J138" s="72"/>
      <c r="K138" s="71">
        <v>2</v>
      </c>
      <c r="L138" s="72">
        <v>2</v>
      </c>
      <c r="M138" s="72">
        <v>1</v>
      </c>
      <c r="N138" s="72">
        <v>1</v>
      </c>
      <c r="O138" s="72">
        <v>1</v>
      </c>
      <c r="P138" s="72">
        <v>3</v>
      </c>
      <c r="Q138" s="72">
        <v>2</v>
      </c>
      <c r="R138" s="7">
        <f t="shared" si="6"/>
        <v>12</v>
      </c>
      <c r="S138" s="19">
        <f t="shared" si="7"/>
        <v>0.5714285714285714</v>
      </c>
      <c r="T138" s="16" t="str">
        <f t="shared" si="8"/>
        <v>Por Mejorar</v>
      </c>
      <c r="U138" s="68" t="s">
        <v>75</v>
      </c>
    </row>
    <row r="139" spans="1:21" ht="30" x14ac:dyDescent="0.25">
      <c r="A139" s="8">
        <v>21675781</v>
      </c>
      <c r="B139" s="8">
        <v>5</v>
      </c>
      <c r="C139" s="11" t="s">
        <v>547</v>
      </c>
      <c r="D139" s="9" t="s">
        <v>521</v>
      </c>
      <c r="E139" s="9" t="s">
        <v>409</v>
      </c>
      <c r="F139" s="9" t="s">
        <v>548</v>
      </c>
      <c r="G139" s="34" t="s">
        <v>73</v>
      </c>
      <c r="H139" s="95" t="s">
        <v>74</v>
      </c>
      <c r="I139" s="88">
        <v>45748</v>
      </c>
      <c r="J139" s="72"/>
      <c r="K139" s="71">
        <v>3</v>
      </c>
      <c r="L139" s="72" t="s">
        <v>88</v>
      </c>
      <c r="M139" s="72">
        <v>3</v>
      </c>
      <c r="N139" s="72">
        <v>1</v>
      </c>
      <c r="O139" s="72">
        <v>1</v>
      </c>
      <c r="P139" s="72">
        <v>3</v>
      </c>
      <c r="Q139" s="72">
        <v>2</v>
      </c>
      <c r="R139" s="7">
        <f t="shared" si="6"/>
        <v>13</v>
      </c>
      <c r="S139" s="19">
        <f t="shared" si="7"/>
        <v>0.61904761904761907</v>
      </c>
      <c r="T139" s="16" t="str">
        <f t="shared" si="8"/>
        <v>Base</v>
      </c>
      <c r="U139" s="68" t="s">
        <v>75</v>
      </c>
    </row>
    <row r="140" spans="1:21" ht="30" x14ac:dyDescent="0.25">
      <c r="A140" s="8">
        <v>21675929</v>
      </c>
      <c r="B140" s="8" t="s">
        <v>76</v>
      </c>
      <c r="C140" s="11" t="s">
        <v>549</v>
      </c>
      <c r="D140" s="9" t="s">
        <v>550</v>
      </c>
      <c r="E140" s="9" t="s">
        <v>551</v>
      </c>
      <c r="F140" s="9" t="s">
        <v>552</v>
      </c>
      <c r="G140" s="34" t="s">
        <v>118</v>
      </c>
      <c r="H140" s="96" t="s">
        <v>82</v>
      </c>
      <c r="I140" s="72"/>
      <c r="J140" s="72"/>
      <c r="K140" s="72"/>
      <c r="L140" s="72"/>
      <c r="M140" s="72"/>
      <c r="N140" s="6"/>
      <c r="O140" s="6"/>
      <c r="P140" s="6"/>
      <c r="Q140" s="6"/>
      <c r="R140" s="7">
        <f t="shared" si="6"/>
        <v>0</v>
      </c>
      <c r="S140" s="19">
        <f t="shared" si="7"/>
        <v>0</v>
      </c>
      <c r="T140" s="16" t="str">
        <f t="shared" si="8"/>
        <v>No rendida o no válida</v>
      </c>
      <c r="U140" s="68" t="s">
        <v>83</v>
      </c>
    </row>
    <row r="141" spans="1:21" ht="30" x14ac:dyDescent="0.25">
      <c r="A141" s="8">
        <v>21679311</v>
      </c>
      <c r="B141" s="8">
        <v>0</v>
      </c>
      <c r="C141" s="11" t="s">
        <v>553</v>
      </c>
      <c r="D141" s="9" t="s">
        <v>242</v>
      </c>
      <c r="E141" s="9" t="s">
        <v>218</v>
      </c>
      <c r="F141" s="9" t="s">
        <v>554</v>
      </c>
      <c r="G141" s="34" t="s">
        <v>118</v>
      </c>
      <c r="H141" s="96" t="s">
        <v>82</v>
      </c>
      <c r="I141" s="72"/>
      <c r="J141" s="72"/>
      <c r="K141" s="72"/>
      <c r="L141" s="72"/>
      <c r="M141" s="72"/>
      <c r="N141" s="6"/>
      <c r="O141" s="6"/>
      <c r="P141" s="6"/>
      <c r="Q141" s="6"/>
      <c r="R141" s="7">
        <f t="shared" si="6"/>
        <v>0</v>
      </c>
      <c r="S141" s="19">
        <f t="shared" si="7"/>
        <v>0</v>
      </c>
      <c r="T141" s="16" t="str">
        <f t="shared" si="8"/>
        <v>No rendida o no válida</v>
      </c>
      <c r="U141" s="68" t="s">
        <v>83</v>
      </c>
    </row>
    <row r="142" spans="1:21" ht="30" x14ac:dyDescent="0.25">
      <c r="A142" s="8">
        <v>21682548</v>
      </c>
      <c r="B142" s="8">
        <v>9</v>
      </c>
      <c r="C142" s="11" t="s">
        <v>555</v>
      </c>
      <c r="D142" s="9" t="s">
        <v>556</v>
      </c>
      <c r="E142" s="9" t="s">
        <v>364</v>
      </c>
      <c r="F142" s="9" t="s">
        <v>557</v>
      </c>
      <c r="G142" s="34" t="s">
        <v>73</v>
      </c>
      <c r="H142" s="95" t="s">
        <v>74</v>
      </c>
      <c r="I142" s="88">
        <v>45748</v>
      </c>
      <c r="J142" s="72"/>
      <c r="K142" s="69">
        <v>2</v>
      </c>
      <c r="L142" s="70">
        <v>2</v>
      </c>
      <c r="M142" s="70" t="s">
        <v>88</v>
      </c>
      <c r="N142" s="70" t="s">
        <v>88</v>
      </c>
      <c r="O142" s="70" t="s">
        <v>88</v>
      </c>
      <c r="P142" s="70">
        <v>3</v>
      </c>
      <c r="Q142" s="70" t="s">
        <v>88</v>
      </c>
      <c r="R142" s="7">
        <f t="shared" si="6"/>
        <v>7</v>
      </c>
      <c r="S142" s="19">
        <f t="shared" si="7"/>
        <v>0.33333333333333331</v>
      </c>
      <c r="T142" s="16" t="str">
        <f t="shared" si="8"/>
        <v>Por Mejorar</v>
      </c>
      <c r="U142" s="68" t="s">
        <v>75</v>
      </c>
    </row>
    <row r="143" spans="1:21" ht="30" x14ac:dyDescent="0.25">
      <c r="A143" s="8">
        <v>21682587</v>
      </c>
      <c r="B143" s="8" t="s">
        <v>76</v>
      </c>
      <c r="C143" s="11" t="s">
        <v>558</v>
      </c>
      <c r="D143" s="9" t="s">
        <v>559</v>
      </c>
      <c r="E143" s="9" t="s">
        <v>560</v>
      </c>
      <c r="F143" s="9" t="s">
        <v>561</v>
      </c>
      <c r="G143" s="34" t="s">
        <v>73</v>
      </c>
      <c r="H143" s="95" t="s">
        <v>74</v>
      </c>
      <c r="I143" s="88">
        <v>45748</v>
      </c>
      <c r="J143" s="72"/>
      <c r="K143" s="71">
        <v>3</v>
      </c>
      <c r="L143" s="72">
        <v>3</v>
      </c>
      <c r="M143" s="72">
        <v>2</v>
      </c>
      <c r="N143" s="72">
        <v>2</v>
      </c>
      <c r="O143" s="72">
        <v>1</v>
      </c>
      <c r="P143" s="72">
        <v>3</v>
      </c>
      <c r="Q143" s="72" t="s">
        <v>88</v>
      </c>
      <c r="R143" s="7">
        <f t="shared" si="6"/>
        <v>14</v>
      </c>
      <c r="S143" s="19">
        <f t="shared" si="7"/>
        <v>0.66666666666666663</v>
      </c>
      <c r="T143" s="16" t="str">
        <f t="shared" si="8"/>
        <v>Por Mejorar</v>
      </c>
      <c r="U143" s="68" t="s">
        <v>75</v>
      </c>
    </row>
    <row r="144" spans="1:21" ht="30" x14ac:dyDescent="0.25">
      <c r="A144" s="8">
        <v>21692125</v>
      </c>
      <c r="B144" s="8">
        <v>9</v>
      </c>
      <c r="C144" s="11" t="s">
        <v>562</v>
      </c>
      <c r="D144" s="9" t="s">
        <v>86</v>
      </c>
      <c r="E144" s="9" t="s">
        <v>563</v>
      </c>
      <c r="F144" s="9" t="s">
        <v>564</v>
      </c>
      <c r="G144" s="34" t="s">
        <v>73</v>
      </c>
      <c r="H144" s="95" t="s">
        <v>74</v>
      </c>
      <c r="I144" s="88">
        <v>45748</v>
      </c>
      <c r="J144" s="72"/>
      <c r="K144" s="71">
        <v>1</v>
      </c>
      <c r="L144" s="72" t="s">
        <v>88</v>
      </c>
      <c r="M144" s="72">
        <v>0</v>
      </c>
      <c r="N144" s="72">
        <v>1</v>
      </c>
      <c r="O144" s="72">
        <v>0</v>
      </c>
      <c r="P144" s="72">
        <v>2</v>
      </c>
      <c r="Q144" s="72" t="s">
        <v>88</v>
      </c>
      <c r="R144" s="7">
        <f t="shared" si="6"/>
        <v>4</v>
      </c>
      <c r="S144" s="19">
        <f t="shared" si="7"/>
        <v>0.19047619047619047</v>
      </c>
      <c r="T144" s="16" t="str">
        <f t="shared" si="8"/>
        <v>Base</v>
      </c>
      <c r="U144" s="68" t="s">
        <v>75</v>
      </c>
    </row>
    <row r="145" spans="1:21" ht="30" x14ac:dyDescent="0.25">
      <c r="A145" s="8">
        <v>21696455</v>
      </c>
      <c r="B145" s="8">
        <v>1</v>
      </c>
      <c r="C145" s="11" t="s">
        <v>565</v>
      </c>
      <c r="D145" s="9" t="s">
        <v>566</v>
      </c>
      <c r="E145" s="9" t="s">
        <v>567</v>
      </c>
      <c r="F145" s="9" t="s">
        <v>568</v>
      </c>
      <c r="G145" s="34" t="s">
        <v>73</v>
      </c>
      <c r="H145" s="95" t="s">
        <v>74</v>
      </c>
      <c r="I145" s="88">
        <v>45748</v>
      </c>
      <c r="J145" s="72"/>
      <c r="K145" s="71">
        <v>2</v>
      </c>
      <c r="L145" s="72">
        <v>1</v>
      </c>
      <c r="M145" s="72">
        <v>2</v>
      </c>
      <c r="N145" s="72">
        <v>1</v>
      </c>
      <c r="O145" s="72">
        <v>1</v>
      </c>
      <c r="P145" s="72">
        <v>2</v>
      </c>
      <c r="Q145" s="72">
        <v>2</v>
      </c>
      <c r="R145" s="7">
        <f t="shared" si="6"/>
        <v>11</v>
      </c>
      <c r="S145" s="19">
        <f t="shared" si="7"/>
        <v>0.52380952380952384</v>
      </c>
      <c r="T145" s="16" t="str">
        <f t="shared" si="8"/>
        <v>Por Mejorar</v>
      </c>
      <c r="U145" s="68" t="s">
        <v>75</v>
      </c>
    </row>
    <row r="146" spans="1:21" ht="30" x14ac:dyDescent="0.25">
      <c r="A146" s="8">
        <v>21705600</v>
      </c>
      <c r="B146" s="8">
        <v>4</v>
      </c>
      <c r="C146" s="11" t="s">
        <v>569</v>
      </c>
      <c r="D146" s="9" t="s">
        <v>116</v>
      </c>
      <c r="E146" s="9" t="s">
        <v>570</v>
      </c>
      <c r="F146" s="9" t="s">
        <v>571</v>
      </c>
      <c r="G146" s="34" t="s">
        <v>73</v>
      </c>
      <c r="H146" s="95" t="s">
        <v>74</v>
      </c>
      <c r="I146" s="88">
        <v>45748</v>
      </c>
      <c r="J146" s="72"/>
      <c r="K146" s="71">
        <v>2</v>
      </c>
      <c r="L146" s="72" t="s">
        <v>88</v>
      </c>
      <c r="M146" s="72">
        <v>1</v>
      </c>
      <c r="N146" s="72">
        <v>1</v>
      </c>
      <c r="O146" s="72">
        <v>1</v>
      </c>
      <c r="P146" s="72">
        <v>1</v>
      </c>
      <c r="Q146" s="72">
        <v>1</v>
      </c>
      <c r="R146" s="7">
        <f t="shared" si="6"/>
        <v>7</v>
      </c>
      <c r="S146" s="19">
        <f t="shared" si="7"/>
        <v>0.33333333333333331</v>
      </c>
      <c r="T146" s="16" t="str">
        <f t="shared" si="8"/>
        <v>Base</v>
      </c>
      <c r="U146" s="68" t="s">
        <v>75</v>
      </c>
    </row>
    <row r="147" spans="1:21" ht="30" x14ac:dyDescent="0.25">
      <c r="A147" s="8">
        <v>21709366</v>
      </c>
      <c r="B147" s="8" t="s">
        <v>76</v>
      </c>
      <c r="C147" s="11" t="s">
        <v>572</v>
      </c>
      <c r="D147" s="9" t="s">
        <v>321</v>
      </c>
      <c r="E147" s="9" t="s">
        <v>361</v>
      </c>
      <c r="F147" s="9" t="s">
        <v>573</v>
      </c>
      <c r="G147" s="34" t="s">
        <v>73</v>
      </c>
      <c r="H147" s="95" t="s">
        <v>74</v>
      </c>
      <c r="I147" s="88">
        <v>45748</v>
      </c>
      <c r="J147" s="72"/>
      <c r="K147" s="71">
        <v>1</v>
      </c>
      <c r="L147" s="72" t="s">
        <v>88</v>
      </c>
      <c r="M147" s="72">
        <v>1</v>
      </c>
      <c r="N147" s="72">
        <v>1</v>
      </c>
      <c r="O147" s="72">
        <v>1</v>
      </c>
      <c r="P147" s="72">
        <v>1</v>
      </c>
      <c r="Q147" s="72" t="s">
        <v>88</v>
      </c>
      <c r="R147" s="7">
        <f t="shared" si="6"/>
        <v>5</v>
      </c>
      <c r="S147" s="19">
        <f t="shared" si="7"/>
        <v>0.23809523809523808</v>
      </c>
      <c r="T147" s="16" t="str">
        <f t="shared" si="8"/>
        <v>Por Mejorar</v>
      </c>
      <c r="U147" s="68" t="s">
        <v>75</v>
      </c>
    </row>
    <row r="148" spans="1:21" ht="30" x14ac:dyDescent="0.25">
      <c r="A148" s="8">
        <v>21716709</v>
      </c>
      <c r="B148" s="8">
        <v>4</v>
      </c>
      <c r="C148" s="11" t="s">
        <v>574</v>
      </c>
      <c r="D148" s="9" t="s">
        <v>290</v>
      </c>
      <c r="E148" s="9" t="s">
        <v>575</v>
      </c>
      <c r="F148" s="9" t="s">
        <v>576</v>
      </c>
      <c r="G148" s="34" t="s">
        <v>73</v>
      </c>
      <c r="H148" s="95" t="s">
        <v>74</v>
      </c>
      <c r="I148" s="88">
        <v>45748</v>
      </c>
      <c r="J148" s="72"/>
      <c r="K148" s="71">
        <v>2</v>
      </c>
      <c r="L148" s="72">
        <v>2</v>
      </c>
      <c r="M148" s="72">
        <v>3</v>
      </c>
      <c r="N148" s="72">
        <v>2</v>
      </c>
      <c r="O148" s="72">
        <v>1</v>
      </c>
      <c r="P148" s="72">
        <v>3</v>
      </c>
      <c r="Q148" s="72">
        <v>0</v>
      </c>
      <c r="R148" s="7">
        <f t="shared" si="6"/>
        <v>13</v>
      </c>
      <c r="S148" s="19">
        <f t="shared" si="7"/>
        <v>0.61904761904761907</v>
      </c>
      <c r="T148" s="16" t="str">
        <f t="shared" si="8"/>
        <v>Por Mejorar</v>
      </c>
      <c r="U148" s="68" t="s">
        <v>75</v>
      </c>
    </row>
    <row r="149" spans="1:21" ht="30" x14ac:dyDescent="0.25">
      <c r="A149" s="8">
        <v>21722797</v>
      </c>
      <c r="B149" s="8">
        <v>6</v>
      </c>
      <c r="C149" s="11" t="s">
        <v>577</v>
      </c>
      <c r="D149" s="9" t="s">
        <v>213</v>
      </c>
      <c r="E149" s="9" t="s">
        <v>578</v>
      </c>
      <c r="F149" s="9" t="s">
        <v>579</v>
      </c>
      <c r="G149" s="34" t="s">
        <v>73</v>
      </c>
      <c r="H149" s="95" t="s">
        <v>74</v>
      </c>
      <c r="I149" s="88">
        <v>45748</v>
      </c>
      <c r="J149" s="72"/>
      <c r="K149" s="71">
        <v>1</v>
      </c>
      <c r="L149" s="72">
        <v>2</v>
      </c>
      <c r="M149" s="72">
        <v>2</v>
      </c>
      <c r="N149" s="72">
        <v>1</v>
      </c>
      <c r="O149" s="72">
        <v>1</v>
      </c>
      <c r="P149" s="72">
        <v>3</v>
      </c>
      <c r="Q149" s="72">
        <v>1</v>
      </c>
      <c r="R149" s="7">
        <f t="shared" si="6"/>
        <v>11</v>
      </c>
      <c r="S149" s="19">
        <f t="shared" si="7"/>
        <v>0.52380952380952384</v>
      </c>
      <c r="T149" s="16" t="str">
        <f t="shared" si="8"/>
        <v>Base</v>
      </c>
      <c r="U149" s="68" t="s">
        <v>75</v>
      </c>
    </row>
    <row r="150" spans="1:21" ht="30" x14ac:dyDescent="0.25">
      <c r="A150" s="8">
        <v>21723660</v>
      </c>
      <c r="B150" s="8">
        <v>6</v>
      </c>
      <c r="C150" s="11" t="s">
        <v>580</v>
      </c>
      <c r="D150" s="9" t="s">
        <v>581</v>
      </c>
      <c r="E150" s="9" t="s">
        <v>582</v>
      </c>
      <c r="F150" s="9" t="s">
        <v>583</v>
      </c>
      <c r="G150" s="34" t="s">
        <v>73</v>
      </c>
      <c r="H150" s="95" t="s">
        <v>74</v>
      </c>
      <c r="I150" s="88">
        <v>45748</v>
      </c>
      <c r="J150" s="72"/>
      <c r="K150" s="71">
        <v>2</v>
      </c>
      <c r="L150" s="72">
        <v>1</v>
      </c>
      <c r="M150" s="72">
        <v>1</v>
      </c>
      <c r="N150" s="72">
        <v>1</v>
      </c>
      <c r="O150" s="72">
        <v>1</v>
      </c>
      <c r="P150" s="72">
        <v>2</v>
      </c>
      <c r="Q150" s="72">
        <v>1</v>
      </c>
      <c r="R150" s="7">
        <f t="shared" si="6"/>
        <v>9</v>
      </c>
      <c r="S150" s="19">
        <f t="shared" si="7"/>
        <v>0.42857142857142855</v>
      </c>
      <c r="T150" s="16" t="str">
        <f t="shared" si="8"/>
        <v>Base</v>
      </c>
      <c r="U150" s="68" t="s">
        <v>75</v>
      </c>
    </row>
    <row r="151" spans="1:21" ht="30" x14ac:dyDescent="0.25">
      <c r="A151" s="8">
        <v>21726797</v>
      </c>
      <c r="B151" s="8">
        <v>8</v>
      </c>
      <c r="C151" s="11" t="s">
        <v>584</v>
      </c>
      <c r="D151" s="9" t="s">
        <v>492</v>
      </c>
      <c r="E151" s="9" t="s">
        <v>585</v>
      </c>
      <c r="F151" s="9" t="s">
        <v>586</v>
      </c>
      <c r="G151" s="34" t="s">
        <v>73</v>
      </c>
      <c r="H151" s="95" t="s">
        <v>74</v>
      </c>
      <c r="I151" s="88">
        <v>45748</v>
      </c>
      <c r="J151" s="72"/>
      <c r="K151" s="71">
        <v>2</v>
      </c>
      <c r="L151" s="72">
        <v>2</v>
      </c>
      <c r="M151" s="72">
        <v>1</v>
      </c>
      <c r="N151" s="72">
        <v>1</v>
      </c>
      <c r="O151" s="72">
        <v>1</v>
      </c>
      <c r="P151" s="72">
        <v>3</v>
      </c>
      <c r="Q151" s="72">
        <v>2</v>
      </c>
      <c r="R151" s="7">
        <f t="shared" si="6"/>
        <v>12</v>
      </c>
      <c r="S151" s="19">
        <f t="shared" si="7"/>
        <v>0.5714285714285714</v>
      </c>
      <c r="T151" s="16" t="str">
        <f t="shared" si="8"/>
        <v>Por Mejorar</v>
      </c>
      <c r="U151" s="68" t="s">
        <v>75</v>
      </c>
    </row>
    <row r="152" spans="1:21" ht="30" x14ac:dyDescent="0.25">
      <c r="A152" s="8">
        <v>21726824</v>
      </c>
      <c r="B152" s="8">
        <v>9</v>
      </c>
      <c r="C152" s="11" t="s">
        <v>587</v>
      </c>
      <c r="D152" s="9" t="s">
        <v>588</v>
      </c>
      <c r="E152" s="9" t="s">
        <v>589</v>
      </c>
      <c r="F152" s="9" t="s">
        <v>590</v>
      </c>
      <c r="G152" s="34" t="s">
        <v>73</v>
      </c>
      <c r="H152" s="95" t="s">
        <v>74</v>
      </c>
      <c r="I152" s="88">
        <v>45748</v>
      </c>
      <c r="J152" s="72"/>
      <c r="K152" s="71">
        <v>2</v>
      </c>
      <c r="L152" s="72" t="s">
        <v>88</v>
      </c>
      <c r="M152" s="72">
        <v>1</v>
      </c>
      <c r="N152" s="72">
        <v>1</v>
      </c>
      <c r="O152" s="72">
        <v>1</v>
      </c>
      <c r="P152" s="72" t="s">
        <v>88</v>
      </c>
      <c r="Q152" s="72" t="s">
        <v>88</v>
      </c>
      <c r="R152" s="7">
        <f t="shared" si="6"/>
        <v>5</v>
      </c>
      <c r="S152" s="19">
        <f t="shared" si="7"/>
        <v>0.23809523809523808</v>
      </c>
      <c r="T152" s="16" t="str">
        <f t="shared" si="8"/>
        <v>Base</v>
      </c>
      <c r="U152" s="68" t="s">
        <v>75</v>
      </c>
    </row>
    <row r="153" spans="1:21" ht="30" x14ac:dyDescent="0.25">
      <c r="A153" s="8">
        <v>21733319</v>
      </c>
      <c r="B153" s="8">
        <v>9</v>
      </c>
      <c r="C153" s="11" t="s">
        <v>591</v>
      </c>
      <c r="D153" s="9" t="s">
        <v>79</v>
      </c>
      <c r="E153" s="9" t="s">
        <v>226</v>
      </c>
      <c r="F153" s="9" t="s">
        <v>592</v>
      </c>
      <c r="G153" s="34" t="s">
        <v>101</v>
      </c>
      <c r="H153" s="96" t="s">
        <v>82</v>
      </c>
      <c r="I153" s="72"/>
      <c r="J153" s="72"/>
      <c r="K153" s="72"/>
      <c r="L153" s="72"/>
      <c r="M153" s="72"/>
      <c r="N153" s="6"/>
      <c r="O153" s="6"/>
      <c r="P153" s="6"/>
      <c r="Q153" s="6"/>
      <c r="R153" s="7">
        <f t="shared" si="6"/>
        <v>0</v>
      </c>
      <c r="S153" s="19">
        <f t="shared" si="7"/>
        <v>0</v>
      </c>
      <c r="T153" s="16" t="str">
        <f t="shared" si="8"/>
        <v>No rendida o no válida</v>
      </c>
      <c r="U153" s="68" t="s">
        <v>102</v>
      </c>
    </row>
    <row r="154" spans="1:21" ht="30" x14ac:dyDescent="0.25">
      <c r="A154" s="8">
        <v>21736484</v>
      </c>
      <c r="B154" s="8">
        <v>1</v>
      </c>
      <c r="C154" s="11" t="s">
        <v>593</v>
      </c>
      <c r="D154" s="9" t="s">
        <v>221</v>
      </c>
      <c r="E154" s="9" t="s">
        <v>594</v>
      </c>
      <c r="F154" s="9" t="s">
        <v>595</v>
      </c>
      <c r="G154" s="34" t="s">
        <v>73</v>
      </c>
      <c r="H154" s="95" t="s">
        <v>74</v>
      </c>
      <c r="I154" s="88">
        <v>45748</v>
      </c>
      <c r="J154" s="72"/>
      <c r="K154" s="69">
        <v>2</v>
      </c>
      <c r="L154" s="70" t="s">
        <v>88</v>
      </c>
      <c r="M154" s="70" t="s">
        <v>88</v>
      </c>
      <c r="N154" s="70" t="s">
        <v>88</v>
      </c>
      <c r="O154" s="70" t="s">
        <v>88</v>
      </c>
      <c r="P154" s="70">
        <v>3</v>
      </c>
      <c r="Q154" s="70">
        <v>2</v>
      </c>
      <c r="R154" s="7">
        <f t="shared" si="6"/>
        <v>7</v>
      </c>
      <c r="S154" s="19">
        <f t="shared" si="7"/>
        <v>0.33333333333333331</v>
      </c>
      <c r="T154" s="16" t="str">
        <f t="shared" si="8"/>
        <v>Por Mejorar</v>
      </c>
      <c r="U154" s="68" t="s">
        <v>75</v>
      </c>
    </row>
    <row r="155" spans="1:21" ht="30" x14ac:dyDescent="0.25">
      <c r="A155" s="8">
        <v>21738719</v>
      </c>
      <c r="B155" s="8">
        <v>1</v>
      </c>
      <c r="C155" s="11" t="s">
        <v>596</v>
      </c>
      <c r="D155" s="9" t="s">
        <v>90</v>
      </c>
      <c r="E155" s="9" t="s">
        <v>271</v>
      </c>
      <c r="F155" s="9" t="s">
        <v>597</v>
      </c>
      <c r="G155" s="34" t="s">
        <v>73</v>
      </c>
      <c r="H155" s="95" t="s">
        <v>74</v>
      </c>
      <c r="I155" s="88">
        <v>45748</v>
      </c>
      <c r="J155" s="72"/>
      <c r="K155" s="71">
        <v>2</v>
      </c>
      <c r="L155" s="72" t="s">
        <v>88</v>
      </c>
      <c r="M155" s="72">
        <v>0</v>
      </c>
      <c r="N155" s="72">
        <v>1</v>
      </c>
      <c r="O155" s="72">
        <v>1</v>
      </c>
      <c r="P155" s="72">
        <v>3</v>
      </c>
      <c r="Q155" s="72" t="s">
        <v>88</v>
      </c>
      <c r="R155" s="7">
        <f t="shared" si="6"/>
        <v>7</v>
      </c>
      <c r="S155" s="19">
        <f t="shared" si="7"/>
        <v>0.33333333333333331</v>
      </c>
      <c r="T155" s="16" t="str">
        <f t="shared" si="8"/>
        <v>Por Mejorar</v>
      </c>
      <c r="U155" s="68" t="s">
        <v>75</v>
      </c>
    </row>
    <row r="156" spans="1:21" ht="30" x14ac:dyDescent="0.25">
      <c r="A156" s="8">
        <v>21738731</v>
      </c>
      <c r="B156" s="8">
        <v>0</v>
      </c>
      <c r="C156" s="11" t="s">
        <v>598</v>
      </c>
      <c r="D156" s="9" t="s">
        <v>599</v>
      </c>
      <c r="E156" s="9" t="s">
        <v>600</v>
      </c>
      <c r="F156" s="9" t="s">
        <v>601</v>
      </c>
      <c r="G156" s="34" t="s">
        <v>73</v>
      </c>
      <c r="H156" s="95" t="s">
        <v>74</v>
      </c>
      <c r="I156" s="88">
        <v>45748</v>
      </c>
      <c r="J156" s="72"/>
      <c r="K156" s="71">
        <v>1</v>
      </c>
      <c r="L156" s="72" t="s">
        <v>88</v>
      </c>
      <c r="M156" s="72">
        <v>1</v>
      </c>
      <c r="N156" s="72">
        <v>2</v>
      </c>
      <c r="O156" s="72">
        <v>1</v>
      </c>
      <c r="P156" s="72">
        <v>2</v>
      </c>
      <c r="Q156" s="72">
        <v>1</v>
      </c>
      <c r="R156" s="7">
        <f t="shared" si="6"/>
        <v>8</v>
      </c>
      <c r="S156" s="19">
        <f t="shared" si="7"/>
        <v>0.38095238095238093</v>
      </c>
      <c r="T156" s="16" t="str">
        <f t="shared" si="8"/>
        <v>Por Mejorar</v>
      </c>
      <c r="U156" s="68" t="s">
        <v>75</v>
      </c>
    </row>
    <row r="157" spans="1:21" ht="30" x14ac:dyDescent="0.25">
      <c r="A157" s="8">
        <v>21740050</v>
      </c>
      <c r="B157" s="8">
        <v>3</v>
      </c>
      <c r="C157" s="11" t="s">
        <v>602</v>
      </c>
      <c r="D157" s="9" t="s">
        <v>603</v>
      </c>
      <c r="E157" s="9" t="s">
        <v>150</v>
      </c>
      <c r="F157" s="9" t="s">
        <v>604</v>
      </c>
      <c r="G157" s="34" t="s">
        <v>73</v>
      </c>
      <c r="H157" s="95" t="s">
        <v>74</v>
      </c>
      <c r="I157" s="88">
        <v>45748</v>
      </c>
      <c r="J157" s="72"/>
      <c r="K157" s="71">
        <v>2</v>
      </c>
      <c r="L157" s="72">
        <v>1</v>
      </c>
      <c r="M157" s="72" t="s">
        <v>88</v>
      </c>
      <c r="N157" s="72" t="s">
        <v>88</v>
      </c>
      <c r="O157" s="72" t="s">
        <v>88</v>
      </c>
      <c r="P157" s="72">
        <v>3</v>
      </c>
      <c r="Q157" s="72" t="s">
        <v>88</v>
      </c>
      <c r="R157" s="7">
        <f t="shared" si="6"/>
        <v>6</v>
      </c>
      <c r="S157" s="19">
        <f t="shared" si="7"/>
        <v>0.2857142857142857</v>
      </c>
      <c r="T157" s="16" t="str">
        <f t="shared" si="8"/>
        <v>Por Mejorar</v>
      </c>
      <c r="U157" s="68" t="s">
        <v>75</v>
      </c>
    </row>
    <row r="158" spans="1:21" ht="30" x14ac:dyDescent="0.25">
      <c r="A158" s="8">
        <v>21743501</v>
      </c>
      <c r="B158" s="8">
        <v>3</v>
      </c>
      <c r="C158" s="11" t="s">
        <v>605</v>
      </c>
      <c r="D158" s="9" t="s">
        <v>606</v>
      </c>
      <c r="E158" s="9" t="s">
        <v>91</v>
      </c>
      <c r="F158" s="9" t="s">
        <v>607</v>
      </c>
      <c r="G158" s="34" t="s">
        <v>73</v>
      </c>
      <c r="H158" s="95" t="s">
        <v>74</v>
      </c>
      <c r="I158" s="88">
        <v>45748</v>
      </c>
      <c r="J158" s="72"/>
      <c r="K158" s="71">
        <v>2</v>
      </c>
      <c r="L158" s="72" t="s">
        <v>88</v>
      </c>
      <c r="M158" s="72">
        <v>3</v>
      </c>
      <c r="N158" s="72">
        <v>1</v>
      </c>
      <c r="O158" s="72">
        <v>0</v>
      </c>
      <c r="P158" s="72">
        <v>3</v>
      </c>
      <c r="Q158" s="72">
        <v>3</v>
      </c>
      <c r="R158" s="7">
        <f t="shared" si="6"/>
        <v>12</v>
      </c>
      <c r="S158" s="19">
        <f t="shared" si="7"/>
        <v>0.5714285714285714</v>
      </c>
      <c r="T158" s="16" t="str">
        <f t="shared" si="8"/>
        <v>Por Mejorar</v>
      </c>
      <c r="U158" s="68" t="s">
        <v>75</v>
      </c>
    </row>
    <row r="159" spans="1:21" ht="30" x14ac:dyDescent="0.25">
      <c r="A159" s="8">
        <v>21750493</v>
      </c>
      <c r="B159" s="8">
        <v>7</v>
      </c>
      <c r="C159" s="11" t="s">
        <v>608</v>
      </c>
      <c r="D159" s="9" t="s">
        <v>286</v>
      </c>
      <c r="E159" s="9" t="s">
        <v>335</v>
      </c>
      <c r="F159" s="9" t="s">
        <v>609</v>
      </c>
      <c r="G159" s="34" t="s">
        <v>73</v>
      </c>
      <c r="H159" s="95" t="s">
        <v>74</v>
      </c>
      <c r="I159" s="88">
        <v>45748</v>
      </c>
      <c r="J159" s="6"/>
      <c r="K159" s="71">
        <v>2</v>
      </c>
      <c r="L159" s="72" t="s">
        <v>88</v>
      </c>
      <c r="M159" s="72">
        <v>1</v>
      </c>
      <c r="N159" s="72">
        <v>1</v>
      </c>
      <c r="O159" s="72">
        <v>1</v>
      </c>
      <c r="P159" s="72">
        <v>3</v>
      </c>
      <c r="Q159" s="72" t="s">
        <v>88</v>
      </c>
      <c r="R159" s="7">
        <f t="shared" si="6"/>
        <v>8</v>
      </c>
      <c r="S159" s="19">
        <f t="shared" si="7"/>
        <v>0.38095238095238093</v>
      </c>
      <c r="T159" s="16" t="str">
        <f t="shared" si="8"/>
        <v>Base</v>
      </c>
      <c r="U159" s="68" t="s">
        <v>75</v>
      </c>
    </row>
    <row r="160" spans="1:21" ht="30" x14ac:dyDescent="0.25">
      <c r="A160" s="8">
        <v>21756220</v>
      </c>
      <c r="B160" s="8">
        <v>1</v>
      </c>
      <c r="C160" s="11" t="s">
        <v>610</v>
      </c>
      <c r="D160" s="9" t="s">
        <v>611</v>
      </c>
      <c r="E160" s="9" t="s">
        <v>612</v>
      </c>
      <c r="F160" s="9" t="s">
        <v>613</v>
      </c>
      <c r="G160" s="34" t="s">
        <v>73</v>
      </c>
      <c r="H160" s="95" t="s">
        <v>74</v>
      </c>
      <c r="I160" s="88">
        <v>45748</v>
      </c>
      <c r="J160" s="6"/>
      <c r="K160" s="71">
        <v>2</v>
      </c>
      <c r="L160" s="72" t="s">
        <v>88</v>
      </c>
      <c r="M160" s="72" t="s">
        <v>88</v>
      </c>
      <c r="N160" s="72" t="s">
        <v>88</v>
      </c>
      <c r="O160" s="72" t="s">
        <v>88</v>
      </c>
      <c r="P160" s="72" t="s">
        <v>88</v>
      </c>
      <c r="Q160" s="72" t="s">
        <v>88</v>
      </c>
      <c r="R160" s="7">
        <f t="shared" si="6"/>
        <v>2</v>
      </c>
      <c r="S160" s="19">
        <f t="shared" si="7"/>
        <v>9.5238095238095233E-2</v>
      </c>
      <c r="T160" s="16" t="str">
        <f t="shared" si="8"/>
        <v>Por Mejorar</v>
      </c>
      <c r="U160" s="68" t="s">
        <v>75</v>
      </c>
    </row>
    <row r="161" spans="1:21" ht="30" x14ac:dyDescent="0.25">
      <c r="A161" s="8">
        <v>21758211</v>
      </c>
      <c r="B161" s="8">
        <v>3</v>
      </c>
      <c r="C161" s="11" t="s">
        <v>614</v>
      </c>
      <c r="D161" s="9" t="s">
        <v>615</v>
      </c>
      <c r="E161" s="9" t="s">
        <v>386</v>
      </c>
      <c r="F161" s="9" t="s">
        <v>616</v>
      </c>
      <c r="G161" s="34" t="s">
        <v>73</v>
      </c>
      <c r="H161" s="95" t="s">
        <v>74</v>
      </c>
      <c r="I161" s="88">
        <v>45748</v>
      </c>
      <c r="J161" s="6"/>
      <c r="K161" s="71">
        <v>2</v>
      </c>
      <c r="L161" s="72">
        <v>2</v>
      </c>
      <c r="M161" s="72">
        <v>1</v>
      </c>
      <c r="N161" s="72">
        <v>2</v>
      </c>
      <c r="O161" s="72">
        <v>3</v>
      </c>
      <c r="P161" s="72">
        <v>3</v>
      </c>
      <c r="Q161" s="72">
        <v>2</v>
      </c>
      <c r="R161" s="7">
        <f t="shared" si="6"/>
        <v>15</v>
      </c>
      <c r="S161" s="19">
        <f t="shared" si="7"/>
        <v>0.7142857142857143</v>
      </c>
      <c r="T161" s="16" t="str">
        <f t="shared" si="8"/>
        <v>Por Mejorar</v>
      </c>
      <c r="U161" s="68" t="s">
        <v>75</v>
      </c>
    </row>
    <row r="162" spans="1:21" ht="30" x14ac:dyDescent="0.25">
      <c r="A162" s="8">
        <v>21758398</v>
      </c>
      <c r="B162" s="8">
        <v>5</v>
      </c>
      <c r="C162" s="11" t="s">
        <v>617</v>
      </c>
      <c r="D162" s="9" t="s">
        <v>618</v>
      </c>
      <c r="E162" s="9" t="s">
        <v>433</v>
      </c>
      <c r="F162" s="9" t="s">
        <v>619</v>
      </c>
      <c r="G162" s="34" t="s">
        <v>73</v>
      </c>
      <c r="H162" s="95" t="s">
        <v>74</v>
      </c>
      <c r="I162" s="88">
        <v>45748</v>
      </c>
      <c r="J162" s="6"/>
      <c r="K162" s="71">
        <v>2</v>
      </c>
      <c r="L162" s="72">
        <v>1</v>
      </c>
      <c r="M162" s="72">
        <v>1</v>
      </c>
      <c r="N162" s="72">
        <v>1</v>
      </c>
      <c r="O162" s="72">
        <v>0</v>
      </c>
      <c r="P162" s="72">
        <v>3</v>
      </c>
      <c r="Q162" s="72">
        <v>1</v>
      </c>
      <c r="R162" s="7">
        <f t="shared" si="6"/>
        <v>9</v>
      </c>
      <c r="S162" s="19">
        <f t="shared" si="7"/>
        <v>0.42857142857142855</v>
      </c>
      <c r="T162" s="16" t="str">
        <f t="shared" si="8"/>
        <v>Base</v>
      </c>
      <c r="U162" s="68" t="s">
        <v>75</v>
      </c>
    </row>
    <row r="163" spans="1:21" ht="30" x14ac:dyDescent="0.25">
      <c r="A163" s="8">
        <v>21760315</v>
      </c>
      <c r="B163" s="8">
        <v>3</v>
      </c>
      <c r="C163" s="11" t="s">
        <v>620</v>
      </c>
      <c r="D163" s="9" t="s">
        <v>367</v>
      </c>
      <c r="E163" s="9" t="s">
        <v>621</v>
      </c>
      <c r="F163" s="9" t="s">
        <v>622</v>
      </c>
      <c r="G163" s="34" t="s">
        <v>73</v>
      </c>
      <c r="H163" s="95" t="s">
        <v>74</v>
      </c>
      <c r="I163" s="88">
        <v>45748</v>
      </c>
      <c r="J163" s="6"/>
      <c r="K163" s="71">
        <v>1</v>
      </c>
      <c r="L163" s="72">
        <v>2</v>
      </c>
      <c r="M163" s="72">
        <v>1</v>
      </c>
      <c r="N163" s="72">
        <v>3</v>
      </c>
      <c r="O163" s="72">
        <v>3</v>
      </c>
      <c r="P163" s="72">
        <v>0</v>
      </c>
      <c r="Q163" s="72" t="s">
        <v>88</v>
      </c>
      <c r="R163" s="7">
        <f t="shared" si="6"/>
        <v>10</v>
      </c>
      <c r="S163" s="19">
        <f t="shared" si="7"/>
        <v>0.47619047619047616</v>
      </c>
      <c r="T163" s="16" t="str">
        <f t="shared" si="8"/>
        <v>Por Mejorar</v>
      </c>
      <c r="U163" s="68" t="s">
        <v>75</v>
      </c>
    </row>
    <row r="164" spans="1:21" ht="30" x14ac:dyDescent="0.25">
      <c r="A164" s="8">
        <v>21772748</v>
      </c>
      <c r="B164" s="8">
        <v>0</v>
      </c>
      <c r="C164" s="11" t="s">
        <v>623</v>
      </c>
      <c r="D164" s="9" t="s">
        <v>585</v>
      </c>
      <c r="E164" s="9" t="s">
        <v>624</v>
      </c>
      <c r="F164" s="9" t="s">
        <v>625</v>
      </c>
      <c r="G164" s="34" t="s">
        <v>73</v>
      </c>
      <c r="H164" s="95" t="s">
        <v>74</v>
      </c>
      <c r="I164" s="88">
        <v>45748</v>
      </c>
      <c r="J164" s="6"/>
      <c r="K164" s="71">
        <v>3</v>
      </c>
      <c r="L164" s="72">
        <v>1</v>
      </c>
      <c r="M164" s="72">
        <v>1</v>
      </c>
      <c r="N164" s="72">
        <v>1</v>
      </c>
      <c r="O164" s="72">
        <v>1</v>
      </c>
      <c r="P164" s="72">
        <v>3</v>
      </c>
      <c r="Q164" s="72" t="s">
        <v>88</v>
      </c>
      <c r="R164" s="7">
        <f t="shared" si="6"/>
        <v>10</v>
      </c>
      <c r="S164" s="19">
        <f t="shared" si="7"/>
        <v>0.47619047619047616</v>
      </c>
      <c r="T164" s="16" t="str">
        <f t="shared" si="8"/>
        <v>Por Mejorar</v>
      </c>
      <c r="U164" s="68" t="s">
        <v>75</v>
      </c>
    </row>
    <row r="165" spans="1:21" ht="30" x14ac:dyDescent="0.25">
      <c r="A165" s="8">
        <v>21773310</v>
      </c>
      <c r="B165" s="8">
        <v>3</v>
      </c>
      <c r="C165" s="11" t="s">
        <v>626</v>
      </c>
      <c r="D165" s="9" t="s">
        <v>627</v>
      </c>
      <c r="E165" s="9" t="s">
        <v>628</v>
      </c>
      <c r="F165" s="9" t="s">
        <v>629</v>
      </c>
      <c r="G165" s="34" t="s">
        <v>73</v>
      </c>
      <c r="H165" s="95" t="s">
        <v>74</v>
      </c>
      <c r="I165" s="88">
        <v>45748</v>
      </c>
      <c r="J165" s="6"/>
      <c r="K165" s="71">
        <v>3</v>
      </c>
      <c r="L165" s="72">
        <v>1</v>
      </c>
      <c r="M165" s="72">
        <v>1</v>
      </c>
      <c r="N165" s="72">
        <v>1</v>
      </c>
      <c r="O165" s="72">
        <v>0</v>
      </c>
      <c r="P165" s="72">
        <v>3</v>
      </c>
      <c r="Q165" s="72">
        <v>1</v>
      </c>
      <c r="R165" s="7">
        <f t="shared" si="6"/>
        <v>10</v>
      </c>
      <c r="S165" s="19">
        <f t="shared" si="7"/>
        <v>0.47619047619047616</v>
      </c>
      <c r="T165" s="16" t="str">
        <f t="shared" si="8"/>
        <v>Por Mejorar</v>
      </c>
      <c r="U165" s="68" t="s">
        <v>75</v>
      </c>
    </row>
    <row r="166" spans="1:21" ht="30" x14ac:dyDescent="0.25">
      <c r="A166" s="8">
        <v>21776911</v>
      </c>
      <c r="B166" s="8">
        <v>6</v>
      </c>
      <c r="C166" s="11" t="s">
        <v>630</v>
      </c>
      <c r="D166" s="9" t="s">
        <v>631</v>
      </c>
      <c r="E166" s="9" t="s">
        <v>437</v>
      </c>
      <c r="F166" s="9" t="s">
        <v>632</v>
      </c>
      <c r="G166" s="34" t="s">
        <v>73</v>
      </c>
      <c r="H166" s="95" t="s">
        <v>74</v>
      </c>
      <c r="I166" s="88">
        <v>45748</v>
      </c>
      <c r="J166" s="6"/>
      <c r="K166" s="71">
        <v>2</v>
      </c>
      <c r="L166" s="72" t="s">
        <v>88</v>
      </c>
      <c r="M166" s="72" t="s">
        <v>88</v>
      </c>
      <c r="N166" s="72" t="s">
        <v>88</v>
      </c>
      <c r="O166" s="72" t="s">
        <v>88</v>
      </c>
      <c r="P166" s="72">
        <v>3</v>
      </c>
      <c r="Q166" s="72" t="s">
        <v>88</v>
      </c>
      <c r="R166" s="7">
        <f t="shared" si="6"/>
        <v>5</v>
      </c>
      <c r="S166" s="19">
        <f t="shared" si="7"/>
        <v>0.23809523809523808</v>
      </c>
      <c r="T166" s="16" t="str">
        <f t="shared" si="8"/>
        <v>Por Mejorar</v>
      </c>
      <c r="U166" s="68" t="s">
        <v>75</v>
      </c>
    </row>
    <row r="167" spans="1:21" ht="30" x14ac:dyDescent="0.25">
      <c r="A167" s="8">
        <v>21778709</v>
      </c>
      <c r="B167" s="8">
        <v>2</v>
      </c>
      <c r="C167" s="11" t="s">
        <v>633</v>
      </c>
      <c r="D167" s="9" t="s">
        <v>634</v>
      </c>
      <c r="E167" s="9" t="s">
        <v>635</v>
      </c>
      <c r="F167" s="9" t="s">
        <v>613</v>
      </c>
      <c r="G167" s="34" t="s">
        <v>73</v>
      </c>
      <c r="H167" s="95" t="s">
        <v>74</v>
      </c>
      <c r="I167" s="88">
        <v>45748</v>
      </c>
      <c r="J167" s="6"/>
      <c r="K167" s="71">
        <v>2</v>
      </c>
      <c r="L167" s="72">
        <v>2</v>
      </c>
      <c r="M167" s="72">
        <v>3</v>
      </c>
      <c r="N167" s="72">
        <v>1</v>
      </c>
      <c r="O167" s="72">
        <v>1</v>
      </c>
      <c r="P167" s="72">
        <v>3</v>
      </c>
      <c r="Q167" s="72">
        <v>2</v>
      </c>
      <c r="R167" s="7">
        <f t="shared" si="6"/>
        <v>14</v>
      </c>
      <c r="S167" s="19">
        <f t="shared" si="7"/>
        <v>0.66666666666666663</v>
      </c>
      <c r="T167" s="16" t="str">
        <f t="shared" si="8"/>
        <v>Por Mejorar</v>
      </c>
      <c r="U167" s="68" t="s">
        <v>75</v>
      </c>
    </row>
    <row r="168" spans="1:21" ht="30" x14ac:dyDescent="0.25">
      <c r="A168" s="8">
        <v>21780681</v>
      </c>
      <c r="B168" s="8" t="s">
        <v>76</v>
      </c>
      <c r="C168" s="11" t="s">
        <v>636</v>
      </c>
      <c r="D168" s="9" t="s">
        <v>637</v>
      </c>
      <c r="E168" s="9" t="s">
        <v>354</v>
      </c>
      <c r="F168" s="9" t="s">
        <v>638</v>
      </c>
      <c r="G168" s="34" t="s">
        <v>73</v>
      </c>
      <c r="H168" s="95" t="s">
        <v>74</v>
      </c>
      <c r="I168" s="88">
        <v>45748</v>
      </c>
      <c r="J168" s="6"/>
      <c r="K168" s="71">
        <v>3</v>
      </c>
      <c r="L168" s="72" t="s">
        <v>88</v>
      </c>
      <c r="M168" s="72">
        <v>0</v>
      </c>
      <c r="N168" s="72">
        <v>1</v>
      </c>
      <c r="O168" s="72">
        <v>0</v>
      </c>
      <c r="P168" s="72">
        <v>2</v>
      </c>
      <c r="Q168" s="72" t="s">
        <v>88</v>
      </c>
      <c r="R168" s="7">
        <f t="shared" si="6"/>
        <v>6</v>
      </c>
      <c r="S168" s="19">
        <f t="shared" si="7"/>
        <v>0.2857142857142857</v>
      </c>
      <c r="T168" s="16" t="str">
        <f t="shared" si="8"/>
        <v>Base</v>
      </c>
      <c r="U168" s="68" t="s">
        <v>75</v>
      </c>
    </row>
    <row r="169" spans="1:21" ht="30" x14ac:dyDescent="0.25">
      <c r="A169" s="8">
        <v>21782350</v>
      </c>
      <c r="B169" s="8">
        <v>1</v>
      </c>
      <c r="C169" s="11" t="s">
        <v>639</v>
      </c>
      <c r="D169" s="9" t="s">
        <v>161</v>
      </c>
      <c r="E169" s="9" t="s">
        <v>437</v>
      </c>
      <c r="F169" s="9" t="s">
        <v>640</v>
      </c>
      <c r="G169" s="34" t="s">
        <v>73</v>
      </c>
      <c r="H169" s="95" t="s">
        <v>74</v>
      </c>
      <c r="I169" s="88">
        <v>45748</v>
      </c>
      <c r="J169" s="6"/>
      <c r="K169" s="71">
        <v>3</v>
      </c>
      <c r="L169" s="72">
        <v>1</v>
      </c>
      <c r="M169" s="72">
        <v>3</v>
      </c>
      <c r="N169" s="72">
        <v>1</v>
      </c>
      <c r="O169" s="72">
        <v>1</v>
      </c>
      <c r="P169" s="72">
        <v>3</v>
      </c>
      <c r="Q169" s="72">
        <v>2</v>
      </c>
      <c r="R169" s="7">
        <f t="shared" si="6"/>
        <v>14</v>
      </c>
      <c r="S169" s="19">
        <f t="shared" si="7"/>
        <v>0.66666666666666663</v>
      </c>
      <c r="T169" s="16" t="str">
        <f t="shared" si="8"/>
        <v>Por Mejorar</v>
      </c>
      <c r="U169" s="68" t="s">
        <v>75</v>
      </c>
    </row>
    <row r="170" spans="1:21" ht="30" x14ac:dyDescent="0.25">
      <c r="A170" s="8">
        <v>21787697</v>
      </c>
      <c r="B170" s="8">
        <v>4</v>
      </c>
      <c r="C170" s="11" t="s">
        <v>641</v>
      </c>
      <c r="D170" s="9" t="s">
        <v>642</v>
      </c>
      <c r="E170" s="9" t="s">
        <v>321</v>
      </c>
      <c r="F170" s="9" t="s">
        <v>643</v>
      </c>
      <c r="G170" s="34" t="s">
        <v>73</v>
      </c>
      <c r="H170" s="95" t="s">
        <v>74</v>
      </c>
      <c r="I170" s="88">
        <v>45748</v>
      </c>
      <c r="J170" s="6"/>
      <c r="K170" s="71">
        <v>2</v>
      </c>
      <c r="L170" s="72">
        <v>2</v>
      </c>
      <c r="M170" s="72">
        <v>0</v>
      </c>
      <c r="N170" s="72">
        <v>1</v>
      </c>
      <c r="O170" s="72">
        <v>3</v>
      </c>
      <c r="P170" s="72">
        <v>3</v>
      </c>
      <c r="Q170" s="72">
        <v>2</v>
      </c>
      <c r="R170" s="7">
        <f t="shared" si="6"/>
        <v>13</v>
      </c>
      <c r="S170" s="19">
        <f t="shared" si="7"/>
        <v>0.61904761904761907</v>
      </c>
      <c r="T170" s="16" t="str">
        <f t="shared" si="8"/>
        <v>Base</v>
      </c>
      <c r="U170" s="68" t="s">
        <v>75</v>
      </c>
    </row>
    <row r="171" spans="1:21" ht="30" x14ac:dyDescent="0.25">
      <c r="A171" s="8">
        <v>21790168</v>
      </c>
      <c r="B171" s="8">
        <v>5</v>
      </c>
      <c r="C171" s="11" t="s">
        <v>644</v>
      </c>
      <c r="D171" s="9" t="s">
        <v>126</v>
      </c>
      <c r="E171" s="9" t="s">
        <v>645</v>
      </c>
      <c r="F171" s="9" t="s">
        <v>646</v>
      </c>
      <c r="G171" s="34" t="s">
        <v>73</v>
      </c>
      <c r="H171" s="95" t="s">
        <v>74</v>
      </c>
      <c r="I171" s="88">
        <v>45748</v>
      </c>
      <c r="J171" s="6"/>
      <c r="K171" s="71">
        <v>1</v>
      </c>
      <c r="L171" s="72">
        <v>1</v>
      </c>
      <c r="M171" s="72">
        <v>3</v>
      </c>
      <c r="N171" s="72">
        <v>1</v>
      </c>
      <c r="O171" s="72">
        <v>0</v>
      </c>
      <c r="P171" s="72" t="s">
        <v>88</v>
      </c>
      <c r="Q171" s="72" t="s">
        <v>88</v>
      </c>
      <c r="R171" s="7">
        <f t="shared" si="6"/>
        <v>6</v>
      </c>
      <c r="S171" s="19">
        <f t="shared" si="7"/>
        <v>0.2857142857142857</v>
      </c>
      <c r="T171" s="16" t="str">
        <f t="shared" si="8"/>
        <v>Base</v>
      </c>
      <c r="U171" s="68" t="s">
        <v>75</v>
      </c>
    </row>
    <row r="172" spans="1:21" ht="30" x14ac:dyDescent="0.25">
      <c r="A172" s="8">
        <v>21793721</v>
      </c>
      <c r="B172" s="8">
        <v>3</v>
      </c>
      <c r="C172" s="11" t="s">
        <v>647</v>
      </c>
      <c r="D172" s="9" t="s">
        <v>422</v>
      </c>
      <c r="E172" s="9" t="s">
        <v>192</v>
      </c>
      <c r="F172" s="9" t="s">
        <v>648</v>
      </c>
      <c r="G172" s="34" t="s">
        <v>73</v>
      </c>
      <c r="H172" s="95" t="s">
        <v>74</v>
      </c>
      <c r="I172" s="88">
        <v>45748</v>
      </c>
      <c r="J172" s="6"/>
      <c r="K172" s="71">
        <v>2</v>
      </c>
      <c r="L172" s="72" t="s">
        <v>88</v>
      </c>
      <c r="M172" s="72">
        <v>0</v>
      </c>
      <c r="N172" s="72">
        <v>3</v>
      </c>
      <c r="O172" s="72">
        <v>2</v>
      </c>
      <c r="P172" s="72">
        <v>3</v>
      </c>
      <c r="Q172" s="72">
        <v>1</v>
      </c>
      <c r="R172" s="7">
        <f t="shared" si="6"/>
        <v>11</v>
      </c>
      <c r="S172" s="19">
        <f t="shared" si="7"/>
        <v>0.52380952380952384</v>
      </c>
      <c r="T172" s="16" t="str">
        <f t="shared" si="8"/>
        <v>Por Mejorar</v>
      </c>
      <c r="U172" s="68" t="s">
        <v>75</v>
      </c>
    </row>
    <row r="173" spans="1:21" ht="30" x14ac:dyDescent="0.25">
      <c r="A173" s="8">
        <v>21795320</v>
      </c>
      <c r="B173" s="8">
        <v>0</v>
      </c>
      <c r="C173" s="11" t="s">
        <v>649</v>
      </c>
      <c r="D173" s="9" t="s">
        <v>650</v>
      </c>
      <c r="E173" s="9" t="s">
        <v>276</v>
      </c>
      <c r="F173" s="9" t="s">
        <v>651</v>
      </c>
      <c r="G173" s="34" t="s">
        <v>73</v>
      </c>
      <c r="H173" s="95" t="s">
        <v>74</v>
      </c>
      <c r="I173" s="88">
        <v>45748</v>
      </c>
      <c r="J173" s="6"/>
      <c r="K173" s="71">
        <v>3</v>
      </c>
      <c r="L173" s="72">
        <v>1</v>
      </c>
      <c r="M173" s="72">
        <v>0</v>
      </c>
      <c r="N173" s="72">
        <v>2</v>
      </c>
      <c r="O173" s="72">
        <v>1</v>
      </c>
      <c r="P173" s="72">
        <v>3</v>
      </c>
      <c r="Q173" s="72">
        <v>2</v>
      </c>
      <c r="R173" s="7">
        <f t="shared" si="6"/>
        <v>12</v>
      </c>
      <c r="S173" s="19">
        <f t="shared" si="7"/>
        <v>0.5714285714285714</v>
      </c>
      <c r="T173" s="16" t="str">
        <f t="shared" si="8"/>
        <v>Base</v>
      </c>
      <c r="U173" s="68" t="s">
        <v>75</v>
      </c>
    </row>
    <row r="174" spans="1:21" ht="30" x14ac:dyDescent="0.25">
      <c r="A174" s="8">
        <v>21796907</v>
      </c>
      <c r="B174" s="8">
        <v>7</v>
      </c>
      <c r="C174" s="11" t="s">
        <v>652</v>
      </c>
      <c r="D174" s="9" t="s">
        <v>162</v>
      </c>
      <c r="E174" s="9" t="s">
        <v>653</v>
      </c>
      <c r="F174" s="9" t="s">
        <v>654</v>
      </c>
      <c r="G174" s="34" t="s">
        <v>73</v>
      </c>
      <c r="H174" s="95" t="s">
        <v>74</v>
      </c>
      <c r="I174" s="88">
        <v>45748</v>
      </c>
      <c r="J174" s="6"/>
      <c r="K174" s="71">
        <v>1</v>
      </c>
      <c r="L174" s="72">
        <v>1</v>
      </c>
      <c r="M174" s="72">
        <v>3</v>
      </c>
      <c r="N174" s="72">
        <v>1</v>
      </c>
      <c r="O174" s="72">
        <v>3</v>
      </c>
      <c r="P174" s="72">
        <v>2</v>
      </c>
      <c r="Q174" s="72">
        <v>1</v>
      </c>
      <c r="R174" s="7">
        <f t="shared" si="6"/>
        <v>12</v>
      </c>
      <c r="S174" s="19">
        <f t="shared" si="7"/>
        <v>0.5714285714285714</v>
      </c>
      <c r="T174" s="16" t="str">
        <f t="shared" si="8"/>
        <v>Base</v>
      </c>
      <c r="U174" s="68" t="s">
        <v>75</v>
      </c>
    </row>
    <row r="175" spans="1:21" ht="30" x14ac:dyDescent="0.25">
      <c r="A175" s="8">
        <v>21797736</v>
      </c>
      <c r="B175" s="8">
        <v>3</v>
      </c>
      <c r="C175" s="11" t="s">
        <v>655</v>
      </c>
      <c r="D175" s="9" t="s">
        <v>656</v>
      </c>
      <c r="E175" s="9" t="s">
        <v>256</v>
      </c>
      <c r="F175" s="9" t="s">
        <v>657</v>
      </c>
      <c r="G175" s="34" t="s">
        <v>73</v>
      </c>
      <c r="H175" s="95" t="s">
        <v>74</v>
      </c>
      <c r="I175" s="88">
        <v>45748</v>
      </c>
      <c r="J175" s="6"/>
      <c r="K175" s="71">
        <v>2</v>
      </c>
      <c r="L175" s="72">
        <v>3</v>
      </c>
      <c r="M175" s="72">
        <v>1</v>
      </c>
      <c r="N175" s="72">
        <v>1</v>
      </c>
      <c r="O175" s="72">
        <v>1</v>
      </c>
      <c r="P175" s="72">
        <v>2</v>
      </c>
      <c r="Q175" s="72" t="s">
        <v>88</v>
      </c>
      <c r="R175" s="7">
        <f t="shared" si="6"/>
        <v>10</v>
      </c>
      <c r="S175" s="19">
        <f t="shared" si="7"/>
        <v>0.47619047619047616</v>
      </c>
      <c r="T175" s="16" t="str">
        <f t="shared" si="8"/>
        <v>Base</v>
      </c>
      <c r="U175" s="68" t="s">
        <v>75</v>
      </c>
    </row>
    <row r="176" spans="1:21" ht="30" x14ac:dyDescent="0.25">
      <c r="A176" s="8">
        <v>21798472</v>
      </c>
      <c r="B176" s="8">
        <v>6</v>
      </c>
      <c r="C176" s="11" t="s">
        <v>658</v>
      </c>
      <c r="D176" s="9" t="s">
        <v>91</v>
      </c>
      <c r="E176" s="9" t="s">
        <v>339</v>
      </c>
      <c r="F176" s="9" t="s">
        <v>659</v>
      </c>
      <c r="G176" s="34" t="s">
        <v>73</v>
      </c>
      <c r="H176" s="95" t="s">
        <v>74</v>
      </c>
      <c r="I176" s="88">
        <v>45748</v>
      </c>
      <c r="J176" s="6"/>
      <c r="K176" s="71" t="s">
        <v>88</v>
      </c>
      <c r="L176" s="72" t="s">
        <v>88</v>
      </c>
      <c r="M176" s="72" t="s">
        <v>88</v>
      </c>
      <c r="N176" s="72" t="s">
        <v>88</v>
      </c>
      <c r="O176" s="72" t="s">
        <v>88</v>
      </c>
      <c r="P176" s="72">
        <v>3</v>
      </c>
      <c r="Q176" s="72">
        <v>2</v>
      </c>
      <c r="R176" s="7">
        <f t="shared" si="6"/>
        <v>5</v>
      </c>
      <c r="S176" s="19">
        <f t="shared" si="7"/>
        <v>0.23809523809523808</v>
      </c>
      <c r="T176" s="16" t="str">
        <f t="shared" si="8"/>
        <v>Por Mejorar</v>
      </c>
      <c r="U176" s="68" t="s">
        <v>75</v>
      </c>
    </row>
    <row r="177" spans="1:21" ht="30" x14ac:dyDescent="0.25">
      <c r="A177" s="8">
        <v>21798665</v>
      </c>
      <c r="B177" s="8">
        <v>6</v>
      </c>
      <c r="C177" s="11" t="s">
        <v>660</v>
      </c>
      <c r="D177" s="9" t="s">
        <v>276</v>
      </c>
      <c r="E177" s="9" t="s">
        <v>661</v>
      </c>
      <c r="F177" s="9" t="s">
        <v>662</v>
      </c>
      <c r="G177" s="34" t="s">
        <v>73</v>
      </c>
      <c r="H177" s="95" t="s">
        <v>74</v>
      </c>
      <c r="I177" s="88">
        <v>45748</v>
      </c>
      <c r="J177" s="6"/>
      <c r="K177" s="71">
        <v>3</v>
      </c>
      <c r="L177" s="72" t="s">
        <v>88</v>
      </c>
      <c r="M177" s="72">
        <v>1</v>
      </c>
      <c r="N177" s="72">
        <v>0</v>
      </c>
      <c r="O177" s="72">
        <v>0</v>
      </c>
      <c r="P177" s="72">
        <v>3</v>
      </c>
      <c r="Q177" s="72" t="s">
        <v>88</v>
      </c>
      <c r="R177" s="7">
        <f t="shared" si="6"/>
        <v>7</v>
      </c>
      <c r="S177" s="19">
        <f t="shared" si="7"/>
        <v>0.33333333333333331</v>
      </c>
      <c r="T177" s="16" t="str">
        <f t="shared" si="8"/>
        <v>Por Mejorar</v>
      </c>
      <c r="U177" s="68" t="s">
        <v>75</v>
      </c>
    </row>
    <row r="178" spans="1:21" ht="30" x14ac:dyDescent="0.25">
      <c r="A178" s="8">
        <v>21803172</v>
      </c>
      <c r="B178" s="8">
        <v>2</v>
      </c>
      <c r="C178" s="11" t="s">
        <v>663</v>
      </c>
      <c r="D178" s="9" t="s">
        <v>185</v>
      </c>
      <c r="E178" s="9" t="s">
        <v>372</v>
      </c>
      <c r="F178" s="9" t="s">
        <v>664</v>
      </c>
      <c r="G178" s="34" t="s">
        <v>73</v>
      </c>
      <c r="H178" s="95" t="s">
        <v>74</v>
      </c>
      <c r="I178" s="88">
        <v>45748</v>
      </c>
      <c r="J178" s="6"/>
      <c r="K178" s="71">
        <v>1</v>
      </c>
      <c r="L178" s="72">
        <v>1</v>
      </c>
      <c r="M178" s="72">
        <v>1</v>
      </c>
      <c r="N178" s="72">
        <v>1</v>
      </c>
      <c r="O178" s="72">
        <v>1</v>
      </c>
      <c r="P178" s="72">
        <v>1</v>
      </c>
      <c r="Q178" s="72" t="s">
        <v>88</v>
      </c>
      <c r="R178" s="7">
        <f t="shared" si="6"/>
        <v>6</v>
      </c>
      <c r="S178" s="19">
        <f t="shared" si="7"/>
        <v>0.2857142857142857</v>
      </c>
      <c r="T178" s="16" t="str">
        <f t="shared" si="8"/>
        <v>Por Mejorar</v>
      </c>
      <c r="U178" s="68" t="s">
        <v>75</v>
      </c>
    </row>
    <row r="179" spans="1:21" ht="30" x14ac:dyDescent="0.25">
      <c r="A179" s="8">
        <v>21810859</v>
      </c>
      <c r="B179" s="8">
        <v>8</v>
      </c>
      <c r="C179" s="11" t="s">
        <v>665</v>
      </c>
      <c r="D179" s="9" t="s">
        <v>275</v>
      </c>
      <c r="E179" s="9" t="s">
        <v>666</v>
      </c>
      <c r="F179" s="9" t="s">
        <v>667</v>
      </c>
      <c r="G179" s="34" t="s">
        <v>73</v>
      </c>
      <c r="H179" s="95" t="s">
        <v>74</v>
      </c>
      <c r="I179" s="88">
        <v>45748</v>
      </c>
      <c r="J179" s="6"/>
      <c r="K179" s="71">
        <v>2</v>
      </c>
      <c r="L179" s="72">
        <v>1</v>
      </c>
      <c r="M179" s="72">
        <v>3</v>
      </c>
      <c r="N179" s="72">
        <v>3</v>
      </c>
      <c r="O179" s="72">
        <v>1</v>
      </c>
      <c r="P179" s="72">
        <v>2</v>
      </c>
      <c r="Q179" s="72">
        <v>0</v>
      </c>
      <c r="R179" s="7">
        <f t="shared" si="6"/>
        <v>12</v>
      </c>
      <c r="S179" s="19">
        <f t="shared" si="7"/>
        <v>0.5714285714285714</v>
      </c>
      <c r="T179" s="16" t="str">
        <f t="shared" si="8"/>
        <v>Por Mejorar</v>
      </c>
      <c r="U179" s="68" t="s">
        <v>75</v>
      </c>
    </row>
    <row r="180" spans="1:21" ht="30" x14ac:dyDescent="0.25">
      <c r="A180" s="8">
        <v>21811670</v>
      </c>
      <c r="B180" s="8">
        <v>1</v>
      </c>
      <c r="C180" s="11" t="s">
        <v>668</v>
      </c>
      <c r="D180" s="9" t="s">
        <v>585</v>
      </c>
      <c r="E180" s="9" t="s">
        <v>386</v>
      </c>
      <c r="F180" s="9" t="s">
        <v>669</v>
      </c>
      <c r="G180" s="34" t="s">
        <v>73</v>
      </c>
      <c r="H180" s="95" t="s">
        <v>74</v>
      </c>
      <c r="I180" s="88">
        <v>45748</v>
      </c>
      <c r="J180" s="6"/>
      <c r="K180" s="71">
        <v>2</v>
      </c>
      <c r="L180" s="72">
        <v>2</v>
      </c>
      <c r="M180" s="72">
        <v>1</v>
      </c>
      <c r="N180" s="72">
        <v>2</v>
      </c>
      <c r="O180" s="72">
        <v>3</v>
      </c>
      <c r="P180" s="72">
        <v>3</v>
      </c>
      <c r="Q180" s="72" t="s">
        <v>88</v>
      </c>
      <c r="R180" s="7">
        <f t="shared" si="6"/>
        <v>13</v>
      </c>
      <c r="S180" s="19">
        <f t="shared" si="7"/>
        <v>0.61904761904761907</v>
      </c>
      <c r="T180" s="16" t="str">
        <f t="shared" si="8"/>
        <v>Base</v>
      </c>
      <c r="U180" s="68" t="s">
        <v>75</v>
      </c>
    </row>
    <row r="181" spans="1:21" ht="30" x14ac:dyDescent="0.25">
      <c r="A181" s="8">
        <v>21815962</v>
      </c>
      <c r="B181" s="8">
        <v>1</v>
      </c>
      <c r="C181" s="11" t="s">
        <v>670</v>
      </c>
      <c r="D181" s="9" t="s">
        <v>671</v>
      </c>
      <c r="E181" s="9" t="s">
        <v>672</v>
      </c>
      <c r="F181" s="9" t="s">
        <v>673</v>
      </c>
      <c r="G181" s="34" t="s">
        <v>73</v>
      </c>
      <c r="H181" s="95" t="s">
        <v>74</v>
      </c>
      <c r="I181" s="88">
        <v>45748</v>
      </c>
      <c r="J181" s="6"/>
      <c r="K181" s="71">
        <v>1</v>
      </c>
      <c r="L181" s="72" t="s">
        <v>88</v>
      </c>
      <c r="M181" s="72">
        <v>2</v>
      </c>
      <c r="N181" s="72">
        <v>2</v>
      </c>
      <c r="O181" s="72">
        <v>0</v>
      </c>
      <c r="P181" s="72">
        <v>2</v>
      </c>
      <c r="Q181" s="72">
        <v>0</v>
      </c>
      <c r="R181" s="7">
        <f t="shared" si="6"/>
        <v>7</v>
      </c>
      <c r="S181" s="19">
        <f t="shared" si="7"/>
        <v>0.33333333333333331</v>
      </c>
      <c r="T181" s="16" t="str">
        <f t="shared" si="8"/>
        <v>Base</v>
      </c>
      <c r="U181" s="68" t="s">
        <v>75</v>
      </c>
    </row>
    <row r="182" spans="1:21" ht="30" x14ac:dyDescent="0.25">
      <c r="A182" s="8">
        <v>21821879</v>
      </c>
      <c r="B182" s="8">
        <v>2</v>
      </c>
      <c r="C182" s="11" t="s">
        <v>674</v>
      </c>
      <c r="D182" s="9" t="s">
        <v>214</v>
      </c>
      <c r="E182" s="9" t="s">
        <v>675</v>
      </c>
      <c r="F182" s="9" t="s">
        <v>676</v>
      </c>
      <c r="G182" s="34" t="s">
        <v>73</v>
      </c>
      <c r="H182" s="95" t="s">
        <v>74</v>
      </c>
      <c r="I182" s="88">
        <v>45748</v>
      </c>
      <c r="J182" s="6"/>
      <c r="K182" s="71">
        <v>3</v>
      </c>
      <c r="L182" s="72">
        <v>1</v>
      </c>
      <c r="M182" s="72">
        <v>1</v>
      </c>
      <c r="N182" s="72">
        <v>1</v>
      </c>
      <c r="O182" s="72">
        <v>0</v>
      </c>
      <c r="P182" s="72">
        <v>2</v>
      </c>
      <c r="Q182" s="72">
        <v>1</v>
      </c>
      <c r="R182" s="7">
        <f t="shared" si="6"/>
        <v>9</v>
      </c>
      <c r="S182" s="19">
        <f t="shared" si="7"/>
        <v>0.42857142857142855</v>
      </c>
      <c r="T182" s="16" t="str">
        <f t="shared" si="8"/>
        <v>Por Mejorar</v>
      </c>
      <c r="U182" s="68" t="s">
        <v>75</v>
      </c>
    </row>
    <row r="183" spans="1:21" ht="30" x14ac:dyDescent="0.25">
      <c r="A183" s="8">
        <v>21824572</v>
      </c>
      <c r="B183" s="8">
        <v>2</v>
      </c>
      <c r="C183" s="11" t="s">
        <v>677</v>
      </c>
      <c r="D183" s="9" t="s">
        <v>502</v>
      </c>
      <c r="E183" s="9" t="s">
        <v>678</v>
      </c>
      <c r="F183" s="9" t="s">
        <v>679</v>
      </c>
      <c r="G183" s="34" t="s">
        <v>73</v>
      </c>
      <c r="H183" s="95" t="s">
        <v>74</v>
      </c>
      <c r="I183" s="88">
        <v>45748</v>
      </c>
      <c r="J183" s="6"/>
      <c r="K183" s="71">
        <v>2</v>
      </c>
      <c r="L183" s="72">
        <v>1</v>
      </c>
      <c r="M183" s="72">
        <v>3</v>
      </c>
      <c r="N183" s="72">
        <v>2</v>
      </c>
      <c r="O183" s="72">
        <v>1</v>
      </c>
      <c r="P183" s="72">
        <v>3</v>
      </c>
      <c r="Q183" s="72">
        <v>1</v>
      </c>
      <c r="R183" s="7">
        <f t="shared" si="6"/>
        <v>13</v>
      </c>
      <c r="S183" s="19">
        <f t="shared" si="7"/>
        <v>0.61904761904761907</v>
      </c>
      <c r="T183" s="16" t="str">
        <f t="shared" si="8"/>
        <v>Por Mejorar</v>
      </c>
      <c r="U183" s="68" t="s">
        <v>75</v>
      </c>
    </row>
    <row r="184" spans="1:21" ht="30" x14ac:dyDescent="0.25">
      <c r="A184" s="8">
        <v>21824770</v>
      </c>
      <c r="B184" s="8">
        <v>9</v>
      </c>
      <c r="C184" s="11" t="s">
        <v>680</v>
      </c>
      <c r="D184" s="9" t="s">
        <v>681</v>
      </c>
      <c r="E184" s="9" t="s">
        <v>104</v>
      </c>
      <c r="F184" s="9" t="s">
        <v>682</v>
      </c>
      <c r="G184" s="34" t="s">
        <v>73</v>
      </c>
      <c r="H184" s="95" t="s">
        <v>74</v>
      </c>
      <c r="I184" s="88">
        <v>45748</v>
      </c>
      <c r="J184" s="6"/>
      <c r="K184" s="71">
        <v>3</v>
      </c>
      <c r="L184" s="72">
        <v>1</v>
      </c>
      <c r="M184" s="72">
        <v>1</v>
      </c>
      <c r="N184" s="72">
        <v>2</v>
      </c>
      <c r="O184" s="72">
        <v>1</v>
      </c>
      <c r="P184" s="72">
        <v>3</v>
      </c>
      <c r="Q184" s="72">
        <v>2</v>
      </c>
      <c r="R184" s="7">
        <f t="shared" si="6"/>
        <v>13</v>
      </c>
      <c r="S184" s="19">
        <f t="shared" si="7"/>
        <v>0.61904761904761907</v>
      </c>
      <c r="T184" s="16" t="str">
        <f t="shared" si="8"/>
        <v>Base</v>
      </c>
      <c r="U184" s="68" t="s">
        <v>75</v>
      </c>
    </row>
    <row r="185" spans="1:21" ht="30" x14ac:dyDescent="0.25">
      <c r="A185" s="8">
        <v>21825643</v>
      </c>
      <c r="B185" s="8">
        <v>0</v>
      </c>
      <c r="C185" s="11" t="s">
        <v>683</v>
      </c>
      <c r="D185" s="9" t="s">
        <v>684</v>
      </c>
      <c r="E185" s="9" t="s">
        <v>419</v>
      </c>
      <c r="F185" s="9" t="s">
        <v>227</v>
      </c>
      <c r="G185" s="34" t="s">
        <v>73</v>
      </c>
      <c r="H185" s="95" t="s">
        <v>74</v>
      </c>
      <c r="I185" s="88">
        <v>45748</v>
      </c>
      <c r="J185" s="6"/>
      <c r="K185" s="71">
        <v>2</v>
      </c>
      <c r="L185" s="72">
        <v>1</v>
      </c>
      <c r="M185" s="72">
        <v>2</v>
      </c>
      <c r="N185" s="72">
        <v>1</v>
      </c>
      <c r="O185" s="72">
        <v>0</v>
      </c>
      <c r="P185" s="72">
        <v>3</v>
      </c>
      <c r="Q185" s="72">
        <v>0</v>
      </c>
      <c r="R185" s="7">
        <f t="shared" si="6"/>
        <v>9</v>
      </c>
      <c r="S185" s="19">
        <f t="shared" si="7"/>
        <v>0.42857142857142855</v>
      </c>
      <c r="T185" s="16" t="str">
        <f t="shared" si="8"/>
        <v>Base</v>
      </c>
      <c r="U185" s="68" t="s">
        <v>75</v>
      </c>
    </row>
    <row r="186" spans="1:21" ht="30" x14ac:dyDescent="0.25">
      <c r="A186" s="8">
        <v>21825697</v>
      </c>
      <c r="B186" s="8" t="s">
        <v>76</v>
      </c>
      <c r="C186" s="11" t="s">
        <v>685</v>
      </c>
      <c r="D186" s="9" t="s">
        <v>686</v>
      </c>
      <c r="E186" s="9" t="s">
        <v>90</v>
      </c>
      <c r="F186" s="9" t="s">
        <v>687</v>
      </c>
      <c r="G186" s="34" t="s">
        <v>73</v>
      </c>
      <c r="H186" s="95" t="s">
        <v>74</v>
      </c>
      <c r="I186" s="88">
        <v>45748</v>
      </c>
      <c r="J186" s="6"/>
      <c r="K186" s="71">
        <v>1</v>
      </c>
      <c r="L186" s="72">
        <v>0</v>
      </c>
      <c r="M186" s="72">
        <v>1</v>
      </c>
      <c r="N186" s="72">
        <v>1</v>
      </c>
      <c r="O186" s="72">
        <v>0</v>
      </c>
      <c r="P186" s="72">
        <v>2</v>
      </c>
      <c r="Q186" s="72" t="s">
        <v>88</v>
      </c>
      <c r="R186" s="7">
        <f t="shared" si="6"/>
        <v>5</v>
      </c>
      <c r="S186" s="19">
        <f t="shared" si="7"/>
        <v>0.23809523809523808</v>
      </c>
      <c r="T186" s="16" t="str">
        <f t="shared" si="8"/>
        <v>Por Mejorar</v>
      </c>
      <c r="U186" s="68" t="s">
        <v>75</v>
      </c>
    </row>
    <row r="187" spans="1:21" ht="30" x14ac:dyDescent="0.25">
      <c r="A187" s="8">
        <v>21858879</v>
      </c>
      <c r="B187" s="8">
        <v>4</v>
      </c>
      <c r="C187" s="11" t="s">
        <v>688</v>
      </c>
      <c r="D187" s="9" t="s">
        <v>689</v>
      </c>
      <c r="E187" s="9" t="s">
        <v>454</v>
      </c>
      <c r="F187" s="9" t="s">
        <v>690</v>
      </c>
      <c r="G187" s="34" t="s">
        <v>73</v>
      </c>
      <c r="H187" s="95" t="s">
        <v>74</v>
      </c>
      <c r="I187" s="88">
        <v>45748</v>
      </c>
      <c r="J187" s="6"/>
      <c r="K187" s="71">
        <v>3</v>
      </c>
      <c r="L187" s="72">
        <v>1</v>
      </c>
      <c r="M187" s="72">
        <v>1</v>
      </c>
      <c r="N187" s="72">
        <v>1</v>
      </c>
      <c r="O187" s="72">
        <v>0</v>
      </c>
      <c r="P187" s="72">
        <v>3</v>
      </c>
      <c r="Q187" s="72">
        <v>2</v>
      </c>
      <c r="R187" s="7">
        <f t="shared" si="6"/>
        <v>11</v>
      </c>
      <c r="S187" s="19">
        <f t="shared" si="7"/>
        <v>0.52380952380952384</v>
      </c>
      <c r="T187" s="16" t="str">
        <f t="shared" si="8"/>
        <v>Por Mejorar</v>
      </c>
      <c r="U187" s="68" t="s">
        <v>75</v>
      </c>
    </row>
    <row r="188" spans="1:21" ht="30" x14ac:dyDescent="0.25">
      <c r="A188" s="8">
        <v>21866419</v>
      </c>
      <c r="B188" s="8">
        <v>9</v>
      </c>
      <c r="C188" s="11" t="s">
        <v>691</v>
      </c>
      <c r="D188" s="9" t="s">
        <v>283</v>
      </c>
      <c r="E188" s="9" t="s">
        <v>692</v>
      </c>
      <c r="F188" s="9" t="s">
        <v>693</v>
      </c>
      <c r="G188" s="34" t="s">
        <v>73</v>
      </c>
      <c r="H188" s="95" t="s">
        <v>74</v>
      </c>
      <c r="I188" s="88">
        <v>45748</v>
      </c>
      <c r="J188" s="6"/>
      <c r="K188" s="71">
        <v>2</v>
      </c>
      <c r="L188" s="72">
        <v>1</v>
      </c>
      <c r="M188" s="72">
        <v>2</v>
      </c>
      <c r="N188" s="72">
        <v>2</v>
      </c>
      <c r="O188" s="72">
        <v>3</v>
      </c>
      <c r="P188" s="72">
        <v>3</v>
      </c>
      <c r="Q188" s="72" t="s">
        <v>88</v>
      </c>
      <c r="R188" s="7">
        <f t="shared" si="6"/>
        <v>13</v>
      </c>
      <c r="S188" s="19">
        <f t="shared" si="7"/>
        <v>0.61904761904761907</v>
      </c>
      <c r="T188" s="16" t="str">
        <f t="shared" si="8"/>
        <v>Base</v>
      </c>
      <c r="U188" s="68" t="s">
        <v>75</v>
      </c>
    </row>
    <row r="189" spans="1:21" ht="30" x14ac:dyDescent="0.25">
      <c r="A189" s="8">
        <v>23093177</v>
      </c>
      <c r="B189" s="8">
        <v>1</v>
      </c>
      <c r="C189" s="11" t="s">
        <v>694</v>
      </c>
      <c r="D189" s="9" t="s">
        <v>695</v>
      </c>
      <c r="E189" s="9" t="s">
        <v>696</v>
      </c>
      <c r="F189" s="9" t="s">
        <v>697</v>
      </c>
      <c r="G189" s="34" t="s">
        <v>73</v>
      </c>
      <c r="H189" s="95" t="s">
        <v>74</v>
      </c>
      <c r="I189" s="88">
        <v>45748</v>
      </c>
      <c r="J189" s="6"/>
      <c r="K189" s="71">
        <v>2</v>
      </c>
      <c r="L189" s="72">
        <v>1</v>
      </c>
      <c r="M189" s="72">
        <v>1</v>
      </c>
      <c r="N189" s="72">
        <v>1</v>
      </c>
      <c r="O189" s="72">
        <v>1</v>
      </c>
      <c r="P189" s="72">
        <v>3</v>
      </c>
      <c r="Q189" s="72" t="s">
        <v>88</v>
      </c>
      <c r="R189" s="7">
        <f t="shared" si="6"/>
        <v>9</v>
      </c>
      <c r="S189" s="19">
        <f t="shared" si="7"/>
        <v>0.42857142857142855</v>
      </c>
      <c r="T189" s="16" t="str">
        <f t="shared" si="8"/>
        <v>Base</v>
      </c>
      <c r="U189" s="68" t="s">
        <v>75</v>
      </c>
    </row>
    <row r="190" spans="1:21" ht="30" x14ac:dyDescent="0.25">
      <c r="A190" s="8">
        <v>24855910</v>
      </c>
      <c r="B190" s="8">
        <v>1</v>
      </c>
      <c r="C190" s="11" t="s">
        <v>698</v>
      </c>
      <c r="D190" s="9" t="s">
        <v>296</v>
      </c>
      <c r="E190" s="9" t="s">
        <v>454</v>
      </c>
      <c r="F190" s="9" t="s">
        <v>699</v>
      </c>
      <c r="G190" s="34" t="s">
        <v>73</v>
      </c>
      <c r="H190" s="95" t="s">
        <v>74</v>
      </c>
      <c r="I190" s="88">
        <v>45748</v>
      </c>
      <c r="J190" s="6"/>
      <c r="K190" s="71">
        <v>1</v>
      </c>
      <c r="L190" s="72" t="s">
        <v>88</v>
      </c>
      <c r="M190" s="72">
        <v>1</v>
      </c>
      <c r="N190" s="72">
        <v>1</v>
      </c>
      <c r="O190" s="72">
        <v>1</v>
      </c>
      <c r="P190" s="72">
        <v>3</v>
      </c>
      <c r="Q190" s="72">
        <v>2</v>
      </c>
      <c r="R190" s="7">
        <f t="shared" si="6"/>
        <v>9</v>
      </c>
      <c r="S190" s="19">
        <f t="shared" si="7"/>
        <v>0.42857142857142855</v>
      </c>
      <c r="T190" s="16" t="str">
        <f t="shared" si="8"/>
        <v>Por Mejorar</v>
      </c>
      <c r="U190" s="68" t="s">
        <v>75</v>
      </c>
    </row>
    <row r="191" spans="1:21" ht="30" x14ac:dyDescent="0.25">
      <c r="A191" s="8">
        <v>25770861</v>
      </c>
      <c r="B191" s="8">
        <v>6</v>
      </c>
      <c r="C191" s="11" t="s">
        <v>700</v>
      </c>
      <c r="D191" s="9" t="s">
        <v>701</v>
      </c>
      <c r="E191" s="9" t="s">
        <v>702</v>
      </c>
      <c r="F191" s="9" t="s">
        <v>703</v>
      </c>
      <c r="G191" s="34" t="s">
        <v>73</v>
      </c>
      <c r="H191" s="95" t="s">
        <v>74</v>
      </c>
      <c r="I191" s="88">
        <v>45748</v>
      </c>
      <c r="J191" s="6"/>
      <c r="K191" s="71">
        <v>2</v>
      </c>
      <c r="L191" s="72">
        <v>1</v>
      </c>
      <c r="M191" s="72">
        <v>0</v>
      </c>
      <c r="N191" s="72">
        <v>2</v>
      </c>
      <c r="O191" s="72">
        <v>1</v>
      </c>
      <c r="P191" s="72">
        <v>3</v>
      </c>
      <c r="Q191" s="72">
        <v>2</v>
      </c>
      <c r="R191" s="7">
        <f t="shared" si="6"/>
        <v>11</v>
      </c>
      <c r="S191" s="19">
        <f t="shared" si="7"/>
        <v>0.52380952380952384</v>
      </c>
      <c r="T191" s="16" t="str">
        <f t="shared" si="8"/>
        <v>Por Mejorar</v>
      </c>
      <c r="U191" s="68" t="s">
        <v>75</v>
      </c>
    </row>
    <row r="192" spans="1:21" x14ac:dyDescent="0.25">
      <c r="A192" s="8">
        <v>25850113</v>
      </c>
      <c r="B192" s="8">
        <v>6</v>
      </c>
      <c r="C192" s="11" t="s">
        <v>704</v>
      </c>
      <c r="D192" s="9" t="s">
        <v>705</v>
      </c>
      <c r="E192" s="9" t="s">
        <v>706</v>
      </c>
      <c r="F192" s="9" t="s">
        <v>707</v>
      </c>
      <c r="G192" t="s">
        <v>236</v>
      </c>
      <c r="H192" s="96" t="s">
        <v>82</v>
      </c>
      <c r="I192" s="6"/>
      <c r="J192" s="6"/>
      <c r="K192" s="6"/>
      <c r="L192" s="6"/>
      <c r="M192" s="6"/>
      <c r="N192" s="6"/>
      <c r="O192" s="6"/>
      <c r="P192" s="6"/>
      <c r="Q192" s="6"/>
      <c r="R192" s="7">
        <f t="shared" si="6"/>
        <v>0</v>
      </c>
      <c r="S192" s="19">
        <f t="shared" si="7"/>
        <v>0</v>
      </c>
      <c r="T192" s="16" t="str">
        <f t="shared" si="8"/>
        <v>No rendida o no válida</v>
      </c>
      <c r="U192" s="68" t="s">
        <v>83</v>
      </c>
    </row>
    <row r="193" spans="1:21" ht="30" x14ac:dyDescent="0.25">
      <c r="A193" s="8">
        <v>26126749</v>
      </c>
      <c r="B193" s="8">
        <v>7</v>
      </c>
      <c r="C193" s="11" t="s">
        <v>708</v>
      </c>
      <c r="D193" s="9" t="s">
        <v>709</v>
      </c>
      <c r="E193" s="9" t="s">
        <v>710</v>
      </c>
      <c r="F193" s="9" t="s">
        <v>711</v>
      </c>
      <c r="G193" s="34" t="s">
        <v>73</v>
      </c>
      <c r="H193" s="95" t="s">
        <v>74</v>
      </c>
      <c r="I193" s="88">
        <v>45748</v>
      </c>
      <c r="J193" s="6"/>
      <c r="K193" s="69">
        <v>1</v>
      </c>
      <c r="L193" s="70" t="s">
        <v>88</v>
      </c>
      <c r="M193" s="70">
        <v>1</v>
      </c>
      <c r="N193" s="70">
        <v>1</v>
      </c>
      <c r="O193" s="70">
        <v>2</v>
      </c>
      <c r="P193" s="70" t="s">
        <v>88</v>
      </c>
      <c r="Q193" s="70" t="s">
        <v>88</v>
      </c>
      <c r="R193" s="7">
        <f t="shared" si="6"/>
        <v>5</v>
      </c>
      <c r="S193" s="19">
        <f t="shared" si="7"/>
        <v>0.23809523809523808</v>
      </c>
      <c r="T193" s="16" t="str">
        <f t="shared" si="8"/>
        <v>Por Mejorar</v>
      </c>
      <c r="U193" s="68" t="s">
        <v>75</v>
      </c>
    </row>
    <row r="194" spans="1:21" ht="30" x14ac:dyDescent="0.25">
      <c r="A194" s="78">
        <v>27749831</v>
      </c>
      <c r="B194" s="78">
        <v>6</v>
      </c>
      <c r="C194" s="11" t="s">
        <v>712</v>
      </c>
      <c r="D194" s="79" t="s">
        <v>713</v>
      </c>
      <c r="E194" s="79" t="s">
        <v>230</v>
      </c>
      <c r="F194" s="79" t="s">
        <v>714</v>
      </c>
      <c r="G194" s="34" t="s">
        <v>73</v>
      </c>
      <c r="H194" s="97" t="s">
        <v>74</v>
      </c>
      <c r="I194" s="88">
        <v>45748</v>
      </c>
      <c r="J194" s="80"/>
      <c r="K194" s="81">
        <v>2</v>
      </c>
      <c r="L194" s="82">
        <v>1</v>
      </c>
      <c r="M194" s="82">
        <v>1</v>
      </c>
      <c r="N194" s="82">
        <v>1</v>
      </c>
      <c r="O194" s="82">
        <v>0</v>
      </c>
      <c r="P194" s="82" t="s">
        <v>88</v>
      </c>
      <c r="Q194" s="82" t="s">
        <v>88</v>
      </c>
      <c r="R194" s="7">
        <f t="shared" si="6"/>
        <v>5</v>
      </c>
      <c r="S194" s="19">
        <f t="shared" si="7"/>
        <v>0.23809523809523808</v>
      </c>
      <c r="T194" s="16" t="str">
        <f t="shared" si="8"/>
        <v>Por Mejorar</v>
      </c>
      <c r="U194" s="68" t="s">
        <v>75</v>
      </c>
    </row>
    <row r="195" spans="1:21" ht="30" x14ac:dyDescent="0.25">
      <c r="A195" s="76">
        <v>21084206</v>
      </c>
      <c r="B195" s="76">
        <v>3</v>
      </c>
      <c r="C195" s="11" t="s">
        <v>715</v>
      </c>
      <c r="D195" s="75" t="s">
        <v>716</v>
      </c>
      <c r="E195" s="75" t="s">
        <v>717</v>
      </c>
      <c r="F195" s="75" t="s">
        <v>718</v>
      </c>
      <c r="G195" s="34" t="s">
        <v>73</v>
      </c>
      <c r="H195" s="98" t="s">
        <v>74</v>
      </c>
      <c r="I195" s="88">
        <v>45748</v>
      </c>
      <c r="J195" s="1"/>
      <c r="K195" s="84">
        <v>1</v>
      </c>
      <c r="L195" s="85">
        <v>1</v>
      </c>
      <c r="M195" s="85">
        <v>1</v>
      </c>
      <c r="N195" s="85">
        <v>1</v>
      </c>
      <c r="O195" s="85">
        <v>0</v>
      </c>
      <c r="P195" s="85">
        <v>3</v>
      </c>
      <c r="Q195" s="85">
        <v>2</v>
      </c>
      <c r="R195" s="7">
        <f t="shared" si="6"/>
        <v>9</v>
      </c>
      <c r="S195" s="19">
        <f t="shared" si="7"/>
        <v>0.42857142857142855</v>
      </c>
      <c r="T195" s="16" t="str">
        <f t="shared" si="8"/>
        <v>Por Mejorar</v>
      </c>
      <c r="U195" t="s">
        <v>719</v>
      </c>
    </row>
    <row r="196" spans="1:21" ht="30" x14ac:dyDescent="0.25">
      <c r="A196" s="76">
        <v>20829192</v>
      </c>
      <c r="B196" s="76">
        <v>0</v>
      </c>
      <c r="C196" s="11" t="s">
        <v>720</v>
      </c>
      <c r="D196" s="75" t="s">
        <v>721</v>
      </c>
      <c r="E196" s="75" t="s">
        <v>722</v>
      </c>
      <c r="F196" s="75" t="s">
        <v>723</v>
      </c>
      <c r="G196" s="34" t="s">
        <v>73</v>
      </c>
      <c r="H196" s="98" t="s">
        <v>74</v>
      </c>
      <c r="I196" s="88">
        <v>45748</v>
      </c>
      <c r="J196" s="1"/>
      <c r="K196" s="86">
        <v>3</v>
      </c>
      <c r="L196" s="87">
        <v>2</v>
      </c>
      <c r="M196" s="87">
        <v>1</v>
      </c>
      <c r="N196" s="87">
        <v>1</v>
      </c>
      <c r="O196" s="87">
        <v>2</v>
      </c>
      <c r="P196" s="87">
        <v>3</v>
      </c>
      <c r="Q196" s="87" t="s">
        <v>88</v>
      </c>
      <c r="R196" s="7">
        <f t="shared" si="6"/>
        <v>12</v>
      </c>
      <c r="S196" s="19">
        <f t="shared" si="7"/>
        <v>0.5714285714285714</v>
      </c>
      <c r="T196" s="16" t="str">
        <f t="shared" si="8"/>
        <v>Por Mejorar</v>
      </c>
      <c r="U196" t="s">
        <v>719</v>
      </c>
    </row>
    <row r="197" spans="1:21" ht="30" x14ac:dyDescent="0.25">
      <c r="A197" s="76">
        <v>21530219</v>
      </c>
      <c r="B197" s="76">
        <v>9</v>
      </c>
      <c r="C197" s="11" t="s">
        <v>724</v>
      </c>
      <c r="D197" s="75" t="s">
        <v>725</v>
      </c>
      <c r="E197" s="75" t="s">
        <v>684</v>
      </c>
      <c r="F197" s="75" t="s">
        <v>726</v>
      </c>
      <c r="G197" s="34" t="s">
        <v>73</v>
      </c>
      <c r="H197" s="98" t="s">
        <v>74</v>
      </c>
      <c r="I197" s="88">
        <v>45748</v>
      </c>
      <c r="J197" s="1"/>
      <c r="K197" s="86">
        <v>3</v>
      </c>
      <c r="L197" s="87" t="s">
        <v>88</v>
      </c>
      <c r="M197" s="87" t="s">
        <v>88</v>
      </c>
      <c r="N197" s="87" t="s">
        <v>88</v>
      </c>
      <c r="O197" s="87" t="s">
        <v>88</v>
      </c>
      <c r="P197" s="87">
        <v>3</v>
      </c>
      <c r="Q197" s="87" t="s">
        <v>88</v>
      </c>
      <c r="R197" s="7">
        <f t="shared" ref="R197:R215" si="9">SUM(K197:Q197)</f>
        <v>6</v>
      </c>
      <c r="S197" s="19">
        <f t="shared" si="7"/>
        <v>0.2857142857142857</v>
      </c>
      <c r="T197" s="16" t="str">
        <f t="shared" si="8"/>
        <v>Base</v>
      </c>
      <c r="U197" t="s">
        <v>719</v>
      </c>
    </row>
    <row r="198" spans="1:21" ht="30" x14ac:dyDescent="0.25">
      <c r="A198" s="76">
        <v>20944360</v>
      </c>
      <c r="B198" s="76">
        <v>0</v>
      </c>
      <c r="C198" s="11" t="s">
        <v>727</v>
      </c>
      <c r="D198" s="75" t="s">
        <v>728</v>
      </c>
      <c r="E198" s="75" t="s">
        <v>729</v>
      </c>
      <c r="F198" s="75" t="s">
        <v>730</v>
      </c>
      <c r="G198" s="34" t="s">
        <v>73</v>
      </c>
      <c r="H198" s="98" t="s">
        <v>74</v>
      </c>
      <c r="I198" s="88">
        <v>45748</v>
      </c>
      <c r="J198" s="1"/>
      <c r="K198" s="86">
        <v>3</v>
      </c>
      <c r="L198" s="87">
        <v>2</v>
      </c>
      <c r="M198" s="87">
        <v>2</v>
      </c>
      <c r="N198" s="87">
        <v>2</v>
      </c>
      <c r="O198" s="87">
        <v>2</v>
      </c>
      <c r="P198" s="87">
        <v>1</v>
      </c>
      <c r="Q198" s="87">
        <v>2</v>
      </c>
      <c r="R198" s="7">
        <f t="shared" si="9"/>
        <v>14</v>
      </c>
      <c r="S198" s="19">
        <f t="shared" ref="S198:S215" si="10">R198/21</f>
        <v>0.66666666666666663</v>
      </c>
      <c r="T198" s="16" t="str">
        <f t="shared" ref="T198:T215" si="11">IF(H198="Rendida",IF(S197&lt;49.5%,"Por Mejorar",IF(S198&lt;64.5%,"Base",IF(S198&lt;84.5%,"Satisfactorio","Óptimo"))),"No rendida o no válida")</f>
        <v>Por Mejorar</v>
      </c>
      <c r="U198" t="s">
        <v>719</v>
      </c>
    </row>
    <row r="199" spans="1:21" ht="30" x14ac:dyDescent="0.25">
      <c r="A199" s="76">
        <v>21361326</v>
      </c>
      <c r="B199" s="77" t="s">
        <v>731</v>
      </c>
      <c r="C199" s="11" t="s">
        <v>732</v>
      </c>
      <c r="D199" s="75" t="s">
        <v>733</v>
      </c>
      <c r="E199" s="75" t="s">
        <v>734</v>
      </c>
      <c r="F199" s="75" t="s">
        <v>735</v>
      </c>
      <c r="G199" s="34" t="s">
        <v>73</v>
      </c>
      <c r="H199" s="98" t="s">
        <v>74</v>
      </c>
      <c r="I199" s="88">
        <v>45748</v>
      </c>
      <c r="J199" s="1"/>
      <c r="K199" s="86">
        <v>2</v>
      </c>
      <c r="L199" s="87">
        <v>1</v>
      </c>
      <c r="M199" s="87">
        <v>3</v>
      </c>
      <c r="N199" s="87">
        <v>2</v>
      </c>
      <c r="O199" s="87">
        <v>1</v>
      </c>
      <c r="P199" s="87">
        <v>3</v>
      </c>
      <c r="Q199" s="87" t="s">
        <v>88</v>
      </c>
      <c r="R199" s="7">
        <f t="shared" si="9"/>
        <v>12</v>
      </c>
      <c r="S199" s="19">
        <f t="shared" si="10"/>
        <v>0.5714285714285714</v>
      </c>
      <c r="T199" s="16" t="str">
        <f t="shared" si="11"/>
        <v>Base</v>
      </c>
      <c r="U199" t="s">
        <v>719</v>
      </c>
    </row>
    <row r="200" spans="1:21" ht="30" x14ac:dyDescent="0.25">
      <c r="A200" s="76">
        <v>19802745</v>
      </c>
      <c r="B200" s="76">
        <v>6</v>
      </c>
      <c r="C200" s="11" t="s">
        <v>736</v>
      </c>
      <c r="D200" s="75" t="s">
        <v>737</v>
      </c>
      <c r="E200" s="75" t="s">
        <v>738</v>
      </c>
      <c r="F200" s="75" t="s">
        <v>739</v>
      </c>
      <c r="G200" s="34" t="s">
        <v>73</v>
      </c>
      <c r="H200" s="98" t="s">
        <v>74</v>
      </c>
      <c r="I200" s="88">
        <v>45748</v>
      </c>
      <c r="J200" s="1"/>
      <c r="K200" s="86">
        <v>2</v>
      </c>
      <c r="L200" s="87" t="s">
        <v>88</v>
      </c>
      <c r="M200" s="87">
        <v>2</v>
      </c>
      <c r="N200" s="87">
        <v>1</v>
      </c>
      <c r="O200" s="87">
        <v>1</v>
      </c>
      <c r="P200" s="87">
        <v>1</v>
      </c>
      <c r="Q200" s="87" t="s">
        <v>88</v>
      </c>
      <c r="R200" s="7">
        <f t="shared" si="9"/>
        <v>7</v>
      </c>
      <c r="S200" s="19">
        <f t="shared" si="10"/>
        <v>0.33333333333333331</v>
      </c>
      <c r="T200" s="16" t="str">
        <f t="shared" si="11"/>
        <v>Base</v>
      </c>
      <c r="U200" t="s">
        <v>719</v>
      </c>
    </row>
    <row r="201" spans="1:21" ht="30" x14ac:dyDescent="0.25">
      <c r="A201" s="76">
        <v>21525616</v>
      </c>
      <c r="B201" s="76">
        <v>2</v>
      </c>
      <c r="C201" s="11" t="s">
        <v>740</v>
      </c>
      <c r="D201" s="75" t="s">
        <v>741</v>
      </c>
      <c r="E201" s="75" t="s">
        <v>742</v>
      </c>
      <c r="F201" s="75" t="s">
        <v>743</v>
      </c>
      <c r="G201" s="34" t="s">
        <v>73</v>
      </c>
      <c r="H201" s="98" t="s">
        <v>74</v>
      </c>
      <c r="I201" s="88">
        <v>45748</v>
      </c>
      <c r="J201" s="1"/>
      <c r="K201" s="86">
        <v>2</v>
      </c>
      <c r="L201" s="87">
        <v>1</v>
      </c>
      <c r="M201" s="87">
        <v>1</v>
      </c>
      <c r="N201" s="87">
        <v>2</v>
      </c>
      <c r="O201" s="87">
        <v>1</v>
      </c>
      <c r="P201" s="87">
        <v>1</v>
      </c>
      <c r="Q201" s="87" t="s">
        <v>88</v>
      </c>
      <c r="R201" s="7">
        <f t="shared" si="9"/>
        <v>8</v>
      </c>
      <c r="S201" s="19">
        <f t="shared" si="10"/>
        <v>0.38095238095238093</v>
      </c>
      <c r="T201" s="16" t="str">
        <f t="shared" si="11"/>
        <v>Por Mejorar</v>
      </c>
      <c r="U201" t="s">
        <v>719</v>
      </c>
    </row>
    <row r="202" spans="1:21" ht="30" x14ac:dyDescent="0.25">
      <c r="A202" s="76">
        <v>20756347</v>
      </c>
      <c r="B202" s="76">
        <v>1</v>
      </c>
      <c r="C202" s="11" t="s">
        <v>744</v>
      </c>
      <c r="D202" s="75" t="s">
        <v>745</v>
      </c>
      <c r="E202" s="75" t="s">
        <v>746</v>
      </c>
      <c r="F202" s="75" t="s">
        <v>747</v>
      </c>
      <c r="G202" s="34" t="s">
        <v>73</v>
      </c>
      <c r="H202" s="98" t="s">
        <v>74</v>
      </c>
      <c r="I202" s="88">
        <v>45748</v>
      </c>
      <c r="J202" s="1"/>
      <c r="K202" s="86">
        <v>2</v>
      </c>
      <c r="L202" s="87" t="s">
        <v>88</v>
      </c>
      <c r="M202" s="87">
        <v>1</v>
      </c>
      <c r="N202" s="87">
        <v>1</v>
      </c>
      <c r="O202" s="87">
        <v>2</v>
      </c>
      <c r="P202" s="87" t="s">
        <v>88</v>
      </c>
      <c r="Q202" s="87" t="s">
        <v>88</v>
      </c>
      <c r="R202" s="7">
        <f t="shared" si="9"/>
        <v>6</v>
      </c>
      <c r="S202" s="19">
        <f t="shared" si="10"/>
        <v>0.2857142857142857</v>
      </c>
      <c r="T202" s="16" t="str">
        <f t="shared" si="11"/>
        <v>Por Mejorar</v>
      </c>
      <c r="U202" t="s">
        <v>719</v>
      </c>
    </row>
    <row r="203" spans="1:21" ht="30" x14ac:dyDescent="0.25">
      <c r="A203" s="76">
        <v>20713858</v>
      </c>
      <c r="B203" s="76">
        <v>4</v>
      </c>
      <c r="C203" s="11" t="s">
        <v>748</v>
      </c>
      <c r="D203" s="75" t="s">
        <v>749</v>
      </c>
      <c r="E203" s="75" t="s">
        <v>750</v>
      </c>
      <c r="F203" s="75" t="s">
        <v>751</v>
      </c>
      <c r="G203" s="34" t="s">
        <v>73</v>
      </c>
      <c r="H203" s="98" t="s">
        <v>74</v>
      </c>
      <c r="I203" s="88">
        <v>45748</v>
      </c>
      <c r="J203" s="1"/>
      <c r="K203" s="86">
        <v>1</v>
      </c>
      <c r="L203" s="87">
        <v>0</v>
      </c>
      <c r="M203" s="87">
        <v>0</v>
      </c>
      <c r="N203" s="87">
        <v>2</v>
      </c>
      <c r="O203" s="87">
        <v>1</v>
      </c>
      <c r="P203" s="87">
        <v>3</v>
      </c>
      <c r="Q203" s="87" t="s">
        <v>88</v>
      </c>
      <c r="R203" s="7">
        <f t="shared" si="9"/>
        <v>7</v>
      </c>
      <c r="S203" s="19">
        <f t="shared" si="10"/>
        <v>0.33333333333333331</v>
      </c>
      <c r="T203" s="16" t="str">
        <f t="shared" si="11"/>
        <v>Por Mejorar</v>
      </c>
      <c r="U203" t="s">
        <v>719</v>
      </c>
    </row>
    <row r="204" spans="1:21" ht="30" x14ac:dyDescent="0.25">
      <c r="A204" s="76">
        <v>21437106</v>
      </c>
      <c r="B204" s="76">
        <v>5</v>
      </c>
      <c r="C204" s="11" t="s">
        <v>752</v>
      </c>
      <c r="D204" s="75" t="s">
        <v>753</v>
      </c>
      <c r="E204" s="75" t="s">
        <v>754</v>
      </c>
      <c r="F204" s="75" t="s">
        <v>755</v>
      </c>
      <c r="G204" s="34" t="s">
        <v>73</v>
      </c>
      <c r="H204" s="98" t="s">
        <v>74</v>
      </c>
      <c r="I204" s="88">
        <v>45748</v>
      </c>
      <c r="J204" s="1"/>
      <c r="K204" s="86">
        <v>2</v>
      </c>
      <c r="L204" s="87">
        <v>2</v>
      </c>
      <c r="M204" s="87">
        <v>3</v>
      </c>
      <c r="N204" s="87">
        <v>1</v>
      </c>
      <c r="O204" s="87">
        <v>1</v>
      </c>
      <c r="P204" s="87">
        <v>3</v>
      </c>
      <c r="Q204" s="87" t="s">
        <v>88</v>
      </c>
      <c r="R204" s="7">
        <f t="shared" si="9"/>
        <v>12</v>
      </c>
      <c r="S204" s="19">
        <f t="shared" si="10"/>
        <v>0.5714285714285714</v>
      </c>
      <c r="T204" s="16" t="str">
        <f t="shared" si="11"/>
        <v>Por Mejorar</v>
      </c>
      <c r="U204" t="s">
        <v>719</v>
      </c>
    </row>
    <row r="205" spans="1:21" ht="30" x14ac:dyDescent="0.25">
      <c r="A205" s="76">
        <v>21187153</v>
      </c>
      <c r="B205" s="76">
        <v>9</v>
      </c>
      <c r="C205" s="11" t="s">
        <v>756</v>
      </c>
      <c r="D205" s="75" t="s">
        <v>753</v>
      </c>
      <c r="E205" s="75" t="s">
        <v>757</v>
      </c>
      <c r="F205" s="75" t="s">
        <v>758</v>
      </c>
      <c r="G205" s="34" t="s">
        <v>73</v>
      </c>
      <c r="H205" s="98" t="s">
        <v>74</v>
      </c>
      <c r="I205" s="88">
        <v>45748</v>
      </c>
      <c r="J205" s="1"/>
      <c r="K205" s="86">
        <v>2</v>
      </c>
      <c r="L205" s="87">
        <v>3</v>
      </c>
      <c r="M205" s="87">
        <v>1</v>
      </c>
      <c r="N205" s="87">
        <v>3</v>
      </c>
      <c r="O205" s="87">
        <v>2</v>
      </c>
      <c r="P205" s="87">
        <v>2</v>
      </c>
      <c r="Q205" s="87" t="s">
        <v>88</v>
      </c>
      <c r="R205" s="7">
        <f t="shared" si="9"/>
        <v>13</v>
      </c>
      <c r="S205" s="19">
        <f t="shared" si="10"/>
        <v>0.61904761904761907</v>
      </c>
      <c r="T205" s="16" t="str">
        <f t="shared" si="11"/>
        <v>Base</v>
      </c>
      <c r="U205" t="s">
        <v>719</v>
      </c>
    </row>
    <row r="206" spans="1:21" ht="30" x14ac:dyDescent="0.25">
      <c r="A206" s="76">
        <v>21158430</v>
      </c>
      <c r="B206" s="76">
        <v>0</v>
      </c>
      <c r="C206" s="11" t="s">
        <v>759</v>
      </c>
      <c r="D206" s="75" t="s">
        <v>760</v>
      </c>
      <c r="E206" s="75" t="s">
        <v>761</v>
      </c>
      <c r="F206" s="75" t="s">
        <v>762</v>
      </c>
      <c r="G206" s="34" t="s">
        <v>73</v>
      </c>
      <c r="H206" s="98" t="s">
        <v>74</v>
      </c>
      <c r="I206" s="88">
        <v>45748</v>
      </c>
      <c r="J206" s="1"/>
      <c r="K206" s="86">
        <v>2</v>
      </c>
      <c r="L206" s="87">
        <v>2</v>
      </c>
      <c r="M206" s="87">
        <v>1</v>
      </c>
      <c r="N206" s="87">
        <v>2</v>
      </c>
      <c r="O206" s="87">
        <v>2</v>
      </c>
      <c r="P206" s="87">
        <v>1</v>
      </c>
      <c r="Q206" s="87">
        <v>2</v>
      </c>
      <c r="R206" s="7">
        <f t="shared" si="9"/>
        <v>12</v>
      </c>
      <c r="S206" s="19">
        <f t="shared" si="10"/>
        <v>0.5714285714285714</v>
      </c>
      <c r="T206" s="16" t="str">
        <f t="shared" si="11"/>
        <v>Base</v>
      </c>
      <c r="U206" t="s">
        <v>719</v>
      </c>
    </row>
    <row r="207" spans="1:21" ht="30" x14ac:dyDescent="0.25">
      <c r="A207" s="76">
        <v>21529085</v>
      </c>
      <c r="B207" s="76">
        <v>9</v>
      </c>
      <c r="C207" s="11" t="s">
        <v>763</v>
      </c>
      <c r="D207" s="75" t="s">
        <v>764</v>
      </c>
      <c r="E207" s="75" t="s">
        <v>765</v>
      </c>
      <c r="F207" s="75" t="s">
        <v>766</v>
      </c>
      <c r="G207" s="34" t="s">
        <v>73</v>
      </c>
      <c r="H207" s="98" t="s">
        <v>74</v>
      </c>
      <c r="I207" s="88">
        <v>45748</v>
      </c>
      <c r="J207" s="1"/>
      <c r="K207" s="86">
        <v>2</v>
      </c>
      <c r="L207" s="87">
        <v>1</v>
      </c>
      <c r="M207" s="87">
        <v>2</v>
      </c>
      <c r="N207" s="87">
        <v>2</v>
      </c>
      <c r="O207" s="87">
        <v>1</v>
      </c>
      <c r="P207" s="87">
        <v>3</v>
      </c>
      <c r="Q207" s="87">
        <v>1</v>
      </c>
      <c r="R207" s="7">
        <f t="shared" si="9"/>
        <v>12</v>
      </c>
      <c r="S207" s="19">
        <f t="shared" si="10"/>
        <v>0.5714285714285714</v>
      </c>
      <c r="T207" s="16" t="str">
        <f t="shared" si="11"/>
        <v>Base</v>
      </c>
      <c r="U207" t="s">
        <v>719</v>
      </c>
    </row>
    <row r="208" spans="1:21" ht="30" x14ac:dyDescent="0.25">
      <c r="A208" s="76">
        <v>20904005</v>
      </c>
      <c r="B208" s="76">
        <v>0</v>
      </c>
      <c r="C208" s="11" t="s">
        <v>767</v>
      </c>
      <c r="D208" s="75" t="s">
        <v>137</v>
      </c>
      <c r="E208" s="75" t="s">
        <v>768</v>
      </c>
      <c r="F208" s="75" t="s">
        <v>769</v>
      </c>
      <c r="G208" s="34" t="s">
        <v>73</v>
      </c>
      <c r="H208" s="98" t="s">
        <v>74</v>
      </c>
      <c r="I208" s="88">
        <v>45748</v>
      </c>
      <c r="J208" s="1"/>
      <c r="K208" s="86">
        <v>2</v>
      </c>
      <c r="L208" s="87">
        <v>2</v>
      </c>
      <c r="M208" s="87">
        <v>2</v>
      </c>
      <c r="N208" s="87">
        <v>1</v>
      </c>
      <c r="O208" s="87">
        <v>3</v>
      </c>
      <c r="P208" s="87">
        <v>3</v>
      </c>
      <c r="Q208" s="87">
        <v>2</v>
      </c>
      <c r="R208" s="7">
        <f t="shared" si="9"/>
        <v>15</v>
      </c>
      <c r="S208" s="19">
        <f t="shared" si="10"/>
        <v>0.7142857142857143</v>
      </c>
      <c r="T208" s="16" t="str">
        <f t="shared" si="11"/>
        <v>Satisfactorio</v>
      </c>
      <c r="U208" t="s">
        <v>719</v>
      </c>
    </row>
    <row r="209" spans="1:21" ht="30" x14ac:dyDescent="0.25">
      <c r="A209" s="76">
        <v>20943211</v>
      </c>
      <c r="B209" s="76">
        <v>0</v>
      </c>
      <c r="C209" s="11" t="s">
        <v>770</v>
      </c>
      <c r="D209" s="75" t="s">
        <v>771</v>
      </c>
      <c r="E209" s="75" t="s">
        <v>772</v>
      </c>
      <c r="F209" s="75" t="s">
        <v>773</v>
      </c>
      <c r="G209" s="34" t="s">
        <v>73</v>
      </c>
      <c r="H209" s="98" t="s">
        <v>74</v>
      </c>
      <c r="I209" s="88">
        <v>45748</v>
      </c>
      <c r="J209" s="1"/>
      <c r="K209" s="86">
        <v>2</v>
      </c>
      <c r="L209" s="87" t="s">
        <v>88</v>
      </c>
      <c r="M209" s="87">
        <v>2</v>
      </c>
      <c r="N209" s="87">
        <v>1</v>
      </c>
      <c r="O209" s="87">
        <v>1</v>
      </c>
      <c r="P209" s="87">
        <v>3</v>
      </c>
      <c r="Q209" s="87">
        <v>0</v>
      </c>
      <c r="R209" s="7">
        <f t="shared" si="9"/>
        <v>9</v>
      </c>
      <c r="S209" s="19">
        <f t="shared" si="10"/>
        <v>0.42857142857142855</v>
      </c>
      <c r="T209" s="16" t="str">
        <f t="shared" si="11"/>
        <v>Base</v>
      </c>
      <c r="U209" t="s">
        <v>719</v>
      </c>
    </row>
    <row r="210" spans="1:21" ht="30" x14ac:dyDescent="0.25">
      <c r="A210" s="76">
        <v>21303196</v>
      </c>
      <c r="B210" s="76">
        <v>1</v>
      </c>
      <c r="C210" s="11" t="s">
        <v>774</v>
      </c>
      <c r="D210" s="75" t="s">
        <v>364</v>
      </c>
      <c r="E210" s="75" t="s">
        <v>192</v>
      </c>
      <c r="F210" s="75" t="s">
        <v>775</v>
      </c>
      <c r="G210" s="34" t="s">
        <v>73</v>
      </c>
      <c r="H210" s="98" t="s">
        <v>74</v>
      </c>
      <c r="I210" s="88">
        <v>45748</v>
      </c>
      <c r="J210" s="1"/>
      <c r="K210" s="86">
        <v>3</v>
      </c>
      <c r="L210" s="87" t="s">
        <v>88</v>
      </c>
      <c r="M210" s="87">
        <v>3</v>
      </c>
      <c r="N210" s="87">
        <v>2</v>
      </c>
      <c r="O210" s="87">
        <v>2</v>
      </c>
      <c r="P210" s="87">
        <v>3</v>
      </c>
      <c r="Q210" s="87">
        <v>2</v>
      </c>
      <c r="R210" s="7">
        <f t="shared" si="9"/>
        <v>15</v>
      </c>
      <c r="S210" s="19">
        <f t="shared" si="10"/>
        <v>0.7142857142857143</v>
      </c>
      <c r="T210" s="16" t="str">
        <f t="shared" si="11"/>
        <v>Por Mejorar</v>
      </c>
      <c r="U210" t="s">
        <v>719</v>
      </c>
    </row>
    <row r="211" spans="1:21" ht="30" x14ac:dyDescent="0.25">
      <c r="A211" s="76">
        <v>21503212</v>
      </c>
      <c r="B211" s="76">
        <v>4</v>
      </c>
      <c r="C211" s="11" t="s">
        <v>776</v>
      </c>
      <c r="D211" s="75" t="s">
        <v>777</v>
      </c>
      <c r="E211" s="75" t="s">
        <v>778</v>
      </c>
      <c r="F211" s="75" t="s">
        <v>779</v>
      </c>
      <c r="G211" s="34" t="s">
        <v>73</v>
      </c>
      <c r="H211" s="98" t="s">
        <v>74</v>
      </c>
      <c r="I211" s="88">
        <v>45748</v>
      </c>
      <c r="J211" s="1"/>
      <c r="K211" s="86">
        <v>3</v>
      </c>
      <c r="L211" s="87" t="s">
        <v>88</v>
      </c>
      <c r="M211" s="87">
        <v>1</v>
      </c>
      <c r="N211" s="87">
        <v>1</v>
      </c>
      <c r="O211" s="87">
        <v>0</v>
      </c>
      <c r="P211" s="87">
        <v>3</v>
      </c>
      <c r="Q211" s="87">
        <v>2</v>
      </c>
      <c r="R211" s="7">
        <f t="shared" si="9"/>
        <v>10</v>
      </c>
      <c r="S211" s="19">
        <f t="shared" si="10"/>
        <v>0.47619047619047616</v>
      </c>
      <c r="T211" s="16" t="str">
        <f t="shared" si="11"/>
        <v>Base</v>
      </c>
      <c r="U211" t="s">
        <v>719</v>
      </c>
    </row>
    <row r="212" spans="1:21" ht="30" x14ac:dyDescent="0.25">
      <c r="A212" s="76">
        <v>21233589</v>
      </c>
      <c r="B212" s="76">
        <v>4</v>
      </c>
      <c r="C212" s="11" t="s">
        <v>780</v>
      </c>
      <c r="D212" s="75" t="s">
        <v>734</v>
      </c>
      <c r="E212" s="75" t="s">
        <v>781</v>
      </c>
      <c r="F212" s="75" t="s">
        <v>782</v>
      </c>
      <c r="G212" s="34" t="s">
        <v>73</v>
      </c>
      <c r="H212" s="98" t="s">
        <v>74</v>
      </c>
      <c r="I212" s="88">
        <v>45748</v>
      </c>
      <c r="J212" s="1"/>
      <c r="K212" s="86">
        <v>2</v>
      </c>
      <c r="L212" s="87">
        <v>0</v>
      </c>
      <c r="M212" s="87">
        <v>1</v>
      </c>
      <c r="N212" s="87">
        <v>1</v>
      </c>
      <c r="O212" s="87">
        <v>3</v>
      </c>
      <c r="P212" s="87">
        <v>3</v>
      </c>
      <c r="Q212" s="87" t="s">
        <v>88</v>
      </c>
      <c r="R212" s="7">
        <f t="shared" si="9"/>
        <v>10</v>
      </c>
      <c r="S212" s="19">
        <f t="shared" si="10"/>
        <v>0.47619047619047616</v>
      </c>
      <c r="T212" s="16" t="str">
        <f t="shared" si="11"/>
        <v>Por Mejorar</v>
      </c>
      <c r="U212" t="s">
        <v>719</v>
      </c>
    </row>
    <row r="213" spans="1:21" ht="30" x14ac:dyDescent="0.25">
      <c r="A213" s="76">
        <v>20859148</v>
      </c>
      <c r="B213" s="76">
        <v>7</v>
      </c>
      <c r="C213" s="11" t="s">
        <v>783</v>
      </c>
      <c r="D213" s="75" t="s">
        <v>784</v>
      </c>
      <c r="E213" s="75" t="s">
        <v>785</v>
      </c>
      <c r="F213" s="75" t="s">
        <v>786</v>
      </c>
      <c r="G213" s="34" t="s">
        <v>73</v>
      </c>
      <c r="H213" s="98" t="s">
        <v>74</v>
      </c>
      <c r="I213" s="88">
        <v>45748</v>
      </c>
      <c r="J213" s="1"/>
      <c r="K213" s="86">
        <v>2</v>
      </c>
      <c r="L213" s="87" t="s">
        <v>88</v>
      </c>
      <c r="M213" s="87">
        <v>1</v>
      </c>
      <c r="N213" s="87">
        <v>0</v>
      </c>
      <c r="O213" s="87">
        <v>0</v>
      </c>
      <c r="P213" s="87">
        <v>3</v>
      </c>
      <c r="Q213" s="87">
        <v>2</v>
      </c>
      <c r="R213" s="7">
        <f t="shared" si="9"/>
        <v>8</v>
      </c>
      <c r="S213" s="19">
        <f t="shared" si="10"/>
        <v>0.38095238095238093</v>
      </c>
      <c r="T213" s="16" t="str">
        <f t="shared" si="11"/>
        <v>Por Mejorar</v>
      </c>
      <c r="U213" t="s">
        <v>719</v>
      </c>
    </row>
    <row r="214" spans="1:21" ht="30" x14ac:dyDescent="0.25">
      <c r="A214" s="76">
        <v>21152528</v>
      </c>
      <c r="B214" s="76">
        <v>2</v>
      </c>
      <c r="C214" s="11" t="s">
        <v>787</v>
      </c>
      <c r="D214" s="75" t="s">
        <v>788</v>
      </c>
      <c r="E214" s="75" t="s">
        <v>789</v>
      </c>
      <c r="F214" s="75" t="s">
        <v>790</v>
      </c>
      <c r="G214" s="34" t="s">
        <v>73</v>
      </c>
      <c r="H214" s="98" t="s">
        <v>74</v>
      </c>
      <c r="I214" s="88">
        <v>45748</v>
      </c>
      <c r="J214" s="1"/>
      <c r="K214" s="86">
        <v>2</v>
      </c>
      <c r="L214" s="87">
        <v>2</v>
      </c>
      <c r="M214" s="87">
        <v>2</v>
      </c>
      <c r="N214" s="87">
        <v>1</v>
      </c>
      <c r="O214" s="87">
        <v>0</v>
      </c>
      <c r="P214" s="87">
        <v>2</v>
      </c>
      <c r="Q214" s="87" t="s">
        <v>88</v>
      </c>
      <c r="R214" s="7">
        <f t="shared" si="9"/>
        <v>9</v>
      </c>
      <c r="S214" s="19">
        <f t="shared" si="10"/>
        <v>0.42857142857142855</v>
      </c>
      <c r="T214" s="16" t="str">
        <f t="shared" si="11"/>
        <v>Por Mejorar</v>
      </c>
      <c r="U214" t="s">
        <v>719</v>
      </c>
    </row>
    <row r="215" spans="1:21" ht="30" x14ac:dyDescent="0.25">
      <c r="A215" s="76">
        <v>21304229</v>
      </c>
      <c r="B215" s="76">
        <v>7</v>
      </c>
      <c r="C215" s="11" t="s">
        <v>791</v>
      </c>
      <c r="D215" s="75" t="s">
        <v>792</v>
      </c>
      <c r="E215" s="75" t="s">
        <v>793</v>
      </c>
      <c r="F215" s="75" t="s">
        <v>794</v>
      </c>
      <c r="G215" s="34" t="s">
        <v>73</v>
      </c>
      <c r="H215" s="98" t="s">
        <v>74</v>
      </c>
      <c r="I215" s="88">
        <v>45748</v>
      </c>
      <c r="J215" s="1"/>
      <c r="K215" s="86">
        <v>3</v>
      </c>
      <c r="L215" s="87">
        <v>1</v>
      </c>
      <c r="M215" s="87">
        <v>1</v>
      </c>
      <c r="N215" s="87">
        <v>1</v>
      </c>
      <c r="O215" s="87">
        <v>1</v>
      </c>
      <c r="P215" s="87">
        <v>3</v>
      </c>
      <c r="Q215" s="87">
        <v>2</v>
      </c>
      <c r="R215" s="7">
        <f t="shared" si="9"/>
        <v>12</v>
      </c>
      <c r="S215" s="19">
        <f t="shared" si="10"/>
        <v>0.5714285714285714</v>
      </c>
      <c r="T215" s="16" t="str">
        <f t="shared" si="11"/>
        <v>Por Mejorar</v>
      </c>
      <c r="U215" t="s">
        <v>719</v>
      </c>
    </row>
    <row r="216" spans="1:21" x14ac:dyDescent="0.25">
      <c r="R216" s="83"/>
      <c r="S216" s="19"/>
    </row>
  </sheetData>
  <autoFilter ref="A4:BA215" xr:uid="{DE9F2B4C-EC85-4CB8-B705-3F4642D8D0B0}"/>
  <mergeCells count="19">
    <mergeCell ref="P1:Q2"/>
    <mergeCell ref="Q3:Q4"/>
    <mergeCell ref="P3:P4"/>
    <mergeCell ref="H3:H4"/>
    <mergeCell ref="I3:I4"/>
    <mergeCell ref="J3:J4"/>
    <mergeCell ref="R1:T2"/>
    <mergeCell ref="A1:J2"/>
    <mergeCell ref="K1:L2"/>
    <mergeCell ref="G3:G4"/>
    <mergeCell ref="A3:A4"/>
    <mergeCell ref="B3:B4"/>
    <mergeCell ref="D3:D4"/>
    <mergeCell ref="E3:E4"/>
    <mergeCell ref="F3:F4"/>
    <mergeCell ref="K3:K4"/>
    <mergeCell ref="L3:L4"/>
    <mergeCell ref="M1:O2"/>
    <mergeCell ref="M3:O3"/>
  </mergeCells>
  <dataValidations count="2">
    <dataValidation type="list" allowBlank="1" showInputMessage="1" showErrorMessage="1" sqref="P192:Q192" xr:uid="{C80E4FF3-F04B-424A-9E02-87A32A990A2A}">
      <formula1>#REF!</formula1>
    </dataValidation>
    <dataValidation allowBlank="1" showInputMessage="1" showErrorMessage="1" sqref="P6:Q6 P10:Q10 P14:Q14 P19:Q20 P26:Q28 P32:Q32 P35:Q35 P37:Q37 P40:Q40 P44:Q44 P48:Q52 P69:Q69 P73:Q74 P77:Q77 P80:Q80 P87:Q87 P97:Q97 P101:Q101 P114:Q114 P120:Q120 P124:Q124 P133:Q133 P135:Q135 P140:Q141 P153:Q153" xr:uid="{034DB321-1DC2-4A44-8D99-8ED9A9B77D64}"/>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B08C9553-5C4B-49BC-8885-1B722F6B3697}">
          <x14:formula1>
            <xm:f>'VALIDACIÓN DE DATOS NO BORRAR'!$E$4:$E$9</xm:f>
          </x14:formula1>
          <xm:sqref>G216:G257</xm:sqref>
        </x14:dataValidation>
        <x14:dataValidation type="list" allowBlank="1" showInputMessage="1" showErrorMessage="1" xr:uid="{D76CBBE2-E2A2-44DF-8C09-12C62E5093C5}">
          <x14:formula1>
            <xm:f>'VALIDACIÓN DE DATOS NO BORRAR'!$F$4:$F$7</xm:f>
          </x14:formula1>
          <xm:sqref>H216:H250</xm:sqref>
        </x14:dataValidation>
        <x14:dataValidation type="list" allowBlank="1" showInputMessage="1" showErrorMessage="1" xr:uid="{2FD649B9-C9B3-428A-9C45-902F43BBD60D}">
          <x14:formula1>
            <xm:f>'VALIDACIÓN DE DATOS NO BORRAR'!$H$4:$H$7</xm:f>
          </x14:formula1>
          <xm:sqref>N6:O6 N10:O10 N14:O14 N19:O20 N26:O28 N32:O32 N35:O35 N37:O37 N40:O40 N44:O44 N48:O52 N69:O69 N73:O74 N77:O77 N80:O80 N87:O87 N97:O97 N101:O101 N114:O114 N120:O120 N124:O124 N133:O133 N135:O135 N140:O141 N153:O153 K192:O192 K216:O272</xm:sqref>
        </x14:dataValidation>
        <x14:dataValidation type="list" allowBlank="1" showInputMessage="1" showErrorMessage="1" xr:uid="{69DDF036-7E73-4F5B-B548-699C5DC48646}">
          <x14:formula1>
            <xm:f>'VALIDACIÓN DE DATOS NO BORRAR'!$G$4:$G$6</xm:f>
          </x14:formula1>
          <xm:sqref>J159:J257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CEB5-745A-4955-8848-9B9DBFD6048A}">
  <dimension ref="A1:M3"/>
  <sheetViews>
    <sheetView topLeftCell="C2" workbookViewId="0">
      <selection activeCell="F12" sqref="F12"/>
    </sheetView>
  </sheetViews>
  <sheetFormatPr baseColWidth="10" defaultColWidth="9.140625" defaultRowHeight="15" x14ac:dyDescent="0.25"/>
  <cols>
    <col min="1" max="1" width="24" customWidth="1"/>
    <col min="2" max="2" width="29.28515625" bestFit="1" customWidth="1"/>
    <col min="3" max="3" width="13.7109375" bestFit="1" customWidth="1"/>
    <col min="4" max="4" width="28.140625" customWidth="1"/>
    <col min="5" max="5" width="24.28515625" customWidth="1"/>
    <col min="6" max="6" width="20.28515625" customWidth="1"/>
    <col min="7" max="7" width="22.85546875" customWidth="1"/>
    <col min="8" max="8" width="22.28515625" customWidth="1"/>
    <col min="9" max="9" width="19.42578125" customWidth="1"/>
    <col min="10" max="10" width="18.140625" customWidth="1"/>
    <col min="11" max="11" width="44.28515625" customWidth="1"/>
    <col min="12" max="12" width="43.140625" customWidth="1"/>
    <col min="13" max="13" width="54.28515625" customWidth="1"/>
  </cols>
  <sheetData>
    <row r="1" spans="1:13" ht="50.25" customHeight="1" x14ac:dyDescent="0.25">
      <c r="A1" s="183" t="s">
        <v>795</v>
      </c>
      <c r="B1" s="184"/>
      <c r="C1" s="185"/>
      <c r="D1" s="159" t="s">
        <v>57</v>
      </c>
      <c r="E1" s="161" t="s">
        <v>58</v>
      </c>
      <c r="F1" s="167" t="s">
        <v>59</v>
      </c>
      <c r="G1" s="168"/>
      <c r="H1" s="168"/>
      <c r="I1" s="175" t="s">
        <v>60</v>
      </c>
      <c r="J1" s="177" t="s">
        <v>61</v>
      </c>
      <c r="K1" s="179" t="s">
        <v>796</v>
      </c>
      <c r="L1" s="180" t="s">
        <v>63</v>
      </c>
      <c r="M1" s="181" t="s">
        <v>797</v>
      </c>
    </row>
    <row r="2" spans="1:13" ht="147.75" customHeight="1" x14ac:dyDescent="0.25">
      <c r="A2" s="47" t="s">
        <v>798</v>
      </c>
      <c r="B2" s="48" t="s">
        <v>799</v>
      </c>
      <c r="C2" s="49" t="s">
        <v>800</v>
      </c>
      <c r="D2" s="186"/>
      <c r="E2" s="187"/>
      <c r="F2" s="50" t="s">
        <v>65</v>
      </c>
      <c r="G2" s="50" t="s">
        <v>66</v>
      </c>
      <c r="H2" s="51" t="s">
        <v>67</v>
      </c>
      <c r="I2" s="188"/>
      <c r="J2" s="178"/>
      <c r="K2" s="179"/>
      <c r="L2" s="180"/>
      <c r="M2" s="182"/>
    </row>
    <row r="3" spans="1:13" x14ac:dyDescent="0.25">
      <c r="A3" s="1">
        <v>174</v>
      </c>
      <c r="B3" s="1">
        <v>174</v>
      </c>
      <c r="C3" s="91">
        <v>1</v>
      </c>
      <c r="D3" s="1">
        <v>2</v>
      </c>
      <c r="E3" s="1">
        <v>1.4</v>
      </c>
      <c r="F3" s="1">
        <v>1.4</v>
      </c>
      <c r="G3" s="1">
        <v>1.3</v>
      </c>
      <c r="H3" s="1">
        <v>1.1000000000000001</v>
      </c>
      <c r="I3" s="1">
        <v>2.5</v>
      </c>
      <c r="J3" s="1">
        <v>1.6</v>
      </c>
      <c r="K3" s="1"/>
      <c r="L3" s="1"/>
      <c r="M3" s="1"/>
    </row>
  </sheetData>
  <mergeCells count="9">
    <mergeCell ref="J1:J2"/>
    <mergeCell ref="K1:K2"/>
    <mergeCell ref="L1:L2"/>
    <mergeCell ref="M1:M2"/>
    <mergeCell ref="A1:C1"/>
    <mergeCell ref="D1:D2"/>
    <mergeCell ref="E1:E2"/>
    <mergeCell ref="F1:H1"/>
    <mergeCell ref="I1: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8CABC-7632-462D-AC0A-074FDB6B3416}">
  <dimension ref="A1:H17"/>
  <sheetViews>
    <sheetView workbookViewId="0">
      <selection activeCell="E7" sqref="E7"/>
    </sheetView>
  </sheetViews>
  <sheetFormatPr baseColWidth="10" defaultColWidth="9.140625" defaultRowHeight="15" x14ac:dyDescent="0.25"/>
  <cols>
    <col min="5" max="5" width="36.5703125" bestFit="1" customWidth="1"/>
    <col min="6" max="6" width="16.5703125" customWidth="1"/>
    <col min="7" max="7" width="22" customWidth="1"/>
    <col min="8" max="8" width="34.5703125" customWidth="1"/>
  </cols>
  <sheetData>
    <row r="1" spans="1:8" x14ac:dyDescent="0.25">
      <c r="A1" s="20"/>
      <c r="B1" s="20"/>
      <c r="C1" s="20"/>
      <c r="D1" s="20"/>
      <c r="E1" s="25"/>
      <c r="F1" s="20"/>
      <c r="G1" s="20"/>
      <c r="H1" s="52" t="s">
        <v>42</v>
      </c>
    </row>
    <row r="2" spans="1:8" x14ac:dyDescent="0.25">
      <c r="A2" s="20"/>
      <c r="B2" s="20"/>
      <c r="C2" s="20"/>
      <c r="D2" s="20"/>
      <c r="E2" s="25"/>
      <c r="F2" s="20"/>
      <c r="G2" s="20"/>
      <c r="H2" s="53" t="s">
        <v>42</v>
      </c>
    </row>
    <row r="3" spans="1:8" ht="27" x14ac:dyDescent="0.25">
      <c r="A3" s="20"/>
      <c r="B3" s="20"/>
      <c r="C3" s="20"/>
      <c r="D3" s="20"/>
      <c r="E3" s="60" t="s">
        <v>801</v>
      </c>
      <c r="F3" s="54" t="s">
        <v>54</v>
      </c>
      <c r="G3" s="54" t="s">
        <v>802</v>
      </c>
      <c r="H3" s="55" t="s">
        <v>803</v>
      </c>
    </row>
    <row r="4" spans="1:8" ht="30" x14ac:dyDescent="0.25">
      <c r="A4" s="20"/>
      <c r="B4" s="20"/>
      <c r="C4" s="20"/>
      <c r="D4" s="20"/>
      <c r="E4" s="34" t="s">
        <v>73</v>
      </c>
      <c r="F4" s="56" t="s">
        <v>804</v>
      </c>
      <c r="G4" s="57" t="s">
        <v>805</v>
      </c>
      <c r="H4" s="57">
        <v>0</v>
      </c>
    </row>
    <row r="5" spans="1:8" ht="30" x14ac:dyDescent="0.25">
      <c r="A5" s="20"/>
      <c r="B5" s="20"/>
      <c r="C5" s="20"/>
      <c r="D5" s="20"/>
      <c r="E5" s="34" t="s">
        <v>101</v>
      </c>
      <c r="F5" s="58" t="s">
        <v>82</v>
      </c>
      <c r="G5" s="59" t="s">
        <v>806</v>
      </c>
      <c r="H5" s="59">
        <v>1</v>
      </c>
    </row>
    <row r="6" spans="1:8" ht="30" x14ac:dyDescent="0.25">
      <c r="A6" s="20"/>
      <c r="B6" s="20"/>
      <c r="C6" s="20"/>
      <c r="D6" s="20"/>
      <c r="E6" s="34" t="s">
        <v>807</v>
      </c>
      <c r="F6" s="58" t="s">
        <v>808</v>
      </c>
      <c r="G6" s="59" t="s">
        <v>809</v>
      </c>
      <c r="H6" s="59">
        <v>2</v>
      </c>
    </row>
    <row r="7" spans="1:8" ht="30" x14ac:dyDescent="0.25">
      <c r="A7" s="20"/>
      <c r="B7" s="20"/>
      <c r="C7" s="20"/>
      <c r="D7" s="20"/>
      <c r="E7" s="34" t="s">
        <v>118</v>
      </c>
      <c r="F7" s="59" t="s">
        <v>809</v>
      </c>
      <c r="G7" s="59" t="s">
        <v>42</v>
      </c>
      <c r="H7" s="59">
        <v>3</v>
      </c>
    </row>
    <row r="8" spans="1:8" x14ac:dyDescent="0.25">
      <c r="A8" s="20"/>
      <c r="B8" s="20"/>
      <c r="C8" s="20"/>
      <c r="D8" s="20"/>
      <c r="E8" s="34" t="s">
        <v>810</v>
      </c>
      <c r="F8" s="59" t="s">
        <v>42</v>
      </c>
      <c r="G8" s="59" t="s">
        <v>42</v>
      </c>
      <c r="H8" s="59"/>
    </row>
    <row r="9" spans="1:8" x14ac:dyDescent="0.25">
      <c r="A9" s="20"/>
      <c r="B9" s="20"/>
      <c r="C9" s="20"/>
      <c r="D9" s="20"/>
      <c r="E9" s="34" t="s">
        <v>236</v>
      </c>
      <c r="F9" s="59" t="s">
        <v>42</v>
      </c>
      <c r="G9" s="59" t="s">
        <v>42</v>
      </c>
      <c r="H9" s="59" t="s">
        <v>42</v>
      </c>
    </row>
    <row r="10" spans="1:8" x14ac:dyDescent="0.25">
      <c r="A10" s="20"/>
      <c r="B10" s="20"/>
      <c r="C10" s="20"/>
      <c r="D10" s="20"/>
      <c r="E10" s="34" t="s">
        <v>42</v>
      </c>
      <c r="F10" s="59" t="s">
        <v>42</v>
      </c>
      <c r="G10" s="59" t="s">
        <v>42</v>
      </c>
      <c r="H10" s="59" t="s">
        <v>42</v>
      </c>
    </row>
    <row r="11" spans="1:8" x14ac:dyDescent="0.25">
      <c r="A11" s="20"/>
      <c r="B11" s="20"/>
      <c r="C11" s="20"/>
      <c r="D11" s="20"/>
      <c r="E11" s="34" t="s">
        <v>42</v>
      </c>
      <c r="F11" s="59" t="s">
        <v>42</v>
      </c>
      <c r="G11" s="59" t="s">
        <v>42</v>
      </c>
      <c r="H11" s="59" t="s">
        <v>42</v>
      </c>
    </row>
    <row r="12" spans="1:8" x14ac:dyDescent="0.25">
      <c r="A12" s="20"/>
      <c r="B12" s="20"/>
      <c r="C12" s="20"/>
      <c r="D12" s="20"/>
      <c r="E12" s="34" t="s">
        <v>42</v>
      </c>
      <c r="F12" s="59" t="s">
        <v>42</v>
      </c>
      <c r="G12" s="59" t="s">
        <v>42</v>
      </c>
      <c r="H12" s="59" t="s">
        <v>42</v>
      </c>
    </row>
    <row r="13" spans="1:8" x14ac:dyDescent="0.25">
      <c r="A13" s="20"/>
      <c r="B13" s="20"/>
      <c r="C13" s="20"/>
      <c r="D13" s="20"/>
      <c r="E13" s="34" t="s">
        <v>42</v>
      </c>
      <c r="F13" s="59" t="s">
        <v>42</v>
      </c>
      <c r="G13" s="59" t="s">
        <v>42</v>
      </c>
      <c r="H13" s="59" t="s">
        <v>42</v>
      </c>
    </row>
    <row r="14" spans="1:8" x14ac:dyDescent="0.25">
      <c r="A14" s="20"/>
      <c r="B14" s="20"/>
      <c r="C14" s="20"/>
      <c r="D14" s="20"/>
      <c r="E14" s="34" t="s">
        <v>42</v>
      </c>
      <c r="F14" s="59" t="s">
        <v>42</v>
      </c>
      <c r="G14" s="59" t="s">
        <v>42</v>
      </c>
      <c r="H14" s="59" t="s">
        <v>42</v>
      </c>
    </row>
    <row r="15" spans="1:8" x14ac:dyDescent="0.25">
      <c r="A15" s="20"/>
      <c r="B15" s="20"/>
      <c r="C15" s="20"/>
      <c r="D15" s="20"/>
      <c r="E15" s="34" t="s">
        <v>42</v>
      </c>
      <c r="F15" s="59" t="s">
        <v>42</v>
      </c>
      <c r="G15" s="59" t="s">
        <v>42</v>
      </c>
      <c r="H15" s="59" t="s">
        <v>42</v>
      </c>
    </row>
    <row r="16" spans="1:8" x14ac:dyDescent="0.25">
      <c r="A16" s="20"/>
      <c r="B16" s="20"/>
      <c r="C16" s="20"/>
      <c r="D16" s="20"/>
      <c r="E16" s="34" t="s">
        <v>42</v>
      </c>
      <c r="F16" s="59" t="s">
        <v>42</v>
      </c>
      <c r="G16" s="59" t="s">
        <v>42</v>
      </c>
      <c r="H16" s="59" t="s">
        <v>42</v>
      </c>
    </row>
    <row r="17" spans="1:8" x14ac:dyDescent="0.25">
      <c r="A17" s="20"/>
      <c r="B17" s="20"/>
      <c r="C17" s="20"/>
      <c r="D17" s="20"/>
      <c r="E17" s="34" t="s">
        <v>42</v>
      </c>
      <c r="F17" s="59" t="s">
        <v>42</v>
      </c>
      <c r="G17" s="59" t="s">
        <v>42</v>
      </c>
      <c r="H17" s="59"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746C7-4389-4A7B-8C93-AFE90C90E729}">
  <dimension ref="A1:S13"/>
  <sheetViews>
    <sheetView topLeftCell="F6" workbookViewId="0">
      <selection activeCell="D11" sqref="D11:K11"/>
    </sheetView>
  </sheetViews>
  <sheetFormatPr baseColWidth="10" defaultColWidth="9.140625" defaultRowHeight="15" x14ac:dyDescent="0.25"/>
  <cols>
    <col min="3" max="3" width="15.5703125" bestFit="1" customWidth="1"/>
    <col min="11" max="11" width="51.85546875" customWidth="1"/>
    <col min="12" max="12" width="78.5703125" customWidth="1"/>
  </cols>
  <sheetData>
    <row r="1" spans="1:19" x14ac:dyDescent="0.25">
      <c r="A1" s="20"/>
      <c r="B1" s="190"/>
      <c r="C1" s="190"/>
      <c r="D1" s="190"/>
      <c r="E1" s="190"/>
      <c r="F1" s="190"/>
      <c r="G1" s="190"/>
      <c r="H1" s="190"/>
      <c r="I1" s="190"/>
      <c r="J1" s="190"/>
      <c r="K1" s="190"/>
      <c r="L1" s="190"/>
    </row>
    <row r="2" spans="1:19" x14ac:dyDescent="0.25">
      <c r="A2" s="20"/>
      <c r="B2" s="191" t="s">
        <v>811</v>
      </c>
      <c r="C2" s="191"/>
      <c r="D2" s="191"/>
      <c r="E2" s="191"/>
      <c r="F2" s="191"/>
      <c r="G2" s="191"/>
      <c r="H2" s="191"/>
      <c r="I2" s="191"/>
      <c r="J2" s="191"/>
      <c r="K2" s="191"/>
      <c r="L2" s="191"/>
    </row>
    <row r="3" spans="1:19" x14ac:dyDescent="0.25">
      <c r="A3" s="20"/>
      <c r="B3" s="191" t="s">
        <v>812</v>
      </c>
      <c r="C3" s="191"/>
      <c r="D3" s="191"/>
      <c r="E3" s="191"/>
      <c r="F3" s="191"/>
      <c r="G3" s="191"/>
      <c r="H3" s="191"/>
      <c r="I3" s="191"/>
      <c r="J3" s="191"/>
      <c r="K3" s="191"/>
      <c r="L3" s="191"/>
    </row>
    <row r="4" spans="1:19" x14ac:dyDescent="0.25">
      <c r="A4" s="20"/>
      <c r="B4" s="192" t="s">
        <v>813</v>
      </c>
      <c r="C4" s="192"/>
      <c r="D4" s="192"/>
      <c r="E4" s="192"/>
      <c r="F4" s="192"/>
      <c r="G4" s="192"/>
      <c r="H4" s="192"/>
      <c r="I4" s="192"/>
      <c r="J4" s="192"/>
      <c r="K4" s="192"/>
      <c r="L4" s="192"/>
    </row>
    <row r="5" spans="1:19" x14ac:dyDescent="0.25">
      <c r="A5" s="20"/>
      <c r="B5" s="190"/>
      <c r="C5" s="190"/>
      <c r="D5" s="190"/>
      <c r="E5" s="190"/>
      <c r="F5" s="190"/>
      <c r="G5" s="190"/>
      <c r="H5" s="190"/>
      <c r="I5" s="190"/>
      <c r="J5" s="190"/>
      <c r="K5" s="190"/>
      <c r="L5" s="190"/>
    </row>
    <row r="6" spans="1:19" x14ac:dyDescent="0.25">
      <c r="A6" s="20"/>
      <c r="B6" s="189" t="s">
        <v>814</v>
      </c>
      <c r="C6" s="189"/>
      <c r="D6" s="189"/>
      <c r="E6" s="189"/>
      <c r="F6" s="189"/>
      <c r="G6" s="189"/>
      <c r="H6" s="189"/>
      <c r="I6" s="189"/>
      <c r="J6" s="189"/>
      <c r="K6" s="189"/>
      <c r="L6" s="189"/>
    </row>
    <row r="7" spans="1:19" x14ac:dyDescent="0.25">
      <c r="A7" s="20"/>
      <c r="B7" s="196" t="s">
        <v>42</v>
      </c>
      <c r="C7" s="196"/>
      <c r="D7" s="196"/>
      <c r="E7" s="196"/>
      <c r="F7" s="196"/>
      <c r="G7" s="196"/>
      <c r="H7" s="196"/>
      <c r="I7" s="196"/>
      <c r="J7" s="196"/>
      <c r="K7" s="196"/>
      <c r="L7" s="196"/>
    </row>
    <row r="8" spans="1:19" x14ac:dyDescent="0.25">
      <c r="A8" s="20"/>
      <c r="B8" s="197" t="s">
        <v>815</v>
      </c>
      <c r="C8" s="198"/>
      <c r="D8" s="198"/>
      <c r="E8" s="198"/>
      <c r="F8" s="198"/>
      <c r="G8" s="198"/>
      <c r="H8" s="198"/>
      <c r="I8" s="198"/>
      <c r="J8" s="198"/>
      <c r="K8" s="198"/>
      <c r="L8" s="199"/>
    </row>
    <row r="9" spans="1:19" x14ac:dyDescent="0.25">
      <c r="A9" s="20"/>
      <c r="B9" s="200" t="s">
        <v>816</v>
      </c>
      <c r="C9" s="201"/>
      <c r="D9" s="201"/>
      <c r="E9" s="201"/>
      <c r="F9" s="201"/>
      <c r="G9" s="201"/>
      <c r="H9" s="201"/>
      <c r="I9" s="201"/>
      <c r="J9" s="201"/>
      <c r="K9" s="201"/>
      <c r="L9" s="202"/>
    </row>
    <row r="10" spans="1:19" x14ac:dyDescent="0.25">
      <c r="A10" s="20"/>
      <c r="B10" s="61" t="s">
        <v>817</v>
      </c>
      <c r="C10" s="62" t="s">
        <v>818</v>
      </c>
      <c r="D10" s="198" t="s">
        <v>819</v>
      </c>
      <c r="E10" s="198"/>
      <c r="F10" s="198"/>
      <c r="G10" s="198"/>
      <c r="H10" s="198"/>
      <c r="I10" s="198"/>
      <c r="J10" s="198"/>
      <c r="K10" s="199"/>
      <c r="L10" s="62" t="s">
        <v>820</v>
      </c>
    </row>
    <row r="11" spans="1:19" ht="141" customHeight="1" x14ac:dyDescent="0.25">
      <c r="A11" s="20"/>
      <c r="B11" s="63" t="s">
        <v>821</v>
      </c>
      <c r="C11" s="64" t="s">
        <v>822</v>
      </c>
      <c r="D11" s="203" t="s">
        <v>823</v>
      </c>
      <c r="E11" s="193"/>
      <c r="F11" s="193"/>
      <c r="G11" s="193"/>
      <c r="H11" s="193"/>
      <c r="I11" s="193"/>
      <c r="J11" s="193"/>
      <c r="K11" s="204"/>
      <c r="L11" s="205" t="s">
        <v>824</v>
      </c>
      <c r="M11" s="206"/>
      <c r="N11" s="206"/>
      <c r="O11" s="206"/>
      <c r="P11" s="206"/>
      <c r="Q11" s="206"/>
      <c r="R11" s="206"/>
      <c r="S11" s="207"/>
    </row>
    <row r="12" spans="1:19" ht="219.75" customHeight="1" x14ac:dyDescent="0.25">
      <c r="A12" s="20"/>
      <c r="B12" s="63" t="s">
        <v>825</v>
      </c>
      <c r="C12" s="64" t="s">
        <v>826</v>
      </c>
      <c r="D12" s="193" t="s">
        <v>827</v>
      </c>
      <c r="E12" s="194"/>
      <c r="F12" s="194"/>
      <c r="G12" s="194"/>
      <c r="H12" s="194"/>
      <c r="I12" s="194"/>
      <c r="J12" s="194"/>
      <c r="K12" s="195"/>
      <c r="L12" s="205" t="s">
        <v>828</v>
      </c>
      <c r="M12" s="206"/>
      <c r="N12" s="206"/>
      <c r="O12" s="206"/>
      <c r="P12" s="206"/>
      <c r="Q12" s="206"/>
      <c r="R12" s="206"/>
      <c r="S12" s="207"/>
    </row>
    <row r="13" spans="1:19" ht="137.25" customHeight="1" x14ac:dyDescent="0.25">
      <c r="A13" s="20"/>
      <c r="B13" s="63" t="s">
        <v>829</v>
      </c>
      <c r="C13" s="64" t="s">
        <v>830</v>
      </c>
      <c r="D13" s="193" t="s">
        <v>831</v>
      </c>
      <c r="E13" s="194"/>
      <c r="F13" s="194"/>
      <c r="G13" s="194"/>
      <c r="H13" s="194"/>
      <c r="I13" s="194"/>
      <c r="J13" s="194"/>
      <c r="K13" s="195"/>
      <c r="L13" s="65"/>
      <c r="O13" s="94"/>
    </row>
  </sheetData>
  <mergeCells count="15">
    <mergeCell ref="D13:K13"/>
    <mergeCell ref="B7:L7"/>
    <mergeCell ref="B8:L8"/>
    <mergeCell ref="B9:L9"/>
    <mergeCell ref="D10:K10"/>
    <mergeCell ref="D11:K11"/>
    <mergeCell ref="D12:K12"/>
    <mergeCell ref="L11:S11"/>
    <mergeCell ref="L12:S12"/>
    <mergeCell ref="B6:L6"/>
    <mergeCell ref="B1:L1"/>
    <mergeCell ref="B2:L2"/>
    <mergeCell ref="B3:L3"/>
    <mergeCell ref="B4:L4"/>
    <mergeCell ref="B5:L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baseColWidth="10" defaultColWidth="11.42578125" defaultRowHeight="15" x14ac:dyDescent="0.25"/>
  <cols>
    <col min="1" max="1" width="17.42578125" bestFit="1" customWidth="1"/>
  </cols>
  <sheetData>
    <row r="1" spans="1:3" ht="15.75" x14ac:dyDescent="0.25">
      <c r="A1" s="4" t="s">
        <v>832</v>
      </c>
      <c r="C1" t="s">
        <v>833</v>
      </c>
    </row>
    <row r="2" spans="1:3" ht="15.75" x14ac:dyDescent="0.25">
      <c r="A2" s="4" t="s">
        <v>834</v>
      </c>
      <c r="C2" t="s">
        <v>835</v>
      </c>
    </row>
    <row r="3" spans="1:3" ht="15.75" x14ac:dyDescent="0.25">
      <c r="A3" s="4" t="s">
        <v>836</v>
      </c>
    </row>
    <row r="4" spans="1:3" ht="15.75" x14ac:dyDescent="0.25">
      <c r="A4" s="4" t="s">
        <v>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Rúbrica resultados globales</vt:lpstr>
      <vt:lpstr>Rúbrica situación evaluativa</vt:lpstr>
      <vt:lpstr>Resultados Individuales</vt:lpstr>
      <vt:lpstr>Resultados grupales</vt:lpstr>
      <vt:lpstr>VALIDACIÓN DE DATOS NO BORRAR</vt:lpstr>
      <vt:lpstr>Acciones</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VALENTINA EUGENIA UBAL RODRIGUEZ</cp:lastModifiedBy>
  <cp:revision/>
  <dcterms:created xsi:type="dcterms:W3CDTF">2024-06-12T20:22:02Z</dcterms:created>
  <dcterms:modified xsi:type="dcterms:W3CDTF">2025-11-24T16:02:47Z</dcterms:modified>
  <cp:category/>
  <cp:contentStatus/>
</cp:coreProperties>
</file>