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mc:AlternateContent xmlns:mc="http://schemas.openxmlformats.org/markup-compatibility/2006">
    <mc:Choice Requires="x15">
      <x15ac:absPath xmlns:x15ac="http://schemas.microsoft.com/office/spreadsheetml/2010/11/ac" url="C:\Users\vubal\Dropbox\UAH 2025\EPI 2025\Formatos excel result por carrera\FEDU\"/>
    </mc:Choice>
  </mc:AlternateContent>
  <xr:revisionPtr revIDLastSave="41" documentId="13_ncr:1_{C94953CA-C4E7-4C65-8F9E-54AC6934C251}" xr6:coauthVersionLast="47" xr6:coauthVersionMax="47" xr10:uidLastSave="{BDC64582-4AEA-4354-A4FC-8693A88CBB03}"/>
  <bookViews>
    <workbookView xWindow="28680" yWindow="-120" windowWidth="24240" windowHeight="13140" firstSheet="5" activeTab="5" xr2:uid="{00000000-000D-0000-FFFF-FFFF00000000}"/>
  </bookViews>
  <sheets>
    <sheet name="Rúbrica Resultados Globales" sheetId="1" r:id="rId1"/>
    <sheet name="Rúbrica situación evaluativa " sheetId="2" r:id="rId2"/>
    <sheet name="Resultados Individuales" sheetId="3" r:id="rId3"/>
    <sheet name="Resultados Grupales" sheetId="4" r:id="rId4"/>
    <sheet name="Validación datos NO BORRAR" sheetId="5" r:id="rId5"/>
    <sheet name="ACCIONES" sheetId="7" r:id="rId6"/>
    <sheet name="Hoja1" sheetId="6" state="hidden" r:id="rId7"/>
  </sheets>
  <definedNames>
    <definedName name="_xlnm._FilterDatabase" localSheetId="2" hidden="1">'Resultados Individuales'!$A$1:$Z$122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ctcCZ4/BmXa2CX4y9eNXnz+COyIqijBpw5NxH5HOrc="/>
    </ext>
  </extLst>
</workbook>
</file>

<file path=xl/calcChain.xml><?xml version="1.0" encoding="utf-8"?>
<calcChain xmlns="http://schemas.openxmlformats.org/spreadsheetml/2006/main">
  <c r="C4" i="4" l="1"/>
  <c r="W122" i="3"/>
  <c r="V122" i="3"/>
  <c r="U122" i="3"/>
  <c r="T122" i="3"/>
  <c r="S122" i="3"/>
  <c r="R122" i="3"/>
  <c r="Q122" i="3"/>
  <c r="P122" i="3"/>
  <c r="O122" i="3"/>
  <c r="N122" i="3"/>
  <c r="M122" i="3"/>
  <c r="L122" i="3"/>
  <c r="K122" i="3"/>
  <c r="X121" i="3"/>
  <c r="Y121" i="3" s="1"/>
  <c r="Z121" i="3" s="1"/>
  <c r="X120" i="3"/>
  <c r="Y120" i="3" s="1"/>
  <c r="Z120" i="3" s="1"/>
  <c r="X119" i="3"/>
  <c r="Y119" i="3" s="1"/>
  <c r="Z119" i="3" s="1"/>
  <c r="X118" i="3"/>
  <c r="Y118" i="3" s="1"/>
  <c r="Z118" i="3" s="1"/>
  <c r="X117" i="3"/>
  <c r="Y117" i="3" s="1"/>
  <c r="Z117" i="3" s="1"/>
  <c r="X116" i="3"/>
  <c r="Y116" i="3" s="1"/>
  <c r="Z116" i="3" s="1"/>
  <c r="X115" i="3"/>
  <c r="Y115" i="3" s="1"/>
  <c r="Z115" i="3" s="1"/>
  <c r="X114" i="3"/>
  <c r="Y114" i="3" s="1"/>
  <c r="Z114" i="3" s="1"/>
  <c r="X113" i="3"/>
  <c r="Y113" i="3" s="1"/>
  <c r="Z113" i="3" s="1"/>
  <c r="X112" i="3"/>
  <c r="Y112" i="3" s="1"/>
  <c r="Z112" i="3" s="1"/>
  <c r="X111" i="3"/>
  <c r="Y111" i="3" s="1"/>
  <c r="Z111" i="3" s="1"/>
  <c r="X110" i="3"/>
  <c r="Y110" i="3" s="1"/>
  <c r="Z110" i="3" s="1"/>
  <c r="X109" i="3"/>
  <c r="Y109" i="3" s="1"/>
  <c r="Z109" i="3" s="1"/>
  <c r="X108" i="3"/>
  <c r="Y108" i="3" s="1"/>
  <c r="Z108" i="3" s="1"/>
  <c r="X107" i="3"/>
  <c r="Y107" i="3" s="1"/>
  <c r="Z107" i="3" s="1"/>
  <c r="X106" i="3"/>
  <c r="Y106" i="3" s="1"/>
  <c r="Z106" i="3" s="1"/>
  <c r="X105" i="3"/>
  <c r="Y105" i="3" s="1"/>
  <c r="Z105" i="3" s="1"/>
  <c r="X104" i="3"/>
  <c r="Y104" i="3" s="1"/>
  <c r="Z104" i="3" s="1"/>
  <c r="X103" i="3"/>
  <c r="Y103" i="3" s="1"/>
  <c r="Z103" i="3" s="1"/>
  <c r="X102" i="3"/>
  <c r="Y102" i="3" s="1"/>
  <c r="Z102" i="3" s="1"/>
  <c r="X101" i="3"/>
  <c r="Y101" i="3" s="1"/>
  <c r="Z101" i="3" s="1"/>
  <c r="X100" i="3"/>
  <c r="Y100" i="3" s="1"/>
  <c r="Z100" i="3" s="1"/>
  <c r="X99" i="3"/>
  <c r="Y99" i="3" s="1"/>
  <c r="Z99" i="3" s="1"/>
  <c r="X98" i="3"/>
  <c r="Y98" i="3" s="1"/>
  <c r="Z98" i="3" s="1"/>
  <c r="X97" i="3"/>
  <c r="Y97" i="3" s="1"/>
  <c r="Z97" i="3" s="1"/>
  <c r="X96" i="3"/>
  <c r="Y96" i="3" s="1"/>
  <c r="Z96" i="3" s="1"/>
  <c r="X95" i="3"/>
  <c r="Y95" i="3" s="1"/>
  <c r="Z95" i="3" s="1"/>
  <c r="X94" i="3"/>
  <c r="Y94" i="3" s="1"/>
  <c r="Z94" i="3" s="1"/>
  <c r="X93" i="3"/>
  <c r="Y93" i="3" s="1"/>
  <c r="Z93" i="3" s="1"/>
  <c r="X92" i="3"/>
  <c r="Y92" i="3" s="1"/>
  <c r="Z92" i="3" s="1"/>
  <c r="X91" i="3"/>
  <c r="Y91" i="3" s="1"/>
  <c r="Z91" i="3" s="1"/>
  <c r="X90" i="3"/>
  <c r="Y90" i="3" s="1"/>
  <c r="Z90" i="3" s="1"/>
  <c r="X89" i="3"/>
  <c r="Y89" i="3" s="1"/>
  <c r="Z89" i="3" s="1"/>
  <c r="X88" i="3"/>
  <c r="Y88" i="3" s="1"/>
  <c r="Z88" i="3" s="1"/>
  <c r="X87" i="3"/>
  <c r="Y87" i="3" s="1"/>
  <c r="Z87" i="3" s="1"/>
  <c r="X86" i="3"/>
  <c r="Y86" i="3" s="1"/>
  <c r="Z86" i="3" s="1"/>
  <c r="X85" i="3"/>
  <c r="Y85" i="3" s="1"/>
  <c r="Z85" i="3" s="1"/>
  <c r="X84" i="3"/>
  <c r="Y84" i="3" s="1"/>
  <c r="Z84" i="3" s="1"/>
  <c r="X83" i="3"/>
  <c r="Y83" i="3" s="1"/>
  <c r="Z83" i="3" s="1"/>
  <c r="X82" i="3"/>
  <c r="Y82" i="3" s="1"/>
  <c r="Z82" i="3" s="1"/>
  <c r="X81" i="3"/>
  <c r="Y81" i="3" s="1"/>
  <c r="Z81" i="3" s="1"/>
  <c r="X80" i="3"/>
  <c r="Y80" i="3" s="1"/>
  <c r="Z80" i="3" s="1"/>
  <c r="X79" i="3"/>
  <c r="Y79" i="3" s="1"/>
  <c r="Z79" i="3" s="1"/>
  <c r="X78" i="3"/>
  <c r="Y78" i="3" s="1"/>
  <c r="Z78" i="3" s="1"/>
  <c r="X77" i="3"/>
  <c r="Y77" i="3" s="1"/>
  <c r="Z77" i="3" s="1"/>
  <c r="X76" i="3"/>
  <c r="Y76" i="3" s="1"/>
  <c r="Z76" i="3" s="1"/>
  <c r="X75" i="3"/>
  <c r="Y75" i="3" s="1"/>
  <c r="Z75" i="3" s="1"/>
  <c r="X74" i="3"/>
  <c r="Y74" i="3" s="1"/>
  <c r="Z74" i="3" s="1"/>
  <c r="X73" i="3"/>
  <c r="Y73" i="3" s="1"/>
  <c r="Z73" i="3" s="1"/>
  <c r="X72" i="3"/>
  <c r="Y72" i="3" s="1"/>
  <c r="Z72" i="3" s="1"/>
  <c r="X71" i="3"/>
  <c r="Y71" i="3" s="1"/>
  <c r="Z71" i="3" s="1"/>
  <c r="X70" i="3"/>
  <c r="Y70" i="3" s="1"/>
  <c r="Z70" i="3" s="1"/>
  <c r="X69" i="3"/>
  <c r="Y69" i="3" s="1"/>
  <c r="Z69" i="3" s="1"/>
  <c r="X68" i="3"/>
  <c r="Y68" i="3" s="1"/>
  <c r="Z68" i="3" s="1"/>
  <c r="X67" i="3"/>
  <c r="Y67" i="3" s="1"/>
  <c r="Z67" i="3" s="1"/>
  <c r="X66" i="3"/>
  <c r="Y66" i="3" s="1"/>
  <c r="Z66" i="3" s="1"/>
  <c r="X65" i="3"/>
  <c r="Y65" i="3" s="1"/>
  <c r="Z65" i="3" s="1"/>
  <c r="X64" i="3"/>
  <c r="Y64" i="3" s="1"/>
  <c r="Z64" i="3" s="1"/>
  <c r="X63" i="3"/>
  <c r="Y63" i="3" s="1"/>
  <c r="Z63" i="3" s="1"/>
  <c r="X62" i="3"/>
  <c r="Y62" i="3" s="1"/>
  <c r="Z62" i="3" s="1"/>
  <c r="X61" i="3"/>
  <c r="Y61" i="3" s="1"/>
  <c r="Z61" i="3" s="1"/>
  <c r="X60" i="3"/>
  <c r="Y60" i="3" s="1"/>
  <c r="Z60" i="3" s="1"/>
  <c r="X59" i="3"/>
  <c r="Y59" i="3" s="1"/>
  <c r="Z59" i="3" s="1"/>
  <c r="X58" i="3"/>
  <c r="Y58" i="3" s="1"/>
  <c r="Z58" i="3" s="1"/>
  <c r="X57" i="3"/>
  <c r="Y57" i="3" s="1"/>
  <c r="Z57" i="3" s="1"/>
  <c r="X56" i="3"/>
  <c r="Y56" i="3" s="1"/>
  <c r="Z56" i="3" s="1"/>
  <c r="X55" i="3"/>
  <c r="Y55" i="3" s="1"/>
  <c r="Z55" i="3" s="1"/>
  <c r="X54" i="3"/>
  <c r="Y54" i="3" s="1"/>
  <c r="Z54" i="3" s="1"/>
  <c r="X53" i="3"/>
  <c r="Y53" i="3" s="1"/>
  <c r="Z53" i="3" s="1"/>
  <c r="X52" i="3"/>
  <c r="Y52" i="3" s="1"/>
  <c r="Z52" i="3" s="1"/>
  <c r="X51" i="3"/>
  <c r="Y51" i="3" s="1"/>
  <c r="Z51" i="3" s="1"/>
  <c r="X50" i="3"/>
  <c r="Y50" i="3" s="1"/>
  <c r="Z50" i="3" s="1"/>
  <c r="X49" i="3"/>
  <c r="Y49" i="3" s="1"/>
  <c r="Z49" i="3" s="1"/>
  <c r="X48" i="3"/>
  <c r="Y48" i="3" s="1"/>
  <c r="Z48" i="3" s="1"/>
  <c r="X47" i="3"/>
  <c r="Y47" i="3" s="1"/>
  <c r="Z47" i="3" s="1"/>
  <c r="X46" i="3"/>
  <c r="Y46" i="3" s="1"/>
  <c r="Z46" i="3" s="1"/>
  <c r="X45" i="3"/>
  <c r="Y45" i="3" s="1"/>
  <c r="Z45" i="3" s="1"/>
  <c r="X44" i="3"/>
  <c r="Y44" i="3" s="1"/>
  <c r="Z44" i="3" s="1"/>
  <c r="X43" i="3"/>
  <c r="Y43" i="3" s="1"/>
  <c r="Z43" i="3" s="1"/>
  <c r="X42" i="3"/>
  <c r="Y42" i="3" s="1"/>
  <c r="Z42" i="3" s="1"/>
  <c r="X41" i="3"/>
  <c r="Y41" i="3" s="1"/>
  <c r="Z41" i="3" s="1"/>
  <c r="X40" i="3"/>
  <c r="Y40" i="3" s="1"/>
  <c r="Z40" i="3" s="1"/>
  <c r="X39" i="3"/>
  <c r="Y39" i="3" s="1"/>
  <c r="Z39" i="3" s="1"/>
  <c r="X38" i="3"/>
  <c r="Y38" i="3" s="1"/>
  <c r="Z38" i="3" s="1"/>
  <c r="X37" i="3"/>
  <c r="Y37" i="3" s="1"/>
  <c r="Z37" i="3" s="1"/>
  <c r="X36" i="3"/>
  <c r="Y36" i="3" s="1"/>
  <c r="Z36" i="3" s="1"/>
  <c r="X35" i="3"/>
  <c r="Y35" i="3" s="1"/>
  <c r="Z35" i="3" s="1"/>
  <c r="X34" i="3"/>
  <c r="Y34" i="3" s="1"/>
  <c r="Z34" i="3" s="1"/>
  <c r="X33" i="3"/>
  <c r="Y33" i="3" s="1"/>
  <c r="Z33" i="3" s="1"/>
  <c r="X32" i="3"/>
  <c r="Y32" i="3" s="1"/>
  <c r="Z32" i="3" s="1"/>
  <c r="X31" i="3"/>
  <c r="Y31" i="3" s="1"/>
  <c r="Z31" i="3" s="1"/>
  <c r="X30" i="3"/>
  <c r="Y30" i="3" s="1"/>
  <c r="Z30" i="3" s="1"/>
  <c r="X29" i="3"/>
  <c r="Y29" i="3" s="1"/>
  <c r="Z29" i="3" s="1"/>
  <c r="X28" i="3"/>
  <c r="Y28" i="3" s="1"/>
  <c r="Z28" i="3" s="1"/>
  <c r="X27" i="3"/>
  <c r="Y27" i="3" s="1"/>
  <c r="Z27" i="3" s="1"/>
  <c r="X26" i="3"/>
  <c r="Y26" i="3" s="1"/>
  <c r="Z26" i="3" s="1"/>
  <c r="X25" i="3"/>
  <c r="Y25" i="3" s="1"/>
  <c r="Z25" i="3" s="1"/>
  <c r="X24" i="3"/>
  <c r="Y24" i="3" s="1"/>
  <c r="Z24" i="3" s="1"/>
  <c r="X23" i="3"/>
  <c r="Y23" i="3" s="1"/>
  <c r="Z23" i="3" s="1"/>
  <c r="X22" i="3"/>
  <c r="Y22" i="3" s="1"/>
  <c r="Z22" i="3" s="1"/>
  <c r="X21" i="3"/>
  <c r="Y21" i="3" s="1"/>
  <c r="Z21" i="3" s="1"/>
  <c r="X20" i="3"/>
  <c r="Y20" i="3" s="1"/>
  <c r="Z20" i="3" s="1"/>
  <c r="X19" i="3"/>
  <c r="Y19" i="3" s="1"/>
  <c r="Z19" i="3" s="1"/>
  <c r="X18" i="3"/>
  <c r="Y18" i="3" s="1"/>
  <c r="Z18" i="3" s="1"/>
  <c r="X17" i="3"/>
  <c r="Y17" i="3" s="1"/>
  <c r="Z17" i="3" s="1"/>
  <c r="X16" i="3"/>
  <c r="Y16" i="3" s="1"/>
  <c r="Z16" i="3" s="1"/>
  <c r="X15" i="3"/>
  <c r="Y15" i="3" s="1"/>
  <c r="Z15" i="3" s="1"/>
  <c r="X14" i="3"/>
  <c r="Y14" i="3" s="1"/>
  <c r="Z14" i="3" s="1"/>
  <c r="X13" i="3"/>
  <c r="Y13" i="3" s="1"/>
  <c r="Z13" i="3" s="1"/>
  <c r="X12" i="3"/>
  <c r="Y12" i="3" s="1"/>
  <c r="Z12" i="3" s="1"/>
  <c r="X11" i="3"/>
  <c r="Y11" i="3" s="1"/>
  <c r="Z11" i="3" s="1"/>
  <c r="X10" i="3"/>
  <c r="Y10" i="3" s="1"/>
  <c r="Z10" i="3" s="1"/>
  <c r="X9" i="3"/>
  <c r="Y9" i="3" s="1"/>
  <c r="Z9" i="3" s="1"/>
  <c r="X8" i="3"/>
  <c r="Y8" i="3" s="1"/>
  <c r="Z8" i="3" s="1"/>
  <c r="X7" i="3"/>
  <c r="Y7" i="3" s="1"/>
  <c r="X6" i="3"/>
  <c r="Y6" i="3" s="1"/>
  <c r="Z6" i="3" s="1"/>
  <c r="X5" i="3"/>
  <c r="X4" i="3"/>
  <c r="Y4" i="3" s="1"/>
  <c r="Z4" i="3" s="1"/>
  <c r="X122" i="3" l="1"/>
  <c r="Y5" i="3"/>
  <c r="Z5" i="3" s="1"/>
  <c r="Y122" i="3"/>
  <c r="Z122" i="3" s="1"/>
  <c r="Z7" i="3"/>
</calcChain>
</file>

<file path=xl/sharedStrings.xml><?xml version="1.0" encoding="utf-8"?>
<sst xmlns="http://schemas.openxmlformats.org/spreadsheetml/2006/main" count="837" uniqueCount="543">
  <si>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</si>
  <si>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</si>
  <si>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</si>
  <si>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</si>
  <si>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</si>
  <si>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</si>
  <si>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</si>
  <si>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</si>
  <si>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</si>
  <si>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</si>
  <si>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</si>
  <si>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</si>
  <si>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</si>
  <si>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</si>
  <si>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</si>
  <si>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</si>
  <si>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</si>
  <si>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</si>
  <si>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</si>
  <si>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</si>
  <si>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</si>
  <si>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</si>
  <si>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</si>
  <si>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</si>
  <si>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</si>
  <si>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</si>
  <si>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</si>
  <si>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</si>
  <si>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</si>
  <si>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</si>
  <si>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rPr>
        <sz val="11"/>
        <color theme="1"/>
        <rFont val="Aptos Narrow"/>
      </rP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color theme="1"/>
        <rFont val="Aptos Narrow"/>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</si>
  <si>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</si>
  <si>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</si>
  <si>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</si>
  <si>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</si>
  <si>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</si>
  <si>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</si>
  <si>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</si>
  <si>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</si>
  <si>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</si>
  <si>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</si>
  <si>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</si>
  <si>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</si>
  <si>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u/>
        <sz val="11"/>
        <color theme="1"/>
        <rFont val="Arial"/>
      </rPr>
      <t xml:space="preserve">
</t>
    </r>
    <r>
      <rPr>
        <b/>
        <u/>
        <sz val="12"/>
        <color theme="1"/>
        <rFont val="Arial"/>
      </rPr>
      <t>Actividad problema 1</t>
    </r>
    <r>
      <rPr>
        <sz val="11"/>
        <color theme="1"/>
        <rFont val="Arial"/>
      </rPr>
      <t xml:space="preserve">
</t>
    </r>
    <r>
      <rPr>
        <sz val="12"/>
        <color theme="1"/>
        <rFont val="Arial"/>
      </rPr>
      <t xml:space="preserve">Relaciona cómo las dimensiones sociológicas e históricas influyen en el proceso formativo de las personas, con el fin de explicar la construcción de la cultura escolar chilena.
</t>
    </r>
    <r>
      <rPr>
        <i/>
        <sz val="11"/>
        <color theme="1"/>
        <rFont val="Arial"/>
      </rPr>
      <t xml:space="preserve">
Deficiente: 0 puntos
Insuficiente: 1 puntos
Satisfactorio: 2 puntos
Óptimo: 3 puntos
</t>
    </r>
  </si>
  <si>
    <r>
      <rPr>
        <b/>
        <u/>
        <sz val="11"/>
        <color theme="1"/>
        <rFont val="Arial"/>
      </rPr>
      <t xml:space="preserve">
</t>
    </r>
    <r>
      <rPr>
        <b/>
        <u/>
        <sz val="12"/>
        <color theme="1"/>
        <rFont val="Arial"/>
      </rPr>
      <t>Actividad Problema 2</t>
    </r>
    <r>
      <rPr>
        <b/>
        <sz val="11"/>
        <color theme="1"/>
        <rFont val="Arial"/>
      </rPr>
      <t xml:space="preserve">
</t>
    </r>
    <r>
      <rPr>
        <sz val="11"/>
        <color theme="1"/>
        <rFont val="Arial"/>
      </rPr>
      <t xml:space="preserve"> </t>
    </r>
    <r>
      <rPr>
        <sz val="12"/>
        <color theme="1"/>
        <rFont val="Arial"/>
      </rPr>
      <t xml:space="preserve">Analiza los desafíos que presenta la institucionalidad dentro del sistema escolar.
</t>
    </r>
    <r>
      <rPr>
        <sz val="11"/>
        <color theme="1"/>
        <rFont val="Arial"/>
      </rPr>
      <t xml:space="preserve">
</t>
    </r>
    <r>
      <rPr>
        <i/>
        <sz val="11"/>
        <color theme="1"/>
        <rFont val="Arial"/>
      </rPr>
      <t>Deficiente: 0 puntos
Insuficiente: 1 puntos
Satisfactorio: 2 puntos
Óptimo: 3 puntos</t>
    </r>
  </si>
  <si>
    <r>
      <rPr>
        <b/>
        <u/>
        <sz val="11"/>
        <color theme="1"/>
        <rFont val="Arial"/>
      </rPr>
      <t xml:space="preserve">
</t>
    </r>
    <r>
      <rPr>
        <b/>
        <u/>
        <sz val="12"/>
        <color theme="1"/>
        <rFont val="Arial"/>
      </rPr>
      <t>Actividad Problema 3</t>
    </r>
    <r>
      <rPr>
        <b/>
        <sz val="11"/>
        <color theme="1"/>
        <rFont val="Arial"/>
      </rPr>
      <t xml:space="preserve">
 </t>
    </r>
    <r>
      <rPr>
        <sz val="12"/>
        <color theme="1"/>
        <rFont val="Arial"/>
      </rPr>
      <t xml:space="preserve">Elabora un argumento de manera analítica y crítica respecto de la educación como un medio para el desarrollo personal y la integración social, adoptando un posicionamiento desde una perspectiva educativa inclusiva.
</t>
    </r>
    <r>
      <rPr>
        <sz val="11"/>
        <color theme="1"/>
        <rFont val="Arial"/>
      </rPr>
      <t xml:space="preserve">
</t>
    </r>
    <r>
      <rPr>
        <i/>
        <sz val="11"/>
        <color theme="1"/>
        <rFont val="Arial"/>
      </rPr>
      <t xml:space="preserve">Deficiente: 0 puntos
Insuficiente: 1 puntos
Satisfactorio: 2 puntos
Óptimo: 3 puntos
</t>
    </r>
    <r>
      <rPr>
        <b/>
        <sz val="11"/>
        <color theme="1"/>
        <rFont val="Arial"/>
      </rPr>
      <t xml:space="preserve">
</t>
    </r>
  </si>
  <si>
    <t>Resultado General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</si>
  <si>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</si>
  <si>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</si>
  <si>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</si>
  <si>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</si>
  <si>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</si>
  <si>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</si>
  <si>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</si>
  <si>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</si>
  <si>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</si>
  <si>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r>
      <rPr>
        <b/>
        <sz val="10"/>
        <color theme="1"/>
        <rFont val="Arial"/>
      </rPr>
      <t xml:space="preserve">Caracterización de la cultura escolar
</t>
    </r>
    <r>
      <rPr>
        <sz val="10"/>
        <color theme="1"/>
        <rFont val="Arial"/>
      </rPr>
      <t xml:space="preserve">Puntaje según categoría </t>
    </r>
  </si>
  <si>
    <r>
      <rPr>
        <b/>
        <sz val="10"/>
        <color theme="1"/>
        <rFont val="Arial"/>
      </rPr>
      <t xml:space="preserve">Hitos Históricos y/o Sociales  
</t>
    </r>
    <r>
      <rPr>
        <sz val="10"/>
        <color theme="1"/>
        <rFont val="Arial"/>
      </rPr>
      <t>Puntaje según categoría</t>
    </r>
  </si>
  <si>
    <r>
      <rPr>
        <b/>
        <sz val="10"/>
        <color theme="1"/>
        <rFont val="Arial"/>
      </rPr>
      <t xml:space="preserve">Relación hito-cultura escolar
</t>
    </r>
    <r>
      <rPr>
        <sz val="10"/>
        <color theme="1"/>
        <rFont val="Arial"/>
      </rPr>
      <t>Puntaje según categoría</t>
    </r>
  </si>
  <si>
    <t>Roles de los miembros de las comunidades escolares</t>
  </si>
  <si>
    <t xml:space="preserve">Desafíos enfrentados por las comunidades escolares </t>
  </si>
  <si>
    <t>Soluciones con las que las comunidades escolares abordan los desafíos</t>
  </si>
  <si>
    <t>Rol de la institucionalidad / Impacto de la normativa</t>
  </si>
  <si>
    <t>Problematización del rol de las comunidades escolares.</t>
  </si>
  <si>
    <t>Programas e iniciativas que favorecen el desarrollo de identidades</t>
  </si>
  <si>
    <t>Rol de miembros de comunidades educativas en procesos de formación</t>
  </si>
  <si>
    <t>Rol profesional y ciudadano</t>
  </si>
  <si>
    <t>Rigurosidad de la argumentación</t>
  </si>
  <si>
    <t>Fundamentación de la argumentación</t>
  </si>
  <si>
    <t>PUNTAJE TOTAL ESTUDIANTE</t>
  </si>
  <si>
    <t>PORCENTAJE DE LOGRO</t>
  </si>
  <si>
    <t>CATEGORÍA RESULTADO GLOBAL ESTUDIANTE</t>
  </si>
  <si>
    <t>JUAN EDUARDO MARTINEZ CORREA</t>
  </si>
  <si>
    <t>MARTINEZ</t>
  </si>
  <si>
    <t>CORREA</t>
  </si>
  <si>
    <t>JUAN EDUARDO</t>
  </si>
  <si>
    <t>Avance curricular suficiente o adecuado para evaluar ciclo básico</t>
  </si>
  <si>
    <t xml:space="preserve">Rendida </t>
  </si>
  <si>
    <t>No aplica</t>
  </si>
  <si>
    <t>DANIELA IGNACIA AGUILERA SÁNCHEZ</t>
  </si>
  <si>
    <t>AGUILERA</t>
  </si>
  <si>
    <t>SÁNCHEZ</t>
  </si>
  <si>
    <t>DANIELA IGNACIA</t>
  </si>
  <si>
    <t>SOFÍA MACARENA ALARCÓN CARRASCO</t>
  </si>
  <si>
    <t>ALARCÓN</t>
  </si>
  <si>
    <t>CARRASCO</t>
  </si>
  <si>
    <t>SOFÍA MACARENA</t>
  </si>
  <si>
    <t>IGNACIO GABRIEL ALVARADO ARÁNGUIZ</t>
  </si>
  <si>
    <t>ALVARADO</t>
  </si>
  <si>
    <t>ARÁNGUIZ</t>
  </si>
  <si>
    <t>IGNACIO GABRIEL</t>
  </si>
  <si>
    <t>Expulsión</t>
  </si>
  <si>
    <t>MACARENA FERNANDA ARAYA CASTILLO</t>
  </si>
  <si>
    <t>ARAYA</t>
  </si>
  <si>
    <t>CASTILLO</t>
  </si>
  <si>
    <t>MACARENA FERNANDA</t>
  </si>
  <si>
    <t>NAYELIC ISIDORA ARAYA TABILO</t>
  </si>
  <si>
    <t>TABILO</t>
  </si>
  <si>
    <t>NAYELIC ISIDORA</t>
  </si>
  <si>
    <t>JOSEFA CELESTE ARCAYA FIGUEROA</t>
  </si>
  <si>
    <t>ARCAYA</t>
  </si>
  <si>
    <t>FIGUEROA</t>
  </si>
  <si>
    <t>JOSEFA CELESTE</t>
  </si>
  <si>
    <t>BASTIÁN ESTEBAN ARÉVALOS CANTILLANA</t>
  </si>
  <si>
    <t>ARÉVALOS</t>
  </si>
  <si>
    <t>CANTILLANA</t>
  </si>
  <si>
    <t>BASTIÁN ESTEBAN</t>
  </si>
  <si>
    <t>FRANCISCA IGNACIA ARRIAGADA CORREA</t>
  </si>
  <si>
    <t>ARRIAGADA</t>
  </si>
  <si>
    <t>FRANCISCA IGNACIA</t>
  </si>
  <si>
    <t>No rendida</t>
  </si>
  <si>
    <t>SOFÍA ISIDORA ÁVILA HERRERA</t>
  </si>
  <si>
    <t>ÁVILA</t>
  </si>
  <si>
    <t>HERRERA</t>
  </si>
  <si>
    <t>SOFÍA ISIDORA</t>
  </si>
  <si>
    <t>JOSÉ LUÍS AYALA PARRA</t>
  </si>
  <si>
    <t>AYALA</t>
  </si>
  <si>
    <t>PARRA</t>
  </si>
  <si>
    <t>JOSÉ LUÍS</t>
  </si>
  <si>
    <t>JAVIERA CAROLINA BAEZ SOTO</t>
  </si>
  <si>
    <t>BAEZ</t>
  </si>
  <si>
    <t>SOTO</t>
  </si>
  <si>
    <t>JAVIERA CAROLINA</t>
  </si>
  <si>
    <t>ANTONIA JESÚS BERRÍOS ESPINOZA</t>
  </si>
  <si>
    <t>BERRÍOS</t>
  </si>
  <si>
    <t>ESPINOZA</t>
  </si>
  <si>
    <t>ANTONIA JESÚS</t>
  </si>
  <si>
    <t>MICHAEL JOSUE BLANCO TORRES</t>
  </si>
  <si>
    <t>BLANCO</t>
  </si>
  <si>
    <t>TORRES</t>
  </si>
  <si>
    <t>MICHAEL JOSUE</t>
  </si>
  <si>
    <t>MARÍA IGNACIA BUSTAMANTE ERAZO</t>
  </si>
  <si>
    <t>BUSTAMANTE</t>
  </si>
  <si>
    <t>ERAZO</t>
  </si>
  <si>
    <t>MARÍA IGNACIA</t>
  </si>
  <si>
    <t>K</t>
  </si>
  <si>
    <t>ERICK ALONSO CARRASCO GALVEZ</t>
  </si>
  <si>
    <t>GALVEZ</t>
  </si>
  <si>
    <t>ERICK ALONSO</t>
  </si>
  <si>
    <t>MILLARAY CRISTINA CARRASCO GUTIÉRREZ</t>
  </si>
  <si>
    <t>GUTIÉRREZ</t>
  </si>
  <si>
    <t>MILLARAY CRISTINA</t>
  </si>
  <si>
    <t>MELANYE ALMENDRA CARRILLO NAHUELPÁN</t>
  </si>
  <si>
    <t>CARRILLO</t>
  </si>
  <si>
    <t>NAHUELPÁN</t>
  </si>
  <si>
    <t>MELANYE ALMENDRA</t>
  </si>
  <si>
    <t>TOMÁS ALEXIS CARVAJAL RIQUELME</t>
  </si>
  <si>
    <t>CARVAJAL</t>
  </si>
  <si>
    <t>RIQUELME</t>
  </si>
  <si>
    <t>TOMÁS ALEXIS</t>
  </si>
  <si>
    <t>VALENTINA ANTONIA CASTRO VALLEJOS</t>
  </si>
  <si>
    <t>CASTRO</t>
  </si>
  <si>
    <t>VALLEJOS</t>
  </si>
  <si>
    <t>VALENTINA ANTONIA</t>
  </si>
  <si>
    <t>VICENTE ANDRÉS CASTRO OSSES</t>
  </si>
  <si>
    <t>OSSES</t>
  </si>
  <si>
    <t>VICENTE ANDRÉS</t>
  </si>
  <si>
    <t>IAN CLAUDIO ANDRÉS CASTRO RAMÍREZ</t>
  </si>
  <si>
    <t>RAMÍREZ</t>
  </si>
  <si>
    <t>IAN CLAUDIO ANDRÉS</t>
  </si>
  <si>
    <t>NICHOLAS ALEJANDRO CISTERNAS DROGUETT</t>
  </si>
  <si>
    <t>CISTERNAS</t>
  </si>
  <si>
    <t>DROGUETT</t>
  </si>
  <si>
    <t>NICHOLAS ALEJANDRO</t>
  </si>
  <si>
    <t>MILLARAY ESPERANZA COLICHEN CADENA</t>
  </si>
  <si>
    <t>COLICHEN</t>
  </si>
  <si>
    <t>CADENA</t>
  </si>
  <si>
    <t>MILLARAY ESPERANZA</t>
  </si>
  <si>
    <t>MICHELLE FRANCHESCA CONTRERAS SADINO</t>
  </si>
  <si>
    <t>CONTRERAS</t>
  </si>
  <si>
    <t>SADINO</t>
  </si>
  <si>
    <t>MICHELLE FRANCHESCA</t>
  </si>
  <si>
    <t>FLORENCIA CAROLINA CONTRERAS BARRERA</t>
  </si>
  <si>
    <t>BARRERA</t>
  </si>
  <si>
    <t>FLORENCIA CAROLINA</t>
  </si>
  <si>
    <t>JAVIERA FRANCISCA CONTRERAS VILLABLANCA</t>
  </si>
  <si>
    <t>VILLABLANCA</t>
  </si>
  <si>
    <t>JAVIERA FRANCISCA</t>
  </si>
  <si>
    <t>ARACELLI BELÉN DA VIA MEZA</t>
  </si>
  <si>
    <t>DA VIA</t>
  </si>
  <si>
    <t>MEZA</t>
  </si>
  <si>
    <t>ARACELLI BELÉN</t>
  </si>
  <si>
    <t>ANAÍS CAROLINA DÍAZ ARÉVALO</t>
  </si>
  <si>
    <t>DÍAZ</t>
  </si>
  <si>
    <t>ARÉVALO</t>
  </si>
  <si>
    <t>ANAÍS CAROLINA</t>
  </si>
  <si>
    <t>NAYARETH CONSTANZA DUHALDE MÁRQUEZ</t>
  </si>
  <si>
    <t>DUHALDE</t>
  </si>
  <si>
    <t>MÁRQUEZ</t>
  </si>
  <si>
    <t>NAYARETH CONSTANZA</t>
  </si>
  <si>
    <t>SOFÍA MICHELLE ELGUETA VIDAL</t>
  </si>
  <si>
    <t>ELGUETA</t>
  </si>
  <si>
    <t>VIDAL</t>
  </si>
  <si>
    <t>SOFÍA MICHELLE</t>
  </si>
  <si>
    <t>MARIANA ANDREA ESCOBAR ROMO</t>
  </si>
  <si>
    <t>ESCOBAR</t>
  </si>
  <si>
    <t>ROMO</t>
  </si>
  <si>
    <t>MARIANA ANDREA</t>
  </si>
  <si>
    <t>VICENTE IGNACIO FUENTEALBA SALDIVIA</t>
  </si>
  <si>
    <t>FUENTEALBA</t>
  </si>
  <si>
    <t>SALDIVIA</t>
  </si>
  <si>
    <t>VICENTE IGNACIO</t>
  </si>
  <si>
    <t>MATÍAS ANDRÉS FUENTES MORALES</t>
  </si>
  <si>
    <t>FUENTES</t>
  </si>
  <si>
    <t>MORALES</t>
  </si>
  <si>
    <t>MATÍAS ANDRÉS</t>
  </si>
  <si>
    <t>MARIA JESUS GALLANO VARGAS</t>
  </si>
  <si>
    <t>GALLANO</t>
  </si>
  <si>
    <t>VARGAS</t>
  </si>
  <si>
    <t>MARIA JESUS</t>
  </si>
  <si>
    <t>JAQUELINE ANTONIA GALLARDO BERRÍOS</t>
  </si>
  <si>
    <t>GALLARDO</t>
  </si>
  <si>
    <t>JAQUELINE ANTONIA</t>
  </si>
  <si>
    <t>MILLARAY ANTONIA GALLEGOS MENA</t>
  </si>
  <si>
    <t>GALLEGOS</t>
  </si>
  <si>
    <t>MENA</t>
  </si>
  <si>
    <t>MILLARAY ANTONIA</t>
  </si>
  <si>
    <t>FABIÁN ANDRÉS GAMBOA GONZÁLEZ</t>
  </si>
  <si>
    <t>GAMBOA</t>
  </si>
  <si>
    <t>GONZÁLEZ</t>
  </si>
  <si>
    <t>FABIÁN ANDRÉS</t>
  </si>
  <si>
    <t>ANGELA VICTORIA GARCÉS CASTILLO</t>
  </si>
  <si>
    <t>GARCÉS</t>
  </si>
  <si>
    <t>ANGELA VICTORIA</t>
  </si>
  <si>
    <t>MARTÍN ANDRÉS GARRIDO LECAROS</t>
  </si>
  <si>
    <t>GARRIDO</t>
  </si>
  <si>
    <t>LECAROS</t>
  </si>
  <si>
    <t>MARTÍN ANDRÉS</t>
  </si>
  <si>
    <t>GIULIANA XIMENA GARRIDO MÉNDEZ</t>
  </si>
  <si>
    <t>MÉNDEZ</t>
  </si>
  <si>
    <t>GIULIANA XIMENA</t>
  </si>
  <si>
    <t>MATÍAS NICOLÁS GONZÁLEZ COLLINAO</t>
  </si>
  <si>
    <t>COLLINAO</t>
  </si>
  <si>
    <t>MATÍAS NICOLÁS</t>
  </si>
  <si>
    <t>LUCIA ANTONIA GONZÁLEZ MADRID</t>
  </si>
  <si>
    <t>MADRID</t>
  </si>
  <si>
    <t>LUCIA ANTONIA</t>
  </si>
  <si>
    <t>MAIRYM ARANIS GONZÁLEZ CASTRO</t>
  </si>
  <si>
    <t>MAIRYM ARANIS</t>
  </si>
  <si>
    <t>MAXIMILIANO ANDRÉS GONZÁLEZ CARAMORI</t>
  </si>
  <si>
    <t>CARAMORI</t>
  </si>
  <si>
    <t>MAXIMILIANO ANDRÉS</t>
  </si>
  <si>
    <t>GUILLERMO ANDRES GUERRA ARÁNGUIZ</t>
  </si>
  <si>
    <t>GUERRA</t>
  </si>
  <si>
    <t>GUILLERMO ANDRES</t>
  </si>
  <si>
    <t>ANTONELLA AMADA GUERRERO OLIVARES</t>
  </si>
  <si>
    <t>GUERRERO</t>
  </si>
  <si>
    <t>OLIVARES</t>
  </si>
  <si>
    <t>ANTONELLA AMADA</t>
  </si>
  <si>
    <t>BENJAMÍN IGNACIO HERNÁNDEZ IBARRA</t>
  </si>
  <si>
    <t>HERNÁNDEZ</t>
  </si>
  <si>
    <t>IBARRA</t>
  </si>
  <si>
    <t>BENJAMÍN IGNACIO</t>
  </si>
  <si>
    <t>MARÍA DEL ROSARIO HERNÁNDEZ DURÁN</t>
  </si>
  <si>
    <t>DURÁN</t>
  </si>
  <si>
    <t>MARÍA DEL ROSARIO</t>
  </si>
  <si>
    <t>DANIEL NICOLÁS HORMAZÁBAL ZÚÑIGA</t>
  </si>
  <si>
    <t>HORMAZÁBAL</t>
  </si>
  <si>
    <t>ZÚÑIGA</t>
  </si>
  <si>
    <t>DANIEL NICOLÁS</t>
  </si>
  <si>
    <t>BELÉN ANAIZ HUINCACHE MORALES</t>
  </si>
  <si>
    <t>HUINCACHE</t>
  </si>
  <si>
    <t>BELÉN ANAIZ</t>
  </si>
  <si>
    <t>MARÍA JESÚS INOSTROZA ARMIJO</t>
  </si>
  <si>
    <t>INOSTROZA</t>
  </si>
  <si>
    <t>ARMIJO</t>
  </si>
  <si>
    <t>MARÍA JESÚS</t>
  </si>
  <si>
    <t>CONSTANZA VICTORIA ITURRIETA RODRÍGUEZ</t>
  </si>
  <si>
    <t>ITURRIETA</t>
  </si>
  <si>
    <t>RODRÍGUEZ</t>
  </si>
  <si>
    <t>CONSTANZA VICTORIA</t>
  </si>
  <si>
    <t>AYLYNE LISSETE JAQUE GUTIÉRREZ</t>
  </si>
  <si>
    <t>JAQUE</t>
  </si>
  <si>
    <t>AYLYNE LISSETE</t>
  </si>
  <si>
    <t>ARLIN MELANI JARA MUÑOZ</t>
  </si>
  <si>
    <t>JARA</t>
  </si>
  <si>
    <t>MUÑOZ</t>
  </si>
  <si>
    <t>ARLIN MELANI</t>
  </si>
  <si>
    <t>CATALINA DEIDAMIA JELDRES ALARCÓN</t>
  </si>
  <si>
    <t>JELDRES</t>
  </si>
  <si>
    <t>CATALINA DEIDAMIA</t>
  </si>
  <si>
    <t>CECILIA DEL TRANSITO JEREZ PINO</t>
  </si>
  <si>
    <t>JEREZ</t>
  </si>
  <si>
    <t>PINO</t>
  </si>
  <si>
    <t>CECILIA DEL TRANSITO</t>
  </si>
  <si>
    <t>LIAM BENJAMÍN LAZO ARAYA</t>
  </si>
  <si>
    <t>LAZO</t>
  </si>
  <si>
    <t>LIAM BENJAMÍN</t>
  </si>
  <si>
    <t>CONSTANZA EUNICE LIZAMA TARI</t>
  </si>
  <si>
    <t>LIZAMA</t>
  </si>
  <si>
    <t>TARI</t>
  </si>
  <si>
    <t>CONSTANZA EUNICE</t>
  </si>
  <si>
    <t>VALENTINA PAZ MADARIAGA BASUALTO</t>
  </si>
  <si>
    <t>MADARIAGA</t>
  </si>
  <si>
    <t>BASUALTO</t>
  </si>
  <si>
    <t>VALENTINA PAZ</t>
  </si>
  <si>
    <t>PAZ BELÉN MADARIAGA DUQUE</t>
  </si>
  <si>
    <t>DUQUE</t>
  </si>
  <si>
    <t>PAZ BELÉN</t>
  </si>
  <si>
    <t>VICTORIA ANDREA MANCILLA BIZAMA</t>
  </si>
  <si>
    <t>MANCILLA</t>
  </si>
  <si>
    <t>BIZAMA</t>
  </si>
  <si>
    <t>VICTORIA ANDREA</t>
  </si>
  <si>
    <t>BÁRBARA SOFÍA MAUREIRA MUÑOZ</t>
  </si>
  <si>
    <t>MAUREIRA</t>
  </si>
  <si>
    <t>BÁRBARA SOFÍA</t>
  </si>
  <si>
    <t>DIEGO PATRICIO MEDINA CUBILLOS</t>
  </si>
  <si>
    <t>MEDINA</t>
  </si>
  <si>
    <t>CUBILLOS</t>
  </si>
  <si>
    <t>DIEGO PATRICIO</t>
  </si>
  <si>
    <t>DIEGO IGNACIO MEJÍAS POBLETE</t>
  </si>
  <si>
    <t>MEJÍAS</t>
  </si>
  <si>
    <t>POBLETE</t>
  </si>
  <si>
    <t>DIEGO IGNACIO</t>
  </si>
  <si>
    <t>FRANCISCA MILLARAY MENA CÁCERES</t>
  </si>
  <si>
    <t>CÁCERES</t>
  </si>
  <si>
    <t>FRANCISCA MILLARAY</t>
  </si>
  <si>
    <t>LUZ ANAHI MENDY JOFRÉ</t>
  </si>
  <si>
    <t>MENDY</t>
  </si>
  <si>
    <t>JOFRÉ</t>
  </si>
  <si>
    <t>LUZ ANAHI</t>
  </si>
  <si>
    <t>JAVIERA ISIDORA MONTECINOS RIVERA</t>
  </si>
  <si>
    <t>MONTECINOS</t>
  </si>
  <si>
    <t>RIVERA</t>
  </si>
  <si>
    <t>JAVIERA ISIDORA</t>
  </si>
  <si>
    <t>BASTIAN ALEJANDRO MORALES CASTELBLANCO</t>
  </si>
  <si>
    <t>CASTELBLANCO</t>
  </si>
  <si>
    <t>BASTIAN ALEJANDRO</t>
  </si>
  <si>
    <t>JOSE PATRICIO MORALES CORREA</t>
  </si>
  <si>
    <t>JOSE PATRICIO</t>
  </si>
  <si>
    <t>GABRIEL ALONSO MORALES ARRIAZA</t>
  </si>
  <si>
    <t>ARRIAZA</t>
  </si>
  <si>
    <t>GABRIEL ALONSO</t>
  </si>
  <si>
    <t>PAULINA ELIZABETH MORALES BUSTAMANTE</t>
  </si>
  <si>
    <t>PAULINA ELIZABETH</t>
  </si>
  <si>
    <t>ANTONIA CATALINA MUÑOZ VALCARCEL</t>
  </si>
  <si>
    <t>VALCARCEL</t>
  </si>
  <si>
    <t>ANTONIA CATALINA</t>
  </si>
  <si>
    <t>ANAÍS BELÉN NAVARRETE CHÁVEZ</t>
  </si>
  <si>
    <t>NAVARRETE</t>
  </si>
  <si>
    <t>CHÁVEZ</t>
  </si>
  <si>
    <t>ANAÍS BELÉN</t>
  </si>
  <si>
    <t>SOFÍA IGNACIA NAVARRO REYES</t>
  </si>
  <si>
    <t>NAVARRO</t>
  </si>
  <si>
    <t>REYES</t>
  </si>
  <si>
    <t>SOFÍA IGNACIA</t>
  </si>
  <si>
    <t>CYNTHIA VANESSA NUNEZ PADILLA</t>
  </si>
  <si>
    <t>NUNEZ</t>
  </si>
  <si>
    <t>PADILLA</t>
  </si>
  <si>
    <t>CYNTHIA VANESSA</t>
  </si>
  <si>
    <t>NATALIA ALEJANDRA MONTSERRAT ORTIZ PARODI</t>
  </si>
  <si>
    <t>ORTIZ</t>
  </si>
  <si>
    <t>PARODI</t>
  </si>
  <si>
    <t>NATALIA ALEJANDRA MONTSERRAT</t>
  </si>
  <si>
    <t>DANIEL ARON OYARCE SAN MARTÍN</t>
  </si>
  <si>
    <t>OYARCE</t>
  </si>
  <si>
    <t>SAN MARTÍN</t>
  </si>
  <si>
    <t>DANIEL ARON</t>
  </si>
  <si>
    <t>MARIA PAZ PALACIOS SANTANA</t>
  </si>
  <si>
    <t>PALACIOS</t>
  </si>
  <si>
    <t>SANTANA</t>
  </si>
  <si>
    <t>MARIA PAZ</t>
  </si>
  <si>
    <t>FRANCISCA JAVIERA PARADA RAMÍREZ</t>
  </si>
  <si>
    <t>PARADA</t>
  </si>
  <si>
    <t>FRANCISCA JAVIERA</t>
  </si>
  <si>
    <t>CHRISTELL BELÉN PARRAGUEZ RAMOS</t>
  </si>
  <si>
    <t>PARRAGUEZ</t>
  </si>
  <si>
    <t>RAMOS</t>
  </si>
  <si>
    <t>CHRISTELL BELÉN</t>
  </si>
  <si>
    <t>FERNANDO JESÚS PASSARINI NAVARRETE</t>
  </si>
  <si>
    <t>PASSARINI</t>
  </si>
  <si>
    <t>FERNANDO JESÚS</t>
  </si>
  <si>
    <t>PALOMA DANIELA PEÑA HERNÁNDEZ</t>
  </si>
  <si>
    <t>PEÑA</t>
  </si>
  <si>
    <t>PALOMA DANIELA</t>
  </si>
  <si>
    <t>SEBASTIÁN ANTONIO PEREIRA ROJAS</t>
  </si>
  <si>
    <t>PEREIRA</t>
  </si>
  <si>
    <t>ROJAS</t>
  </si>
  <si>
    <t>SEBASTIÁN ANTONIO</t>
  </si>
  <si>
    <t>JUAN GABRIEL PEREZ VASQUEZ</t>
  </si>
  <si>
    <t>PEREZ</t>
  </si>
  <si>
    <t>VASQUEZ</t>
  </si>
  <si>
    <t>JUAN GABRIEL</t>
  </si>
  <si>
    <t>ALEJANDRO IGNACIO PÉREZ GONZÁLEZ</t>
  </si>
  <si>
    <t>PÉREZ</t>
  </si>
  <si>
    <t>ALEJANDRO IGNACIO</t>
  </si>
  <si>
    <t>MARCO ANTONIO ALEXANDER PÉREZ JORQUERA</t>
  </si>
  <si>
    <t>JORQUERA</t>
  </si>
  <si>
    <t>MARCO ANTONIO ALEXANDER</t>
  </si>
  <si>
    <t>JUAN PABLO PINTO UGARTE</t>
  </si>
  <si>
    <t>PINTO</t>
  </si>
  <si>
    <t>UGARTE</t>
  </si>
  <si>
    <t>JUAN PABLO</t>
  </si>
  <si>
    <t>EMILY DAMARIS RAMÍREZ MERINO</t>
  </si>
  <si>
    <t>MERINO</t>
  </si>
  <si>
    <t>EMILY DAMARIS</t>
  </si>
  <si>
    <t>IGNACIA ARACELLI REYES GOMEZ</t>
  </si>
  <si>
    <t>GOMEZ</t>
  </si>
  <si>
    <t>IGNACIA ARACELLI</t>
  </si>
  <si>
    <t>BENJAMÍN SANDINO REYES CORNEJO</t>
  </si>
  <si>
    <t>CORNEJO</t>
  </si>
  <si>
    <t>BENJAMÍN SANDINO</t>
  </si>
  <si>
    <t>FRANCISCA CAMILA RODRIGUEZ PERALTA</t>
  </si>
  <si>
    <t>RODRIGUEZ</t>
  </si>
  <si>
    <t>PERALTA</t>
  </si>
  <si>
    <t>FRANCISCA CAMILA</t>
  </si>
  <si>
    <t>CAMILA FERNANDA RODRÍGUEZ CISTERNAS</t>
  </si>
  <si>
    <t>CAMILA FERNANDA</t>
  </si>
  <si>
    <t>VIVIANA AYELEN ROMERO ESPINOZA</t>
  </si>
  <si>
    <t>ROMERO</t>
  </si>
  <si>
    <t>VIVIANA AYELEN</t>
  </si>
  <si>
    <t>FERNANDA ANTONIA RUNGE HERNÁNDEZ</t>
  </si>
  <si>
    <t>RUNGE</t>
  </si>
  <si>
    <t>FERNANDA ANTONIA</t>
  </si>
  <si>
    <t>BRANDON STEVEN SAAVEDRA ZÚÑIGA</t>
  </si>
  <si>
    <t>SAAVEDRA</t>
  </si>
  <si>
    <t>BRANDON STEVEN</t>
  </si>
  <si>
    <t>JACQUELINE FRANCISCA SALAS HUILCALEO</t>
  </si>
  <si>
    <t>SALAS</t>
  </si>
  <si>
    <t>HUILCALEO</t>
  </si>
  <si>
    <t>JACQUELINE FRANCISCA</t>
  </si>
  <si>
    <t>MARIEL ANAÍS SÁNCHEZ GUTIÉRREZ</t>
  </si>
  <si>
    <t>MARIEL ANAÍS</t>
  </si>
  <si>
    <t>FRANCISCA CLEMENTINA SÁNCHEZ VICENCIO</t>
  </si>
  <si>
    <t>VICENCIO</t>
  </si>
  <si>
    <t>FRANCISCA CLEMENTINA</t>
  </si>
  <si>
    <t>MAGDALENA DEL ROSARIO SANDOVAL POBLETE</t>
  </si>
  <si>
    <t>SANDOVAL</t>
  </si>
  <si>
    <t>MAGDALENA DEL ROSARIO</t>
  </si>
  <si>
    <t>DANIEL PATRICIO SILVA SAAVEDRA</t>
  </si>
  <si>
    <t>SILVA</t>
  </si>
  <si>
    <t>DANIEL PATRICIO</t>
  </si>
  <si>
    <t>FRANCHESCA ANTONIA TOLOZA VENEGAS</t>
  </si>
  <si>
    <t>TOLOZA</t>
  </si>
  <si>
    <t>VENEGAS</t>
  </si>
  <si>
    <t>FRANCHESCA ANTONIA</t>
  </si>
  <si>
    <t>JOSUE ALBERTO TORO ARAVENA</t>
  </si>
  <si>
    <t>TORO</t>
  </si>
  <si>
    <t>ARAVENA</t>
  </si>
  <si>
    <t>JOSUE ALBERTO</t>
  </si>
  <si>
    <t>ANTHONY JESÚS URBANO ALLENDES</t>
  </si>
  <si>
    <t>URBANO</t>
  </si>
  <si>
    <t>ALLENDES</t>
  </si>
  <si>
    <t>ANTHONY JESÚS</t>
  </si>
  <si>
    <t>DAMIÁN IGNACIO URIBE INOSTROZA</t>
  </si>
  <si>
    <t>URIBE</t>
  </si>
  <si>
    <t>DAMIÁN IGNACIO</t>
  </si>
  <si>
    <t>SEBASTIÁN IGNACIO VALDÉS PACHECO</t>
  </si>
  <si>
    <t>VALDÉS</t>
  </si>
  <si>
    <t>PACHECO</t>
  </si>
  <si>
    <t>SEBASTIÁN IGNACIO</t>
  </si>
  <si>
    <t>VICENTE ANTONIO VALDIVIA ARAVENA</t>
  </si>
  <si>
    <t>VALDIVIA</t>
  </si>
  <si>
    <t>VICENTE ANTONIO</t>
  </si>
  <si>
    <t>PAMELA TAMARA VALENZUELA GRACION</t>
  </si>
  <si>
    <t>VALENZUELA</t>
  </si>
  <si>
    <t>GRACION</t>
  </si>
  <si>
    <t>PAMELA TAMARA</t>
  </si>
  <si>
    <t>KARLA JAVIERA VILLABLANCA DONOSO</t>
  </si>
  <si>
    <t>DONOSO</t>
  </si>
  <si>
    <t>KARLA JAVIERA</t>
  </si>
  <si>
    <t>MARTINA AMANDA VILLELA LOBOS</t>
  </si>
  <si>
    <t>VILLELA</t>
  </si>
  <si>
    <t>LOBOS</t>
  </si>
  <si>
    <t>MARTINA AMANDA</t>
  </si>
  <si>
    <t>RODRIGO JUAN LEONARDO VIVAR VÁSQUEZ</t>
  </si>
  <si>
    <t>VIVAR</t>
  </si>
  <si>
    <t>VÁSQUEZ</t>
  </si>
  <si>
    <t>RODRIGO JUAN LEONARDO</t>
  </si>
  <si>
    <t>ANTONIA FERNANDA VIVAR LETELIER</t>
  </si>
  <si>
    <t>LETELIER</t>
  </si>
  <si>
    <t>ANTONIA FERNANDA</t>
  </si>
  <si>
    <t>ISIDORA JAVIERA YÁÑEZ RIVERA</t>
  </si>
  <si>
    <t>YÁÑEZ</t>
  </si>
  <si>
    <t>ISIDORA JAVIERA</t>
  </si>
  <si>
    <t>PAZ BELÉN YÁÑEZ CISTERNA</t>
  </si>
  <si>
    <t>CISTERNA</t>
  </si>
  <si>
    <t>GENESIS FERNANDA ZAVALA HENRÍQUEZ</t>
  </si>
  <si>
    <t>ZAVALA</t>
  </si>
  <si>
    <t>HENRÍQUEZ</t>
  </si>
  <si>
    <t>GENESIS FERNANDA</t>
  </si>
  <si>
    <t>WEEDMARCK DADY ZEPHIRIN .</t>
  </si>
  <si>
    <t>ZEPHIRIN</t>
  </si>
  <si>
    <t>.</t>
  </si>
  <si>
    <t>WEEDMARCK DADY</t>
  </si>
  <si>
    <t>ANTONIA ZÚÑIGA PACHECO</t>
  </si>
  <si>
    <t>ANTONIA</t>
  </si>
  <si>
    <t xml:space="preserve">Andrés  Sanhueza </t>
  </si>
  <si>
    <t>Sanhueza</t>
  </si>
  <si>
    <t xml:space="preserve">Andrés </t>
  </si>
  <si>
    <t>EPI pendiente periodo anterior</t>
  </si>
  <si>
    <t>Porcentaje Logro por criterio</t>
  </si>
  <si>
    <r>
      <rPr>
        <b/>
        <u/>
        <sz val="11"/>
        <color theme="1"/>
        <rFont val="Arial"/>
      </rPr>
      <t xml:space="preserve">
</t>
    </r>
    <r>
      <rPr>
        <b/>
        <u/>
        <sz val="12"/>
        <color theme="1"/>
        <rFont val="Arial"/>
      </rPr>
      <t>Competencia 1</t>
    </r>
    <r>
      <rPr>
        <sz val="11"/>
        <color theme="1"/>
        <rFont val="Arial"/>
      </rPr>
      <t xml:space="preserve">
</t>
    </r>
    <r>
      <rPr>
        <sz val="12"/>
        <color theme="1"/>
        <rFont val="Arial"/>
      </rPr>
      <t xml:space="preserve">Relaciona cómo las dimensiones sociológicas e históricas influyen en el proceso formativo de las personas, con el fin de explicar la construcción de la cultura escolar chilena.
</t>
    </r>
    <r>
      <rPr>
        <i/>
        <sz val="11"/>
        <color theme="1"/>
        <rFont val="Arial"/>
      </rPr>
      <t xml:space="preserve">Deficiente: 0 puntos
Insuficiente: 1 puntos
Satisfactorio: 2 puntos
Óptimo: 3 puntos
</t>
    </r>
  </si>
  <si>
    <r>
      <rPr>
        <b/>
        <u/>
        <sz val="11"/>
        <color theme="1"/>
        <rFont val="Arial"/>
      </rPr>
      <t xml:space="preserve">
</t>
    </r>
    <r>
      <rPr>
        <b/>
        <u/>
        <sz val="12"/>
        <color theme="1"/>
        <rFont val="Arial"/>
      </rPr>
      <t>Competencia 2</t>
    </r>
    <r>
      <rPr>
        <b/>
        <sz val="11"/>
        <color theme="1"/>
        <rFont val="Arial"/>
      </rPr>
      <t xml:space="preserve">
</t>
    </r>
    <r>
      <rPr>
        <sz val="11"/>
        <color theme="1"/>
        <rFont val="Arial"/>
      </rPr>
      <t xml:space="preserve"> </t>
    </r>
    <r>
      <rPr>
        <sz val="12"/>
        <color theme="1"/>
        <rFont val="Arial"/>
      </rPr>
      <t xml:space="preserve">Analiza los desafíos que presenta la institucionalidad dentro del sistema escolar.
</t>
    </r>
    <r>
      <rPr>
        <sz val="11"/>
        <color theme="1"/>
        <rFont val="Arial"/>
      </rPr>
      <t xml:space="preserve">
</t>
    </r>
    <r>
      <rPr>
        <i/>
        <sz val="11"/>
        <color theme="1"/>
        <rFont val="Arial"/>
      </rPr>
      <t xml:space="preserve">
Deficiente: 0 puntos
Insuficiente: 1 puntos
Satisfactorio: 2 puntos
Óptimo: 3 puntos
</t>
    </r>
  </si>
  <si>
    <r>
      <rPr>
        <b/>
        <u/>
        <sz val="11"/>
        <color theme="1"/>
        <rFont val="Arial"/>
      </rPr>
      <t xml:space="preserve">
</t>
    </r>
    <r>
      <rPr>
        <b/>
        <u/>
        <sz val="12"/>
        <color theme="1"/>
        <rFont val="Arial"/>
      </rPr>
      <t>Competencia 3</t>
    </r>
    <r>
      <rPr>
        <b/>
        <sz val="11"/>
        <color theme="1"/>
        <rFont val="Arial"/>
      </rPr>
      <t xml:space="preserve">
 </t>
    </r>
    <r>
      <rPr>
        <sz val="12"/>
        <color theme="1"/>
        <rFont val="Arial"/>
      </rPr>
      <t xml:space="preserve">Elabora un argumento de manera analítica y crítica respecto de la educación como un medio para el desarrollo personal y la integración social, adoptando un posicionamiento desde una perspectiva educativa inclusiva.
</t>
    </r>
    <r>
      <rPr>
        <sz val="11"/>
        <color theme="1"/>
        <rFont val="Arial"/>
      </rPr>
      <t xml:space="preserve">
</t>
    </r>
    <r>
      <rPr>
        <i/>
        <sz val="11"/>
        <color theme="1"/>
        <rFont val="Arial"/>
      </rPr>
      <t xml:space="preserve">Deficiente: 0 puntos
Insuficiente: 1 puntos
Satisfactorio: 2 puntos
Óptimo: 3 puntos
</t>
    </r>
    <r>
      <rPr>
        <b/>
        <sz val="11"/>
        <color theme="1"/>
        <rFont val="Arial"/>
      </rPr>
      <t xml:space="preserve">
</t>
    </r>
  </si>
  <si>
    <t>Resultados Generales Cohorte</t>
  </si>
  <si>
    <t xml:space="preserve"> N Estudiantes habilitados para rendir</t>
  </si>
  <si>
    <t xml:space="preserve"> N Estudiantes que rindieron</t>
  </si>
  <si>
    <t xml:space="preserve">Porcentaje de cobertura EPI </t>
  </si>
  <si>
    <t xml:space="preserve">Caracterización de la cultura escolar
</t>
  </si>
  <si>
    <t xml:space="preserve">Hitos Históricos y/o Sociales  
</t>
  </si>
  <si>
    <t xml:space="preserve">Relación hito-cultura escolar
</t>
  </si>
  <si>
    <t>PORCENTAJE DE LOGRO EPI 2025</t>
  </si>
  <si>
    <t>Insuficiente</t>
  </si>
  <si>
    <r>
      <rPr>
        <b/>
        <u/>
        <sz val="11"/>
        <color theme="1"/>
        <rFont val="Aptos Narrow"/>
      </rPr>
      <t>Competencia 1</t>
    </r>
    <r>
      <rPr>
        <sz val="11"/>
        <color theme="1"/>
        <rFont val="Aptos Narrow"/>
      </rPr>
      <t xml:space="preserve">
Relaciona cómo las dimensiones sociológicas e históricas influyen en el proceso formativo de las personas, con el fin de explicar la construcción de la cultura escolar chilena.</t>
    </r>
  </si>
  <si>
    <r>
      <rPr>
        <b/>
        <u/>
        <sz val="11"/>
        <color theme="1"/>
        <rFont val="Aptos Narrow"/>
      </rPr>
      <t>Competencia 2</t>
    </r>
    <r>
      <rPr>
        <b/>
        <sz val="11"/>
        <color theme="1"/>
        <rFont val="Aptos Narrow"/>
      </rPr>
      <t xml:space="preserve">
</t>
    </r>
    <r>
      <rPr>
        <sz val="11"/>
        <color theme="1"/>
        <rFont val="Aptos Narrow"/>
      </rPr>
      <t xml:space="preserve">Competencia evaluada: Analiza los desafíos que presenta la institucionalidad dentro del sistema escolar </t>
    </r>
  </si>
  <si>
    <r>
      <rPr>
        <b/>
        <u/>
        <sz val="11"/>
        <color theme="1"/>
        <rFont val="Aptos Narrow"/>
      </rPr>
      <t>Competencia 3</t>
    </r>
    <r>
      <rPr>
        <b/>
        <sz val="11"/>
        <color theme="1"/>
        <rFont val="Aptos Narrow"/>
      </rPr>
      <t xml:space="preserve">
 </t>
    </r>
    <r>
      <rPr>
        <sz val="11"/>
        <color theme="1"/>
        <rFont val="Aptos Narrow"/>
      </rPr>
      <t>Elabora un argumento de manera analítica y crítica respecto de la educación como un medio para el desarrollo personal y la integración social, adoptando un posicionamiento desde una perspectiva educativa inclusiva.</t>
    </r>
    <r>
      <rPr>
        <b/>
        <sz val="11"/>
        <color theme="1"/>
        <rFont val="Aptos Narrow"/>
      </rPr>
      <t xml:space="preserve">
</t>
    </r>
  </si>
  <si>
    <t>Estado de Habilitación para rendir</t>
  </si>
  <si>
    <t>JUSTIFICATIVO DE NO RENDICIÓN</t>
  </si>
  <si>
    <t>Justifica</t>
  </si>
  <si>
    <t>Avance curricular insuficiente para evaluar ciclo básico (no rinde EPI 2025)</t>
  </si>
  <si>
    <t>No justifica</t>
  </si>
  <si>
    <t>Rendida no válida</t>
  </si>
  <si>
    <t>Interrupción voluntaria (no rinde EPI 2025)</t>
  </si>
  <si>
    <t>Retracto</t>
  </si>
  <si>
    <t>NOMBRE DE LA FACULTAD</t>
  </si>
  <si>
    <t xml:space="preserve">NOMBRE DEL PROGRAMA ACADÉMICO </t>
  </si>
  <si>
    <r>
      <t xml:space="preserve">PLAN DE ESTUDIO </t>
    </r>
    <r>
      <rPr>
        <b/>
        <sz val="11"/>
        <color rgb="FF0070C0"/>
        <rFont val="Aptos Narrow"/>
        <family val="2"/>
        <scheme val="minor"/>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</si>
  <si>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</si>
  <si>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</si>
  <si>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</si>
  <si>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</si>
  <si>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</si>
  <si>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</si>
  <si>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</si>
  <si>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</si>
  <si>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</si>
  <si>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t>1) Analizar resultados de encuesta aplicada a los estudiantes luego de la implementación de la EPI para preparar grupo focal.
2) Aplicar focus groups con estudiantes para indagar sus percepciones respecto al logro de las competencias del perfil intermedio y aspectos que pueden estar incidiendo en su logro. Explorar las variables que incidieron en los resultados (percepción sobre claridad de instrucciones, nivel de dificultad de las preguntas y nivel de preparación).
3) Llevar a cabo una revisión de contenidos, metodologías, programaciones de las actividades curriculares del ciclo básico.
4) Integrar en programaciones de actividades curriculares de 3er año, ajustes que favorezcan el desarrollo de las competencias que evidenciaron un menor logro en EPI.
5) Sesiones de socialización de competencias y resultados alcanzados (estudiantes y profesores por separados: ciclo básico y tercer año).</t>
  </si>
  <si>
    <t>Ejs. 
- Informe con análisis de encuesta 
- listas de asistencia y registro de actas de jornadas y grupo focal
- pauta preguntas focus group 
- acta sesión del comité curricular del programa académico</t>
  </si>
  <si>
    <t xml:space="preserve">II. </t>
  </si>
  <si>
    <t>MEDIANO PLAZO</t>
  </si>
  <si>
    <t xml:space="preserve">1) Desarrollar jornadas de trabajo con el equipo docente y directivo del programa académico para definir ajustes en las programaciones de las actividades curriculares del ciclo de profundización, particularmente en lo referido a metodologías y evaluaciones.
2) Incorporar, en programaciones del ciclo básico, actividades de aprendizaje y evaluaciones orientadas a favorecer las competencias más descendidas en la EPI.
3) Analizar comparativamente las calificaciones obtenidas en el ciclo básico con los resultados de EPI, para evaluar nudos críticos en la implementación del plan de estudio que puedan ser abordados con anticipación.
4) Diseñar un instrumento de monitoreo de las competencias del perfil intermedio para aplicar al finalizar el primer año: competencias pedagógicas y lingüísticas. 
5) Aplicar una prueba de diagnóstico de proficiencia lingüística para estudiantes de primer año. 
6) Realizar un trabajo de nivelación lingüística a estudiantes de primer año que no cumplan con los requisitos de perfil de ingreso (nivel B1) 
7) Revisar el instrumento para la evaluación de perfil intermedio y su pertinencia para el monitoreo de los aprendizajes pedagógicos (2026). 
8) Cambiar la prueba de proficiencia lingüística para el monitoreo de la competencia 4 (de Linguaskill a FCE, nivel B2).
</t>
  </si>
  <si>
    <t>Ejs. 
- programaciones de las actividades curriculares 
- actualización curricular
- Informe histórico comparativo resultados EPI y tasas de aprobación ciclo básico.
- Instrumento de monitoreo
- Instrumento diagnóstico
- Reporte de resultados</t>
  </si>
  <si>
    <t xml:space="preserve">III. </t>
  </si>
  <si>
    <t>2)</t>
  </si>
  <si>
    <t xml:space="preserve">1) Elaborar una actividad curricular a la formación inicial que permita una mejor transición entre la escuela y la universidad respecto al desarrollo de habilidades académicas descendidas informadas por el perfil de ingreso. 
2) Actualizar el plan de estudio, ajustando programas de actividades curriculares, carga académica y ubicación de actividades curriculares en el ciclo básico.
3) Generar instancias para la colaboración entre docentes con el propósito de compartir mejores prácticas y desarrollar estrategias pedagógicas más críticas, coherentes y efectivas en el ciclo básico del plan de estudio.
</t>
  </si>
  <si>
    <t>Ejs. 
- programa curso
- programas de actividades curriculares del ciclo básico, actualizadas
- Hojas de asistencia, actas con acuerdos</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</si>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</sst>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1"/>
      <color theme="1"/>
      <name val="Aptos Narrow"/>
      <scheme val="minor"/>
    </font>
    <font>
      <sz val="11"/>
      <color theme="1"/>
      <name val="Aptos Narrow"/>
      <scheme val="minor"/>
    </font>
    <font>
      <b/>
      <sz val="11"/>
      <color rgb="FF000000"/>
      <name val="Aptos Narrow"/>
    </font>
    <font>
      <sz val="11"/>
      <name val="Aptos Narrow"/>
    </font>
    <font>
      <sz val="11"/>
      <color theme="1"/>
      <name val="Aptos Narrow"/>
    </font>
    <font>
      <b/>
      <sz val="11"/>
      <color theme="1"/>
      <name val="Aptos Narrow"/>
    </font>
    <font>
      <sz val="11"/>
      <color rgb="FF242424"/>
      <name val="Aptos Narrow"/>
    </font>
    <font>
      <b/>
      <sz val="10"/>
      <color theme="1"/>
      <name val="Aptos Narrow"/>
    </font>
    <font>
      <b/>
      <sz val="10"/>
      <color theme="1"/>
      <name val="Arial"/>
    </font>
    <font>
      <sz val="11"/>
      <color theme="9"/>
      <name val="Aptos Narrow"/>
    </font>
    <font>
      <sz val="11"/>
      <color theme="1"/>
      <name val="Arial"/>
    </font>
    <font>
      <sz val="11"/>
      <color rgb="FF4EA72E"/>
      <name val="Arial"/>
    </font>
    <font>
      <sz val="11"/>
      <color theme="1"/>
      <name val="Calibri"/>
    </font>
    <font>
      <sz val="12"/>
      <color theme="1"/>
      <name val="Aptos"/>
    </font>
    <font>
      <b/>
      <u/>
      <sz val="11"/>
      <color theme="1"/>
      <name val="Arial"/>
    </font>
    <font>
      <b/>
      <u/>
      <sz val="12"/>
      <color theme="1"/>
      <name val="Arial"/>
    </font>
    <font>
      <sz val="12"/>
      <color theme="1"/>
      <name val="Arial"/>
    </font>
    <font>
      <i/>
      <sz val="11"/>
      <color theme="1"/>
      <name val="Arial"/>
    </font>
    <font>
      <b/>
      <sz val="11"/>
      <color theme="1"/>
      <name val="Arial"/>
    </font>
    <font>
      <sz val="10"/>
      <color theme="1"/>
      <name val="Arial"/>
    </font>
    <font>
      <b/>
      <u/>
      <sz val="11"/>
      <color theme="1"/>
      <name val="Aptos Narrow"/>
    </font>
    <font>
      <b/>
      <sz val="11"/>
      <color theme="1"/>
      <name val="Aptos Narrow"/>
      <family val="2"/>
      <scheme val="minor"/>
    </font>
    <font>
      <b/>
      <sz val="11"/>
      <color rgb="FF0070C0"/>
      <name val="Aptos Narrow"/>
      <family val="2"/>
      <scheme val="minor"/>
    </font>
    <font>
      <b/>
      <sz val="11"/>
      <name val="Aptos Narrow"/>
      <family val="2"/>
      <scheme val="minor"/>
    </font>
    <font>
      <i/>
      <sz val="11"/>
      <color rgb="FF0070C0"/>
      <name val="Aptos Narrow"/>
      <family val="2"/>
      <scheme val="minor"/>
    </font>
    <font>
      <i/>
      <sz val="11"/>
      <color rgb="FF0070C0"/>
      <name val="Aptos Narrow"/>
      <scheme val="minor"/>
    </font>
  </fonts>
  <fills count="13">
    <fill>
      <patternFill patternType="none"/>
    </fill>
    <fill>
      <patternFill patternType="gray125"/>
    </fill>
    <fill>
      <patternFill patternType="solid">
        <fgColor rgb="FFDDEBF7"/>
        <bgColor rgb="FFDDEBF7"/>
      </patternFill>
    </fill>
    <fill>
      <patternFill patternType="solid">
        <fgColor rgb="FFC0E4F5"/>
        <bgColor rgb="FFC0E4F5"/>
      </patternFill>
    </fill>
    <fill>
      <patternFill patternType="solid">
        <fgColor rgb="FFCAEDFB"/>
        <bgColor rgb="FFCAEDFB"/>
      </patternFill>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B3E5A1"/>
        <bgColor rgb="FFB3E5A1"/>
      </patternFill>
    </fill>
    <fill>
      <patternFill patternType="solid">
        <fgColor rgb="FFF5C6AC"/>
        <bgColor rgb="FFF5C6AC"/>
      </patternFill>
    </fill>
    <fill>
      <patternFill patternType="solid">
        <fgColor rgb="FFD8D8D8"/>
        <bgColor rgb="FFD8D8D8"/>
      </patternFill>
    </fill>
    <fill>
      <patternFill patternType="solid">
        <fgColor rgb="FFFF0000"/>
        <bgColor rgb="FFFF0000"/>
      </patternFill>
    </fill>
    <fill>
      <patternFill patternType="solid">
        <fgColor theme="0" tint="-0.14999847407452621"/>
        <bgColor indexed="64"/>
      </patternFill>
    </fill>
  </fills>
  <borders count="47">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top/>
      <bottom/>
      <diagonal/>
    </border>
    <border>
      <left/>
      <right style="medium">
        <color rgb="FF000000"/>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rgb="FF000000"/>
      </left>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1">
    <xf numFmtId="0" fontId="0" fillId="0" borderId="0" xfId="0"/>
    <xf numFmtId="0" fontId="1" fillId="0" borderId="0" xfId="0" applyFont="1"/>
    <xf numFmtId="0" fontId="2" fillId="2" borderId="4" xfId="0" applyFont="1" applyFill="1" applyBorder="1" applyAlignment="1">
      <alignment horizontal="center" wrapText="1"/>
    </xf>
    <xf numFmtId="0" fontId="2" fillId="2" borderId="5" xfId="0" applyFont="1" applyFill="1" applyBorder="1" applyAlignment="1">
      <alignment horizont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0" borderId="0" xfId="0" applyFont="1" applyAlignment="1">
      <alignment vertical="top" wrapText="1"/>
    </xf>
    <xf numFmtId="0" fontId="4" fillId="0" borderId="0" xfId="0" applyFont="1" applyAlignment="1">
      <alignment vertical="top"/>
    </xf>
    <xf numFmtId="0" fontId="5" fillId="0" borderId="0" xfId="0" applyFont="1"/>
    <xf numFmtId="0" fontId="5" fillId="0" borderId="0" xfId="0" applyFont="1" applyAlignment="1">
      <alignment horizontal="center" vertical="center" wrapText="1"/>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2" fillId="3" borderId="14" xfId="0" applyFont="1" applyFill="1" applyBorder="1" applyAlignment="1">
      <alignment horizontal="center" vertical="center" wrapText="1"/>
    </xf>
    <xf numFmtId="0" fontId="4" fillId="0" borderId="0" xfId="0" applyFont="1" applyAlignment="1">
      <alignment vertical="center"/>
    </xf>
    <xf numFmtId="0" fontId="5" fillId="3" borderId="16" xfId="0" applyFont="1" applyFill="1" applyBorder="1" applyAlignment="1">
      <alignment vertical="center" wrapText="1"/>
    </xf>
    <xf numFmtId="0" fontId="5" fillId="3" borderId="17" xfId="0" applyFont="1" applyFill="1" applyBorder="1" applyAlignment="1">
      <alignment horizontal="center" vertical="center" wrapText="1"/>
    </xf>
    <xf numFmtId="0" fontId="4" fillId="3" borderId="20" xfId="0" applyFont="1" applyFill="1" applyBorder="1" applyAlignment="1">
      <alignment vertical="center" wrapText="1"/>
    </xf>
    <xf numFmtId="0" fontId="4" fillId="3" borderId="16" xfId="0" applyFont="1" applyFill="1" applyBorder="1" applyAlignment="1">
      <alignment vertical="center" wrapText="1"/>
    </xf>
    <xf numFmtId="0" fontId="7" fillId="4" borderId="30" xfId="0" applyFont="1" applyFill="1" applyBorder="1" applyAlignment="1">
      <alignment horizontal="center" vertical="center" wrapText="1"/>
    </xf>
    <xf numFmtId="0" fontId="7" fillId="0" borderId="30" xfId="0" applyFont="1" applyBorder="1" applyAlignment="1">
      <alignment horizontal="center" vertical="center" wrapText="1"/>
    </xf>
    <xf numFmtId="0" fontId="9" fillId="0" borderId="20" xfId="0" applyFont="1" applyBorder="1"/>
    <xf numFmtId="0" fontId="9" fillId="0" borderId="20" xfId="0" applyFont="1" applyBorder="1" applyAlignment="1">
      <alignment horizontal="center"/>
    </xf>
    <xf numFmtId="0" fontId="9" fillId="0" borderId="20" xfId="0" applyFont="1" applyBorder="1" applyAlignment="1">
      <alignment horizontal="left"/>
    </xf>
    <xf numFmtId="0" fontId="10" fillId="0" borderId="24" xfId="0" applyFont="1" applyBorder="1"/>
    <xf numFmtId="0" fontId="11" fillId="0" borderId="20" xfId="0" applyFont="1" applyBorder="1"/>
    <xf numFmtId="0" fontId="11" fillId="0" borderId="23" xfId="0" applyFont="1" applyBorder="1"/>
    <xf numFmtId="164" fontId="9" fillId="0" borderId="20" xfId="0" applyNumberFormat="1" applyFont="1" applyBorder="1"/>
    <xf numFmtId="0" fontId="12" fillId="11" borderId="20" xfId="0" applyFont="1" applyFill="1" applyBorder="1" applyAlignment="1">
      <alignment horizontal="center" vertical="top"/>
    </xf>
    <xf numFmtId="0" fontId="12" fillId="11" borderId="20" xfId="0" applyFont="1" applyFill="1" applyBorder="1" applyAlignment="1">
      <alignment horizontal="left" vertical="top"/>
    </xf>
    <xf numFmtId="0" fontId="9" fillId="11" borderId="20" xfId="0" applyFont="1" applyFill="1" applyBorder="1" applyAlignment="1">
      <alignment wrapText="1"/>
    </xf>
    <xf numFmtId="0" fontId="9" fillId="11" borderId="24" xfId="0" applyFont="1" applyFill="1" applyBorder="1" applyAlignment="1">
      <alignment wrapText="1"/>
    </xf>
    <xf numFmtId="0" fontId="11" fillId="11" borderId="23" xfId="0" applyFont="1" applyFill="1" applyBorder="1"/>
    <xf numFmtId="0" fontId="9" fillId="11" borderId="20" xfId="0" applyFont="1" applyFill="1" applyBorder="1"/>
    <xf numFmtId="164" fontId="9" fillId="11" borderId="20" xfId="0" applyNumberFormat="1" applyFont="1" applyFill="1" applyBorder="1"/>
    <xf numFmtId="0" fontId="12" fillId="0" borderId="20" xfId="0" applyFont="1" applyBorder="1" applyAlignment="1">
      <alignment horizontal="center" vertical="top"/>
    </xf>
    <xf numFmtId="0" fontId="12" fillId="0" borderId="20" xfId="0" applyFont="1" applyBorder="1" applyAlignment="1">
      <alignment horizontal="left" vertical="top"/>
    </xf>
    <xf numFmtId="0" fontId="11" fillId="0" borderId="20" xfId="0" applyFont="1" applyBorder="1" applyAlignment="1">
      <alignment wrapText="1"/>
    </xf>
    <xf numFmtId="0" fontId="9" fillId="0" borderId="24" xfId="0" applyFont="1" applyBorder="1" applyAlignment="1">
      <alignment wrapText="1"/>
    </xf>
    <xf numFmtId="0" fontId="9" fillId="0" borderId="20" xfId="0" applyFont="1" applyBorder="1" applyAlignment="1">
      <alignment wrapText="1"/>
    </xf>
    <xf numFmtId="0" fontId="4" fillId="11" borderId="20" xfId="0" applyFont="1" applyFill="1" applyBorder="1" applyAlignment="1">
      <alignment wrapText="1"/>
    </xf>
    <xf numFmtId="0" fontId="4" fillId="11" borderId="24" xfId="0" applyFont="1" applyFill="1" applyBorder="1" applyAlignment="1">
      <alignment wrapText="1"/>
    </xf>
    <xf numFmtId="0" fontId="10" fillId="0" borderId="20" xfId="0" applyFont="1" applyBorder="1" applyAlignment="1">
      <alignment wrapText="1"/>
    </xf>
    <xf numFmtId="0" fontId="4" fillId="0" borderId="12" xfId="0" applyFont="1" applyBorder="1" applyAlignment="1">
      <alignment wrapText="1"/>
    </xf>
    <xf numFmtId="0" fontId="4" fillId="0" borderId="20" xfId="0" applyFont="1" applyBorder="1" applyAlignment="1">
      <alignment wrapText="1"/>
    </xf>
    <xf numFmtId="0" fontId="4" fillId="0" borderId="24" xfId="0" applyFont="1" applyBorder="1" applyAlignment="1">
      <alignment wrapText="1"/>
    </xf>
    <xf numFmtId="0" fontId="10" fillId="11" borderId="20" xfId="0" applyFont="1" applyFill="1" applyBorder="1" applyAlignment="1">
      <alignment wrapText="1"/>
    </xf>
    <xf numFmtId="0" fontId="10" fillId="11" borderId="20" xfId="0" applyFont="1" applyFill="1" applyBorder="1"/>
    <xf numFmtId="0" fontId="4" fillId="11" borderId="24" xfId="0" applyFont="1" applyFill="1" applyBorder="1"/>
    <xf numFmtId="0" fontId="4" fillId="11" borderId="20" xfId="0" applyFont="1" applyFill="1" applyBorder="1"/>
    <xf numFmtId="0" fontId="10" fillId="0" borderId="20" xfId="0" applyFont="1" applyBorder="1"/>
    <xf numFmtId="0" fontId="4" fillId="0" borderId="24" xfId="0" applyFont="1" applyBorder="1"/>
    <xf numFmtId="0" fontId="4" fillId="0" borderId="20" xfId="0" applyFont="1" applyBorder="1"/>
    <xf numFmtId="0" fontId="11" fillId="11" borderId="20" xfId="0" applyFont="1" applyFill="1" applyBorder="1" applyAlignment="1">
      <alignment wrapText="1"/>
    </xf>
    <xf numFmtId="164" fontId="1" fillId="0" borderId="0" xfId="0" applyNumberFormat="1" applyFont="1"/>
    <xf numFmtId="0" fontId="4" fillId="0" borderId="20" xfId="0" applyFont="1" applyBorder="1" applyAlignment="1">
      <alignment horizontal="center" vertical="center" wrapText="1"/>
    </xf>
    <xf numFmtId="0" fontId="4" fillId="0" borderId="20" xfId="0" applyFont="1" applyBorder="1" applyAlignment="1">
      <alignment horizontal="center" vertical="center"/>
    </xf>
    <xf numFmtId="0" fontId="8" fillId="8" borderId="20" xfId="0" applyFont="1" applyFill="1" applyBorder="1" applyAlignment="1">
      <alignment horizontal="center" vertical="center" wrapText="1"/>
    </xf>
    <xf numFmtId="0" fontId="7" fillId="9" borderId="20" xfId="0" applyFont="1" applyFill="1" applyBorder="1" applyAlignment="1">
      <alignment horizontal="center" vertical="center" wrapText="1"/>
    </xf>
    <xf numFmtId="0" fontId="8" fillId="9" borderId="20" xfId="0" applyFont="1" applyFill="1" applyBorder="1" applyAlignment="1">
      <alignment horizontal="center" vertical="center" wrapText="1"/>
    </xf>
    <xf numFmtId="0" fontId="7" fillId="10" borderId="20" xfId="0" applyFont="1" applyFill="1" applyBorder="1" applyAlignment="1">
      <alignment horizontal="center" vertical="center" wrapText="1"/>
    </xf>
    <xf numFmtId="0" fontId="7" fillId="0" borderId="20" xfId="0" applyFont="1" applyBorder="1" applyAlignment="1">
      <alignment horizontal="center" vertical="center" wrapText="1"/>
    </xf>
    <xf numFmtId="0" fontId="10" fillId="0" borderId="20" xfId="0" applyFont="1" applyBorder="1" applyAlignment="1">
      <alignment horizontal="center"/>
    </xf>
    <xf numFmtId="164" fontId="4" fillId="0" borderId="20" xfId="0" applyNumberFormat="1" applyFont="1" applyBorder="1" applyAlignment="1">
      <alignment horizontal="center"/>
    </xf>
    <xf numFmtId="0" fontId="5" fillId="0" borderId="20" xfId="0" applyFont="1" applyBorder="1" applyAlignment="1">
      <alignment horizontal="center"/>
    </xf>
    <xf numFmtId="0" fontId="7" fillId="0" borderId="29" xfId="0" applyFont="1" applyBorder="1" applyAlignment="1">
      <alignment horizontal="center" vertical="center" wrapText="1"/>
    </xf>
    <xf numFmtId="0" fontId="7" fillId="10" borderId="40" xfId="0" applyFont="1" applyFill="1" applyBorder="1" applyAlignment="1">
      <alignment horizontal="center" vertical="center" wrapText="1"/>
    </xf>
    <xf numFmtId="1" fontId="4" fillId="0" borderId="20" xfId="0" applyNumberFormat="1" applyFont="1" applyBorder="1"/>
    <xf numFmtId="0" fontId="13" fillId="0" borderId="0" xfId="0" applyFont="1" applyAlignment="1">
      <alignment vertical="center"/>
    </xf>
    <xf numFmtId="0" fontId="0" fillId="0" borderId="0" xfId="0" applyAlignment="1">
      <alignment horizontal="left" vertical="center"/>
    </xf>
    <xf numFmtId="0" fontId="21" fillId="12" borderId="42" xfId="0" applyFont="1" applyFill="1" applyBorder="1" applyAlignment="1">
      <alignment horizontal="center" vertical="center"/>
    </xf>
    <xf numFmtId="0" fontId="21" fillId="12" borderId="42" xfId="0" applyFont="1" applyFill="1" applyBorder="1" applyAlignment="1">
      <alignment horizontal="left" vertical="center"/>
    </xf>
    <xf numFmtId="0" fontId="24" fillId="0" borderId="42" xfId="0" applyFont="1" applyBorder="1" applyAlignment="1">
      <alignment horizontal="left" vertical="top" wrapText="1"/>
    </xf>
    <xf numFmtId="0" fontId="4" fillId="0" borderId="20" xfId="0" applyFont="1" applyBorder="1" applyAlignment="1">
      <alignment horizontal="center"/>
    </xf>
    <xf numFmtId="0" fontId="2" fillId="2" borderId="38" xfId="0" applyFont="1" applyFill="1" applyBorder="1" applyAlignment="1">
      <alignment horizontal="center" wrapText="1"/>
    </xf>
    <xf numFmtId="0" fontId="2" fillId="2" borderId="39" xfId="0" applyFont="1" applyFill="1" applyBorder="1" applyAlignment="1">
      <alignment horizontal="center" wrapText="1"/>
    </xf>
    <xf numFmtId="0" fontId="2" fillId="2" borderId="31" xfId="0" applyFont="1" applyFill="1" applyBorder="1" applyAlignment="1">
      <alignment horizontal="center" wrapText="1"/>
    </xf>
    <xf numFmtId="0" fontId="2" fillId="2" borderId="33" xfId="0" applyFont="1" applyFill="1" applyBorder="1" applyAlignment="1">
      <alignment horizontal="center" wrapText="1"/>
    </xf>
    <xf numFmtId="9" fontId="5" fillId="3" borderId="30" xfId="0" applyNumberFormat="1" applyFont="1" applyFill="1" applyBorder="1" applyAlignment="1">
      <alignment horizontal="center" vertical="center"/>
    </xf>
    <xf numFmtId="0" fontId="5" fillId="3" borderId="30" xfId="0" applyFont="1" applyFill="1" applyBorder="1" applyAlignment="1">
      <alignment horizontal="center" vertical="center"/>
    </xf>
    <xf numFmtId="0" fontId="7" fillId="4" borderId="40" xfId="0" applyFont="1" applyFill="1" applyBorder="1" applyAlignment="1">
      <alignment horizontal="center" vertical="center" wrapText="1"/>
    </xf>
    <xf numFmtId="0" fontId="7" fillId="8" borderId="30" xfId="0" applyFont="1" applyFill="1" applyBorder="1" applyAlignment="1">
      <alignment horizontal="center" vertical="center" wrapText="1"/>
    </xf>
    <xf numFmtId="0" fontId="7" fillId="8" borderId="30" xfId="0" applyFont="1" applyFill="1" applyBorder="1" applyAlignment="1">
      <alignment horizontal="center" wrapText="1"/>
    </xf>
    <xf numFmtId="0" fontId="7" fillId="9" borderId="30" xfId="0" applyFont="1" applyFill="1" applyBorder="1" applyAlignment="1">
      <alignment horizontal="center" vertical="center" wrapText="1"/>
    </xf>
    <xf numFmtId="0" fontId="7" fillId="9" borderId="30" xfId="0" applyFont="1" applyFill="1" applyBorder="1" applyAlignment="1">
      <alignment horizontal="center" wrapText="1"/>
    </xf>
    <xf numFmtId="0" fontId="8" fillId="9" borderId="34" xfId="0" applyFont="1" applyFill="1" applyBorder="1" applyAlignment="1">
      <alignment horizontal="center" vertical="center" wrapText="1"/>
    </xf>
    <xf numFmtId="0" fontId="7" fillId="10" borderId="30" xfId="0" applyFont="1" applyFill="1" applyBorder="1" applyAlignment="1">
      <alignment horizontal="center" vertical="center" wrapText="1"/>
    </xf>
    <xf numFmtId="0" fontId="10" fillId="0" borderId="0" xfId="0" applyFont="1"/>
    <xf numFmtId="0" fontId="0" fillId="0" borderId="0" xfId="0" applyAlignment="1">
      <alignment wrapText="1"/>
    </xf>
    <xf numFmtId="0" fontId="10" fillId="0" borderId="21" xfId="0" applyFont="1" applyBorder="1"/>
    <xf numFmtId="0" fontId="4" fillId="11" borderId="21" xfId="0" applyFont="1" applyFill="1" applyBorder="1"/>
    <xf numFmtId="0" fontId="9" fillId="0" borderId="21" xfId="0" applyFont="1" applyBorder="1"/>
    <xf numFmtId="0" fontId="9" fillId="11" borderId="21" xfId="0" applyFont="1" applyFill="1" applyBorder="1"/>
    <xf numFmtId="0" fontId="11" fillId="0" borderId="21" xfId="0" applyFont="1" applyBorder="1"/>
    <xf numFmtId="0" fontId="4" fillId="3" borderId="21" xfId="0" applyFont="1" applyFill="1" applyBorder="1" applyAlignment="1">
      <alignment horizontal="center" vertical="center" wrapText="1"/>
    </xf>
    <xf numFmtId="0" fontId="5" fillId="3" borderId="25" xfId="0" applyFont="1" applyFill="1" applyBorder="1" applyAlignment="1">
      <alignment horizontal="left" vertical="center"/>
    </xf>
    <xf numFmtId="0" fontId="5" fillId="0" borderId="29" xfId="0" applyFont="1" applyBorder="1" applyAlignment="1">
      <alignment horizontal="center" vertical="center"/>
    </xf>
    <xf numFmtId="0" fontId="4" fillId="0" borderId="29" xfId="0" applyFont="1" applyBorder="1" applyAlignment="1">
      <alignment horizontal="center" vertical="center" wrapText="1"/>
    </xf>
    <xf numFmtId="0" fontId="4" fillId="0" borderId="29" xfId="0" applyFont="1" applyBorder="1" applyAlignment="1">
      <alignment horizontal="center" wrapText="1"/>
    </xf>
    <xf numFmtId="0" fontId="4" fillId="3" borderId="21" xfId="0" applyFont="1" applyFill="1" applyBorder="1" applyAlignment="1">
      <alignment horizontal="left" vertical="center" wrapText="1"/>
    </xf>
    <xf numFmtId="0" fontId="6" fillId="3" borderId="26" xfId="0" applyFont="1" applyFill="1" applyBorder="1" applyAlignment="1">
      <alignment horizontal="center" vertical="center"/>
    </xf>
    <xf numFmtId="0" fontId="2" fillId="2" borderId="1" xfId="0" applyFont="1" applyFill="1" applyBorder="1" applyAlignment="1">
      <alignment horizontal="center"/>
    </xf>
    <xf numFmtId="0" fontId="4" fillId="0" borderId="26" xfId="0" applyFont="1" applyBorder="1" applyAlignment="1">
      <alignment horizontal="left" wrapText="1"/>
    </xf>
    <xf numFmtId="0" fontId="5" fillId="3" borderId="15" xfId="0" applyFont="1" applyFill="1" applyBorder="1" applyAlignment="1">
      <alignment horizontal="center" vertical="center"/>
    </xf>
    <xf numFmtId="0" fontId="5" fillId="3" borderId="18" xfId="0" applyFont="1" applyFill="1" applyBorder="1" applyAlignment="1">
      <alignment horizontal="center" vertical="center"/>
    </xf>
    <xf numFmtId="0" fontId="5" fillId="4" borderId="38" xfId="0" applyFont="1" applyFill="1" applyBorder="1" applyAlignment="1">
      <alignment horizontal="center" vertical="center" wrapText="1"/>
    </xf>
    <xf numFmtId="0" fontId="4" fillId="5" borderId="38" xfId="0" applyFont="1" applyFill="1" applyBorder="1" applyAlignment="1">
      <alignment horizontal="center" vertical="top" wrapText="1"/>
    </xf>
    <xf numFmtId="0" fontId="5" fillId="6" borderId="38" xfId="0" applyFont="1" applyFill="1" applyBorder="1" applyAlignment="1">
      <alignment horizontal="center" vertical="top" wrapText="1"/>
    </xf>
    <xf numFmtId="0" fontId="5" fillId="7" borderId="38" xfId="0" applyFont="1" applyFill="1" applyBorder="1" applyAlignment="1">
      <alignment horizontal="center" vertical="top" wrapText="1"/>
    </xf>
    <xf numFmtId="0" fontId="5" fillId="0" borderId="38" xfId="0" applyFont="1" applyBorder="1" applyAlignment="1">
      <alignment horizontal="center" vertical="center"/>
    </xf>
    <xf numFmtId="0" fontId="4" fillId="5" borderId="38" xfId="0" applyFont="1" applyFill="1" applyBorder="1" applyAlignment="1">
      <alignment horizontal="center" vertical="center" wrapText="1"/>
    </xf>
    <xf numFmtId="0" fontId="4" fillId="5" borderId="37" xfId="0" applyFont="1" applyFill="1" applyBorder="1" applyAlignment="1">
      <alignment horizontal="center" vertical="center" wrapText="1"/>
    </xf>
    <xf numFmtId="0" fontId="4" fillId="5" borderId="39" xfId="0" applyFont="1" applyFill="1" applyBorder="1" applyAlignment="1">
      <alignment horizontal="center" vertical="center" wrapText="1"/>
    </xf>
    <xf numFmtId="0" fontId="4" fillId="5" borderId="43"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5" fillId="6" borderId="38" xfId="0" applyFont="1" applyFill="1" applyBorder="1" applyAlignment="1">
      <alignment horizontal="center" vertical="center" wrapText="1"/>
    </xf>
    <xf numFmtId="0" fontId="5" fillId="7" borderId="38" xfId="0" applyFont="1" applyFill="1" applyBorder="1" applyAlignment="1">
      <alignment horizontal="center" wrapText="1"/>
    </xf>
    <xf numFmtId="0" fontId="5" fillId="7" borderId="38" xfId="0" applyFont="1" applyFill="1" applyBorder="1" applyAlignment="1">
      <alignment horizontal="center" vertical="center" wrapText="1"/>
    </xf>
    <xf numFmtId="0" fontId="4" fillId="0" borderId="21" xfId="0" applyFont="1" applyBorder="1" applyAlignment="1">
      <alignment horizontal="center"/>
    </xf>
    <xf numFmtId="0" fontId="24" fillId="0" borderId="0" xfId="0" applyFont="1" applyAlignment="1">
      <alignment horizontal="left" vertical="center"/>
    </xf>
    <xf numFmtId="0" fontId="0" fillId="0" borderId="0" xfId="0" applyAlignment="1">
      <alignment horizontal="left" vertical="center"/>
    </xf>
    <xf numFmtId="0" fontId="22" fillId="0" borderId="0" xfId="0" applyFont="1" applyAlignment="1">
      <alignment horizontal="center" vertical="center"/>
    </xf>
    <xf numFmtId="0" fontId="23" fillId="0" borderId="0" xfId="0" applyFont="1" applyAlignment="1">
      <alignment horizontal="center" vertical="center"/>
    </xf>
    <xf numFmtId="0" fontId="0" fillId="0" borderId="0" xfId="0" applyAlignment="1">
      <alignment horizontal="center" vertical="center"/>
    </xf>
    <xf numFmtId="0" fontId="24" fillId="0" borderId="44" xfId="0" applyFont="1" applyBorder="1" applyAlignment="1">
      <alignment horizontal="left" vertical="top" wrapText="1"/>
    </xf>
    <xf numFmtId="0" fontId="24" fillId="0" borderId="45" xfId="0" applyFont="1" applyBorder="1" applyAlignment="1">
      <alignment horizontal="left" vertical="top" wrapText="1"/>
    </xf>
    <xf numFmtId="0" fontId="24" fillId="0" borderId="46" xfId="0" applyFont="1" applyBorder="1" applyAlignment="1">
      <alignment horizontal="left" vertical="top" wrapText="1"/>
    </xf>
    <xf numFmtId="0" fontId="0" fillId="0" borderId="41" xfId="0" applyBorder="1" applyAlignment="1">
      <alignment horizontal="left" vertical="center"/>
    </xf>
    <xf numFmtId="0" fontId="21" fillId="12" borderId="42" xfId="0" applyFont="1" applyFill="1" applyBorder="1" applyAlignment="1">
      <alignment horizontal="center" vertical="center"/>
    </xf>
    <xf numFmtId="0" fontId="0" fillId="0" borderId="42" xfId="0" applyBorder="1" applyAlignment="1">
      <alignment horizontal="left" vertical="center" wrapText="1"/>
    </xf>
    <xf numFmtId="0" fontId="21" fillId="12" borderId="44" xfId="0" applyFont="1" applyFill="1" applyBorder="1" applyAlignment="1">
      <alignment horizontal="center" vertical="center"/>
    </xf>
    <xf numFmtId="0" fontId="21" fillId="12" borderId="45" xfId="0" applyFont="1" applyFill="1" applyBorder="1" applyAlignment="1">
      <alignment horizontal="center" vertical="center"/>
    </xf>
    <xf numFmtId="0" fontId="21" fillId="12" borderId="46" xfId="0" applyFont="1" applyFill="1" applyBorder="1" applyAlignment="1">
      <alignment horizontal="center" vertical="center"/>
    </xf>
    <xf numFmtId="0" fontId="25" fillId="0" borderId="44" xfId="0" applyFont="1" applyBorder="1" applyAlignment="1">
      <alignment horizontal="left" vertical="top" wrapText="1"/>
    </xf>
    <xf numFmtId="0" fontId="3" fillId="0" borderId="2" xfId="0" applyFont="1" applyBorder="1" applyAlignment="1"/>
    <xf numFmtId="0" fontId="3" fillId="0" borderId="3" xfId="0" applyFont="1" applyBorder="1" applyAlignment="1"/>
    <xf numFmtId="0" fontId="3" fillId="0" borderId="27" xfId="0" applyFont="1" applyBorder="1" applyAlignment="1"/>
    <xf numFmtId="0" fontId="3" fillId="0" borderId="9" xfId="0" applyFont="1" applyBorder="1" applyAlignment="1"/>
    <xf numFmtId="0" fontId="3" fillId="0" borderId="10" xfId="0" applyFont="1" applyBorder="1" applyAlignment="1"/>
    <xf numFmtId="0" fontId="0" fillId="0" borderId="0" xfId="0" applyAlignment="1"/>
    <xf numFmtId="0" fontId="3" fillId="0" borderId="11" xfId="0" applyFont="1" applyBorder="1" applyAlignment="1"/>
    <xf numFmtId="0" fontId="3" fillId="0" borderId="18" xfId="0" applyFont="1" applyBorder="1" applyAlignment="1"/>
    <xf numFmtId="0" fontId="3" fillId="0" borderId="12" xfId="0" applyFont="1" applyBorder="1" applyAlignment="1"/>
    <xf numFmtId="0" fontId="3" fillId="0" borderId="17" xfId="0" applyFont="1" applyBorder="1" applyAlignment="1"/>
    <xf numFmtId="0" fontId="3" fillId="0" borderId="19" xfId="0" applyFont="1" applyBorder="1" applyAlignment="1"/>
    <xf numFmtId="0" fontId="3" fillId="0" borderId="22" xfId="0" applyFont="1" applyBorder="1" applyAlignment="1"/>
    <xf numFmtId="0" fontId="3" fillId="0" borderId="25" xfId="0" applyFont="1" applyBorder="1" applyAlignment="1"/>
    <xf numFmtId="0" fontId="3" fillId="0" borderId="23" xfId="0" applyFont="1" applyBorder="1" applyAlignment="1"/>
    <xf numFmtId="0" fontId="3" fillId="0" borderId="24" xfId="0" applyFont="1" applyBorder="1" applyAlignment="1"/>
    <xf numFmtId="0" fontId="3" fillId="0" borderId="28" xfId="0" applyFont="1" applyBorder="1" applyAlignment="1"/>
    <xf numFmtId="0" fontId="3" fillId="0" borderId="40" xfId="0" applyFont="1" applyBorder="1" applyAlignment="1"/>
    <xf numFmtId="0" fontId="3" fillId="0" borderId="30" xfId="0" applyFont="1" applyBorder="1" applyAlignment="1"/>
    <xf numFmtId="0" fontId="3" fillId="0" borderId="37" xfId="0" applyFont="1" applyBorder="1" applyAlignment="1"/>
    <xf numFmtId="0" fontId="3" fillId="0" borderId="39" xfId="0" applyFont="1" applyBorder="1" applyAlignment="1"/>
    <xf numFmtId="0" fontId="3" fillId="0" borderId="31" xfId="0" applyFont="1" applyBorder="1" applyAlignment="1"/>
    <xf numFmtId="0" fontId="3" fillId="0" borderId="32" xfId="0" applyFont="1" applyBorder="1" applyAlignment="1"/>
    <xf numFmtId="0" fontId="3" fillId="0" borderId="33" xfId="0" applyFont="1" applyBorder="1" applyAlignment="1"/>
    <xf numFmtId="0" fontId="3" fillId="0" borderId="35" xfId="0" applyFont="1" applyBorder="1" applyAlignment="1"/>
    <xf numFmtId="0" fontId="3" fillId="0" borderId="34" xfId="0" applyFont="1" applyBorder="1" applyAlignment="1"/>
    <xf numFmtId="0" fontId="3" fillId="0" borderId="3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jpg"/></Relationships>
</file>

<file path=xl/drawings/drawing1.xml><?xml version="1.0" encoding="utf-8"?>
<xdr:wsDr xmlns:xdr="http://schemas.openxmlformats.org/drawingml/2006/spreadsheetDrawing" xmlns:a="http://schemas.openxmlformats.org/drawingml/2006/main">
  <xdr:oneCellAnchor>
    <xdr:from>
      <xdr:col>3</xdr:col>
      <xdr:colOff>276225</xdr:colOff>
      <xdr:row>3</xdr:row>
      <xdr:rowOff>180975</xdr:rowOff>
    </xdr:from>
    <xdr:ext cx="10067925" cy="5486400"/>
    <xdr:pic>
      <xdr:nvPicPr>
        <xdr:cNvPr id="2" name="image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561975</xdr:colOff>
      <xdr:row>29</xdr:row>
      <xdr:rowOff>85725</xdr:rowOff>
    </xdr:from>
    <xdr:ext cx="9334500" cy="1247775"/>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333375</xdr:colOff>
      <xdr:row>36</xdr:row>
      <xdr:rowOff>133350</xdr:rowOff>
    </xdr:from>
    <xdr:ext cx="9839325" cy="4314825"/>
    <xdr:pic>
      <xdr:nvPicPr>
        <xdr:cNvPr id="4" name="image9.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542925</xdr:colOff>
      <xdr:row>56</xdr:row>
      <xdr:rowOff>200025</xdr:rowOff>
    </xdr:from>
    <xdr:ext cx="9429750" cy="3438525"/>
    <xdr:pic>
      <xdr:nvPicPr>
        <xdr:cNvPr id="5" name="image8.png" title="Imagen">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381000</xdr:colOff>
      <xdr:row>75</xdr:row>
      <xdr:rowOff>28575</xdr:rowOff>
    </xdr:from>
    <xdr:ext cx="9753600" cy="4410075"/>
    <xdr:pic>
      <xdr:nvPicPr>
        <xdr:cNvPr id="6" name="image5.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476250</xdr:colOff>
      <xdr:row>96</xdr:row>
      <xdr:rowOff>47625</xdr:rowOff>
    </xdr:from>
    <xdr:ext cx="9553575" cy="2276475"/>
    <xdr:pic>
      <xdr:nvPicPr>
        <xdr:cNvPr id="7" name="image10.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3</xdr:col>
      <xdr:colOff>514350</xdr:colOff>
      <xdr:row>107</xdr:row>
      <xdr:rowOff>95250</xdr:rowOff>
    </xdr:from>
    <xdr:ext cx="9601200" cy="1847850"/>
    <xdr:pic>
      <xdr:nvPicPr>
        <xdr:cNvPr id="8" name="image7.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514350</xdr:colOff>
      <xdr:row>112</xdr:row>
      <xdr:rowOff>171450</xdr:rowOff>
    </xdr:from>
    <xdr:ext cx="9629775" cy="4200525"/>
    <xdr:pic>
      <xdr:nvPicPr>
        <xdr:cNvPr id="9" name="image4.png">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xdr:col>
      <xdr:colOff>447675</xdr:colOff>
      <xdr:row>56</xdr:row>
      <xdr:rowOff>95250</xdr:rowOff>
    </xdr:from>
    <xdr:ext cx="161925" cy="1609725"/>
    <xdr:pic>
      <xdr:nvPicPr>
        <xdr:cNvPr id="10" name="image6.png">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3</xdr:col>
      <xdr:colOff>447675</xdr:colOff>
      <xdr:row>64</xdr:row>
      <xdr:rowOff>47625</xdr:rowOff>
    </xdr:from>
    <xdr:ext cx="180975" cy="1838325"/>
    <xdr:pic>
      <xdr:nvPicPr>
        <xdr:cNvPr id="11" name="image2.pn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7</xdr:col>
      <xdr:colOff>438150</xdr:colOff>
      <xdr:row>0</xdr:row>
      <xdr:rowOff>0</xdr:rowOff>
    </xdr:from>
    <xdr:to>
      <xdr:col>10</xdr:col>
      <xdr:colOff>180975</xdr:colOff>
      <xdr:row>2</xdr:row>
      <xdr:rowOff>180975</xdr:rowOff>
    </xdr:to>
    <xdr:pic>
      <xdr:nvPicPr>
        <xdr:cNvPr id="2" name="Imagen 1" descr="C:\Users\Tere\Desktop\UAH_Marzo2020\DD\ImagenesDD\Logos\Docencia-01.jpg">
          <a:extLst>
            <a:ext uri="{FF2B5EF4-FFF2-40B4-BE49-F238E27FC236}">
              <a16:creationId xmlns:a16="http://schemas.microsoft.com/office/drawing/2014/main" id="{E2DEE49F-F96D-48F1-B9A7-204685904CE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0"/>
          <a:ext cx="2028825" cy="561975"/>
        </a:xfrm>
        <a:prstGeom prst="rect">
          <a:avLst/>
        </a:prstGeom>
        <a:noFill/>
        <a:ln>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000"/>
  <sheetViews>
    <sheetView workbookViewId="0"/>
  </sheetViews>
  <sheetFormatPr defaultColWidth="12.5703125" defaultRowHeight="15" customHeight="1"/>
  <cols>
    <col min="1" max="1" width="11.42578125" customWidth="1"/>
    <col min="2" max="2" width="20.5703125" customWidth="1"/>
    <col min="3" max="3" width="34" customWidth="1"/>
    <col min="4" max="4" width="43.85546875" customWidth="1"/>
    <col min="5" max="5" width="34.85546875" customWidth="1"/>
    <col min="6" max="7" width="31.28515625" customWidth="1"/>
    <col min="8" max="8" width="31.42578125" customWidth="1"/>
    <col min="9" max="26" width="11.42578125" customWidth="1"/>
  </cols>
  <sheetData>
    <row r="2" spans="1:8">
      <c r="A2" s="1" t="s">
        <v>0</v>
      </c>
      <c r="B2" s="1" t="s">
        <v>1</v>
      </c>
    </row>
    <row r="4" spans="1:8">
      <c r="C4" s="101" t="s">
        <v>2</v>
      </c>
      <c r="D4" s="135"/>
      <c r="E4" s="135"/>
      <c r="F4" s="135"/>
      <c r="G4" s="136"/>
    </row>
    <row r="5" spans="1:8">
      <c r="C5" s="2" t="s">
        <v>3</v>
      </c>
      <c r="D5" s="2" t="s">
        <v>4</v>
      </c>
      <c r="E5" s="74" t="s">
        <v>5</v>
      </c>
      <c r="F5" s="2" t="s">
        <v>6</v>
      </c>
      <c r="G5" s="75" t="s">
        <v>7</v>
      </c>
    </row>
    <row r="6" spans="1:8">
      <c r="C6" s="3" t="s">
        <v>8</v>
      </c>
      <c r="D6" s="3" t="s">
        <v>9</v>
      </c>
      <c r="E6" s="76" t="s">
        <v>10</v>
      </c>
      <c r="F6" s="3" t="s">
        <v>11</v>
      </c>
      <c r="G6" s="77" t="s">
        <v>12</v>
      </c>
    </row>
    <row r="7" spans="1:8" ht="45">
      <c r="C7" s="4" t="s">
        <v>13</v>
      </c>
      <c r="D7" s="5" t="s">
        <v>14</v>
      </c>
      <c r="E7" s="5" t="s">
        <v>15</v>
      </c>
      <c r="F7" s="5" t="s">
        <v>16</v>
      </c>
      <c r="G7" s="6" t="s">
        <v>17</v>
      </c>
    </row>
    <row r="8" spans="1:8">
      <c r="C8" s="7"/>
      <c r="D8" s="7"/>
      <c r="E8" s="7"/>
      <c r="F8" s="7"/>
      <c r="G8" s="8"/>
    </row>
    <row r="9" spans="1:8">
      <c r="A9" s="1" t="s">
        <v>18</v>
      </c>
      <c r="B9" s="9" t="s">
        <v>19</v>
      </c>
    </row>
    <row r="10" spans="1:8">
      <c r="B10" s="102" t="s">
        <v>20</v>
      </c>
      <c r="C10" s="137"/>
      <c r="D10" s="137"/>
      <c r="E10" s="137"/>
      <c r="F10" s="137"/>
      <c r="G10" s="138"/>
    </row>
    <row r="11" spans="1:8">
      <c r="B11" s="139"/>
      <c r="C11" s="140"/>
      <c r="D11" s="140"/>
      <c r="E11" s="140"/>
      <c r="F11" s="140"/>
      <c r="G11" s="141"/>
    </row>
    <row r="12" spans="1:8">
      <c r="B12" s="142"/>
      <c r="C12" s="143"/>
      <c r="D12" s="143"/>
      <c r="E12" s="143"/>
      <c r="F12" s="143"/>
      <c r="G12" s="144"/>
    </row>
    <row r="15" spans="1:8">
      <c r="C15" s="101" t="s">
        <v>21</v>
      </c>
      <c r="D15" s="135"/>
      <c r="E15" s="135"/>
      <c r="F15" s="135"/>
      <c r="G15" s="136"/>
    </row>
    <row r="16" spans="1:8">
      <c r="B16" s="10"/>
      <c r="C16" s="11" t="s">
        <v>3</v>
      </c>
      <c r="D16" s="12" t="s">
        <v>4</v>
      </c>
      <c r="E16" s="13" t="s">
        <v>5</v>
      </c>
      <c r="F16" s="103" t="s">
        <v>22</v>
      </c>
      <c r="G16" s="136"/>
      <c r="H16" s="14"/>
    </row>
    <row r="17" spans="2:8">
      <c r="B17" s="15" t="s">
        <v>23</v>
      </c>
      <c r="C17" s="16" t="s">
        <v>24</v>
      </c>
      <c r="D17" s="78" t="s">
        <v>25</v>
      </c>
      <c r="E17" s="79" t="s">
        <v>26</v>
      </c>
      <c r="F17" s="104" t="s">
        <v>27</v>
      </c>
      <c r="G17" s="145"/>
      <c r="H17" s="14"/>
    </row>
    <row r="18" spans="2:8" ht="165">
      <c r="B18" s="95" t="s">
        <v>28</v>
      </c>
      <c r="C18" s="17" t="s">
        <v>29</v>
      </c>
      <c r="D18" s="17" t="s">
        <v>30</v>
      </c>
      <c r="E18" s="17" t="s">
        <v>31</v>
      </c>
      <c r="F18" s="99" t="s">
        <v>32</v>
      </c>
      <c r="G18" s="146"/>
      <c r="H18" s="18" t="s">
        <v>33</v>
      </c>
    </row>
    <row r="19" spans="2:8">
      <c r="B19" s="147"/>
      <c r="C19" s="94" t="s">
        <v>34</v>
      </c>
      <c r="D19" s="148"/>
      <c r="E19" s="94" t="s">
        <v>35</v>
      </c>
      <c r="F19" s="149"/>
      <c r="G19" s="146"/>
      <c r="H19" s="14"/>
    </row>
    <row r="20" spans="2:8">
      <c r="B20" s="147"/>
      <c r="C20" s="100" t="s">
        <v>36</v>
      </c>
      <c r="D20" s="137"/>
      <c r="E20" s="137"/>
      <c r="F20" s="137"/>
      <c r="G20" s="150"/>
      <c r="H20" s="14"/>
    </row>
    <row r="21" spans="2:8" ht="15" customHeight="1">
      <c r="B21" s="96" t="s">
        <v>37</v>
      </c>
      <c r="C21" s="97" t="s">
        <v>38</v>
      </c>
      <c r="D21" s="97" t="s">
        <v>39</v>
      </c>
      <c r="E21" s="97" t="s">
        <v>40</v>
      </c>
      <c r="F21" s="97" t="s">
        <v>41</v>
      </c>
      <c r="G21" s="98"/>
    </row>
    <row r="22" spans="2:8" ht="15.75" customHeight="1">
      <c r="B22" s="151"/>
      <c r="C22" s="151"/>
      <c r="D22" s="151"/>
      <c r="E22" s="151"/>
      <c r="F22" s="151"/>
      <c r="G22" s="151"/>
    </row>
    <row r="23" spans="2:8" ht="15.75" customHeight="1">
      <c r="B23" s="151"/>
      <c r="C23" s="151"/>
      <c r="D23" s="151"/>
      <c r="E23" s="151"/>
      <c r="F23" s="151"/>
      <c r="G23" s="151"/>
    </row>
    <row r="24" spans="2:8" ht="15.75" customHeight="1">
      <c r="B24" s="151"/>
      <c r="C24" s="151"/>
      <c r="D24" s="151"/>
      <c r="E24" s="151"/>
      <c r="F24" s="151"/>
      <c r="G24" s="151"/>
    </row>
    <row r="25" spans="2:8" ht="15.75" customHeight="1">
      <c r="B25" s="151"/>
      <c r="C25" s="151"/>
      <c r="D25" s="151"/>
      <c r="E25" s="151"/>
      <c r="F25" s="151"/>
      <c r="G25" s="151"/>
    </row>
    <row r="26" spans="2:8" ht="15.75" customHeight="1">
      <c r="B26" s="151"/>
      <c r="C26" s="151"/>
      <c r="D26" s="151"/>
      <c r="E26" s="151"/>
      <c r="F26" s="151"/>
      <c r="G26" s="151"/>
    </row>
    <row r="27" spans="2:8" ht="15.75" customHeight="1">
      <c r="B27" s="151"/>
      <c r="C27" s="151"/>
      <c r="D27" s="151"/>
      <c r="E27" s="151"/>
      <c r="F27" s="151"/>
      <c r="G27" s="151"/>
    </row>
    <row r="28" spans="2:8" ht="15.75" customHeight="1">
      <c r="B28" s="151"/>
      <c r="C28" s="151"/>
      <c r="D28" s="151"/>
      <c r="E28" s="151"/>
      <c r="F28" s="151"/>
      <c r="G28" s="151"/>
    </row>
    <row r="29" spans="2:8" ht="15.75" customHeight="1">
      <c r="B29" s="151"/>
      <c r="C29" s="151"/>
      <c r="D29" s="151"/>
      <c r="E29" s="151"/>
      <c r="F29" s="151"/>
      <c r="G29" s="151"/>
    </row>
    <row r="30" spans="2:8" ht="15.75" customHeight="1">
      <c r="B30" s="151"/>
      <c r="C30" s="151"/>
      <c r="D30" s="151"/>
      <c r="E30" s="151"/>
      <c r="F30" s="151"/>
      <c r="G30" s="151"/>
    </row>
    <row r="31" spans="2:8" ht="15.75" customHeight="1">
      <c r="B31" s="151"/>
      <c r="C31" s="151"/>
      <c r="D31" s="151"/>
      <c r="E31" s="151"/>
      <c r="F31" s="151"/>
      <c r="G31" s="151"/>
    </row>
    <row r="32" spans="2:8" ht="15.75" customHeight="1">
      <c r="B32" s="151"/>
      <c r="C32" s="151"/>
      <c r="D32" s="151"/>
      <c r="E32" s="151"/>
      <c r="F32" s="151"/>
      <c r="G32" s="151"/>
    </row>
    <row r="33" spans="2:7" ht="15.75" customHeight="1">
      <c r="B33" s="151"/>
      <c r="C33" s="151"/>
      <c r="D33" s="151"/>
      <c r="E33" s="151"/>
      <c r="F33" s="151"/>
      <c r="G33" s="151"/>
    </row>
    <row r="34" spans="2:7" ht="15.75" customHeight="1">
      <c r="B34" s="152"/>
      <c r="C34" s="152"/>
      <c r="D34" s="152"/>
      <c r="E34" s="152"/>
      <c r="F34" s="152"/>
      <c r="G34" s="152"/>
    </row>
    <row r="35" spans="2:7" ht="15.75" customHeight="1"/>
    <row r="36" spans="2:7" ht="15.75" customHeight="1"/>
    <row r="37" spans="2:7" ht="15.75" customHeight="1"/>
    <row r="38" spans="2:7" ht="15.75" customHeight="1"/>
    <row r="39" spans="2:7" ht="15.75" customHeight="1"/>
    <row r="40" spans="2:7" ht="15.75" customHeight="1"/>
    <row r="41" spans="2:7" ht="15.75" customHeight="1"/>
    <row r="42" spans="2:7" ht="15.75" customHeight="1"/>
    <row r="43" spans="2:7" ht="15.75" customHeight="1"/>
    <row r="44" spans="2:7" ht="15.75" customHeight="1"/>
    <row r="45" spans="2:7" ht="15.75" customHeight="1"/>
    <row r="46" spans="2:7" ht="15.75" customHeight="1"/>
    <row r="47" spans="2:7" ht="15.75" customHeight="1"/>
    <row r="48" spans="2: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C4:G4"/>
    <mergeCell ref="B10:G12"/>
    <mergeCell ref="C15:G15"/>
    <mergeCell ref="F16:G16"/>
    <mergeCell ref="F17:G17"/>
    <mergeCell ref="C19:D19"/>
    <mergeCell ref="E19:G19"/>
    <mergeCell ref="B18:B20"/>
    <mergeCell ref="B21:B34"/>
    <mergeCell ref="C21:C34"/>
    <mergeCell ref="D21:D34"/>
    <mergeCell ref="E21:E34"/>
    <mergeCell ref="F21:F34"/>
    <mergeCell ref="G21:G34"/>
    <mergeCell ref="F18:G18"/>
    <mergeCell ref="C20:G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1:A1000"/>
  <sheetViews>
    <sheetView workbookViewId="0"/>
  </sheetViews>
  <sheetFormatPr defaultColWidth="12.5703125" defaultRowHeight="15" customHeight="1"/>
  <cols>
    <col min="1" max="26" width="10.57031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22"/>
  <sheetViews>
    <sheetView workbookViewId="0">
      <pane ySplit="3" topLeftCell="F4" activePane="bottomLeft" state="frozen"/>
      <selection pane="bottomLeft" activeCell="G4" sqref="G4"/>
    </sheetView>
  </sheetViews>
  <sheetFormatPr defaultColWidth="12.5703125" defaultRowHeight="15" customHeight="1"/>
  <cols>
    <col min="1" max="1" width="14.28515625" customWidth="1"/>
    <col min="2" max="2" width="11.42578125" customWidth="1"/>
    <col min="3" max="3" width="61.140625" customWidth="1"/>
    <col min="4" max="4" width="20.85546875" customWidth="1"/>
    <col min="5" max="5" width="23" customWidth="1"/>
    <col min="6" max="6" width="31.85546875" customWidth="1"/>
    <col min="7" max="7" width="52.28515625" style="88" customWidth="1"/>
    <col min="8" max="10" width="14.28515625" customWidth="1"/>
    <col min="11" max="11" width="15.5703125" customWidth="1"/>
    <col min="12" max="12" width="16.85546875" customWidth="1"/>
    <col min="13" max="13" width="15.5703125" customWidth="1"/>
    <col min="14" max="14" width="14.28515625" customWidth="1"/>
    <col min="15" max="15" width="16.140625" customWidth="1"/>
    <col min="16" max="16" width="17.85546875" customWidth="1"/>
    <col min="17" max="17" width="21.42578125" customWidth="1"/>
    <col min="18" max="18" width="15.140625" customWidth="1"/>
    <col min="19" max="19" width="14.28515625" customWidth="1"/>
    <col min="20" max="20" width="15.28515625" customWidth="1"/>
    <col min="21" max="25" width="14.28515625" customWidth="1"/>
    <col min="26" max="26" width="18" customWidth="1"/>
  </cols>
  <sheetData>
    <row r="1" spans="1:26" ht="93" customHeight="1">
      <c r="A1" s="105" t="s">
        <v>42</v>
      </c>
      <c r="B1" s="153"/>
      <c r="C1" s="153"/>
      <c r="D1" s="153"/>
      <c r="E1" s="153"/>
      <c r="F1" s="153"/>
      <c r="G1" s="153"/>
      <c r="H1" s="153"/>
      <c r="I1" s="153"/>
      <c r="J1" s="154"/>
      <c r="K1" s="106" t="s">
        <v>43</v>
      </c>
      <c r="L1" s="153"/>
      <c r="M1" s="154"/>
      <c r="N1" s="107" t="s">
        <v>44</v>
      </c>
      <c r="O1" s="153"/>
      <c r="P1" s="153"/>
      <c r="Q1" s="154"/>
      <c r="R1" s="108" t="s">
        <v>45</v>
      </c>
      <c r="S1" s="153"/>
      <c r="T1" s="153"/>
      <c r="U1" s="153"/>
      <c r="V1" s="153"/>
      <c r="W1" s="154"/>
      <c r="X1" s="109" t="s">
        <v>46</v>
      </c>
      <c r="Y1" s="153"/>
      <c r="Z1" s="154"/>
    </row>
    <row r="2" spans="1:26" ht="93" hidden="1" customHeight="1">
      <c r="A2" s="155"/>
      <c r="B2" s="156"/>
      <c r="C2" s="156"/>
      <c r="D2" s="156"/>
      <c r="E2" s="156"/>
      <c r="F2" s="156"/>
      <c r="G2" s="156"/>
      <c r="H2" s="156"/>
      <c r="I2" s="156"/>
      <c r="J2" s="157"/>
      <c r="K2" s="155"/>
      <c r="L2" s="156"/>
      <c r="M2" s="157"/>
      <c r="N2" s="155"/>
      <c r="O2" s="156"/>
      <c r="P2" s="156"/>
      <c r="Q2" s="157"/>
      <c r="R2" s="155"/>
      <c r="S2" s="156"/>
      <c r="T2" s="156"/>
      <c r="U2" s="156"/>
      <c r="V2" s="156"/>
      <c r="W2" s="157"/>
      <c r="X2" s="155"/>
      <c r="Y2" s="156"/>
      <c r="Z2" s="157"/>
    </row>
    <row r="3" spans="1:26" ht="63">
      <c r="A3" s="19" t="s">
        <v>47</v>
      </c>
      <c r="B3" s="19" t="s">
        <v>48</v>
      </c>
      <c r="C3" s="19"/>
      <c r="D3" s="19" t="s">
        <v>49</v>
      </c>
      <c r="E3" s="19" t="s">
        <v>50</v>
      </c>
      <c r="F3" s="19" t="s">
        <v>51</v>
      </c>
      <c r="G3" s="19" t="s">
        <v>52</v>
      </c>
      <c r="H3" s="80" t="s">
        <v>53</v>
      </c>
      <c r="I3" s="80" t="s">
        <v>54</v>
      </c>
      <c r="J3" s="80" t="s">
        <v>55</v>
      </c>
      <c r="K3" s="81" t="s">
        <v>56</v>
      </c>
      <c r="L3" s="82" t="s">
        <v>57</v>
      </c>
      <c r="M3" s="82" t="s">
        <v>58</v>
      </c>
      <c r="N3" s="83" t="s">
        <v>59</v>
      </c>
      <c r="O3" s="84" t="s">
        <v>60</v>
      </c>
      <c r="P3" s="84" t="s">
        <v>61</v>
      </c>
      <c r="Q3" s="85" t="s">
        <v>62</v>
      </c>
      <c r="R3" s="86" t="s">
        <v>63</v>
      </c>
      <c r="S3" s="86" t="s">
        <v>64</v>
      </c>
      <c r="T3" s="86" t="s">
        <v>65</v>
      </c>
      <c r="U3" s="86" t="s">
        <v>66</v>
      </c>
      <c r="V3" s="86" t="s">
        <v>67</v>
      </c>
      <c r="W3" s="86" t="s">
        <v>68</v>
      </c>
      <c r="X3" s="20" t="s">
        <v>69</v>
      </c>
      <c r="Y3" s="20" t="s">
        <v>70</v>
      </c>
      <c r="Z3" s="20" t="s">
        <v>71</v>
      </c>
    </row>
    <row r="4" spans="1:26">
      <c r="A4" s="21">
        <v>11111111</v>
      </c>
      <c r="B4" s="22">
        <v>1</v>
      </c>
      <c r="C4" s="73" t="s">
        <v>72</v>
      </c>
      <c r="D4" s="23" t="s">
        <v>73</v>
      </c>
      <c r="E4" s="23" t="s">
        <v>74</v>
      </c>
      <c r="F4" s="23" t="s">
        <v>75</v>
      </c>
      <c r="G4" s="91" t="s">
        <v>76</v>
      </c>
      <c r="H4" s="21" t="s">
        <v>77</v>
      </c>
      <c r="I4" s="24" t="s">
        <v>77</v>
      </c>
      <c r="J4" s="25" t="s">
        <v>78</v>
      </c>
      <c r="K4" s="26">
        <v>3</v>
      </c>
      <c r="L4" s="25">
        <v>3</v>
      </c>
      <c r="M4" s="25">
        <v>3</v>
      </c>
      <c r="N4" s="21">
        <v>3</v>
      </c>
      <c r="O4" s="21">
        <v>3</v>
      </c>
      <c r="P4" s="21">
        <v>2</v>
      </c>
      <c r="Q4" s="21">
        <v>3</v>
      </c>
      <c r="R4" s="21">
        <v>2</v>
      </c>
      <c r="S4" s="21">
        <v>1</v>
      </c>
      <c r="T4" s="21">
        <v>3</v>
      </c>
      <c r="U4" s="21">
        <v>3</v>
      </c>
      <c r="V4" s="21">
        <v>3</v>
      </c>
      <c r="W4" s="21">
        <v>3</v>
      </c>
      <c r="X4" s="21">
        <f t="shared" ref="X4:X121" si="0">SUM(K4:W4)</f>
        <v>35</v>
      </c>
      <c r="Y4" s="27">
        <f t="shared" ref="Y4:Y121" si="1">X4/42*100</f>
        <v>83.333333333333343</v>
      </c>
      <c r="Z4" s="22" t="str">
        <f t="shared" ref="Z4:Z122" si="2">IF(Y4&gt;=85,"Óptimo",
   IF(Y4&gt;=60,"Satisfactorio",
      IF(Y4&gt;=40,"Insuficiente",
         "Deficiente")))</f>
        <v>Satisfactorio</v>
      </c>
    </row>
    <row r="5" spans="1:26">
      <c r="A5" s="28">
        <v>21169363</v>
      </c>
      <c r="B5" s="28">
        <v>0</v>
      </c>
      <c r="C5" s="73" t="s">
        <v>79</v>
      </c>
      <c r="D5" s="29" t="s">
        <v>80</v>
      </c>
      <c r="E5" s="29" t="s">
        <v>81</v>
      </c>
      <c r="F5" s="29" t="s">
        <v>82</v>
      </c>
      <c r="G5" s="92"/>
      <c r="H5" s="30"/>
      <c r="I5" s="31"/>
      <c r="J5" s="30"/>
      <c r="K5" s="32"/>
      <c r="L5" s="33"/>
      <c r="M5" s="33"/>
      <c r="N5" s="33"/>
      <c r="O5" s="33"/>
      <c r="P5" s="33"/>
      <c r="Q5" s="33"/>
      <c r="R5" s="33"/>
      <c r="S5" s="33"/>
      <c r="T5" s="33"/>
      <c r="U5" s="33"/>
      <c r="V5" s="33"/>
      <c r="W5" s="33"/>
      <c r="X5" s="33">
        <f t="shared" si="0"/>
        <v>0</v>
      </c>
      <c r="Y5" s="34">
        <f t="shared" si="1"/>
        <v>0</v>
      </c>
      <c r="Z5" s="22" t="str">
        <f t="shared" si="2"/>
        <v>Deficiente</v>
      </c>
    </row>
    <row r="6" spans="1:26">
      <c r="A6" s="35">
        <v>21213424</v>
      </c>
      <c r="B6" s="35">
        <v>4</v>
      </c>
      <c r="C6" s="73" t="s">
        <v>83</v>
      </c>
      <c r="D6" s="36" t="s">
        <v>84</v>
      </c>
      <c r="E6" s="36" t="s">
        <v>85</v>
      </c>
      <c r="F6" s="36" t="s">
        <v>86</v>
      </c>
      <c r="G6" s="93" t="s">
        <v>76</v>
      </c>
      <c r="H6" s="37" t="s">
        <v>77</v>
      </c>
      <c r="I6" s="38"/>
      <c r="J6" s="39"/>
      <c r="K6" s="26">
        <v>2</v>
      </c>
      <c r="L6" s="25">
        <v>2</v>
      </c>
      <c r="M6" s="25">
        <v>2</v>
      </c>
      <c r="N6" s="25">
        <v>2</v>
      </c>
      <c r="O6" s="25">
        <v>2</v>
      </c>
      <c r="P6" s="25">
        <v>1</v>
      </c>
      <c r="Q6" s="25">
        <v>1</v>
      </c>
      <c r="R6" s="25">
        <v>1</v>
      </c>
      <c r="S6" s="25">
        <v>0</v>
      </c>
      <c r="T6" s="25">
        <v>0</v>
      </c>
      <c r="U6" s="25">
        <v>0</v>
      </c>
      <c r="V6" s="25">
        <v>1</v>
      </c>
      <c r="W6" s="25">
        <v>0</v>
      </c>
      <c r="X6" s="21">
        <f t="shared" si="0"/>
        <v>14</v>
      </c>
      <c r="Y6" s="27">
        <f t="shared" si="1"/>
        <v>33.333333333333329</v>
      </c>
      <c r="Z6" s="22" t="str">
        <f t="shared" si="2"/>
        <v>Deficiente</v>
      </c>
    </row>
    <row r="7" spans="1:26">
      <c r="A7" s="28">
        <v>21656699</v>
      </c>
      <c r="B7" s="28">
        <v>8</v>
      </c>
      <c r="C7" s="73" t="s">
        <v>87</v>
      </c>
      <c r="D7" s="29" t="s">
        <v>88</v>
      </c>
      <c r="E7" s="29" t="s">
        <v>89</v>
      </c>
      <c r="F7" s="29" t="s">
        <v>90</v>
      </c>
      <c r="G7" s="90" t="s">
        <v>91</v>
      </c>
      <c r="H7" s="40" t="s">
        <v>78</v>
      </c>
      <c r="I7" s="41"/>
      <c r="J7" s="40" t="s">
        <v>78</v>
      </c>
      <c r="K7" s="32"/>
      <c r="L7" s="33"/>
      <c r="M7" s="33"/>
      <c r="N7" s="33"/>
      <c r="O7" s="33"/>
      <c r="P7" s="33"/>
      <c r="Q7" s="33"/>
      <c r="R7" s="33"/>
      <c r="S7" s="33"/>
      <c r="T7" s="33"/>
      <c r="U7" s="33"/>
      <c r="V7" s="33"/>
      <c r="W7" s="33"/>
      <c r="X7" s="33">
        <f t="shared" si="0"/>
        <v>0</v>
      </c>
      <c r="Y7" s="34">
        <f t="shared" si="1"/>
        <v>0</v>
      </c>
      <c r="Z7" s="22" t="str">
        <f t="shared" si="2"/>
        <v>Deficiente</v>
      </c>
    </row>
    <row r="8" spans="1:26">
      <c r="A8" s="35">
        <v>20118210</v>
      </c>
      <c r="B8" s="35">
        <v>7</v>
      </c>
      <c r="C8" s="73" t="s">
        <v>92</v>
      </c>
      <c r="D8" s="36" t="s">
        <v>93</v>
      </c>
      <c r="E8" s="36" t="s">
        <v>94</v>
      </c>
      <c r="F8" s="36" t="s">
        <v>95</v>
      </c>
      <c r="G8" s="89" t="s">
        <v>76</v>
      </c>
      <c r="H8" s="42" t="s">
        <v>77</v>
      </c>
      <c r="I8" s="43"/>
      <c r="J8" s="44"/>
      <c r="K8" s="26">
        <v>2</v>
      </c>
      <c r="L8" s="25">
        <v>2</v>
      </c>
      <c r="M8" s="25">
        <v>1</v>
      </c>
      <c r="N8" s="25">
        <v>2</v>
      </c>
      <c r="O8" s="25">
        <v>1</v>
      </c>
      <c r="P8" s="25">
        <v>1</v>
      </c>
      <c r="Q8" s="25">
        <v>3</v>
      </c>
      <c r="R8" s="25">
        <v>2</v>
      </c>
      <c r="S8" s="25">
        <v>1</v>
      </c>
      <c r="T8" s="25">
        <v>2</v>
      </c>
      <c r="U8" s="25">
        <v>1</v>
      </c>
      <c r="V8" s="25">
        <v>1</v>
      </c>
      <c r="W8" s="25">
        <v>1</v>
      </c>
      <c r="X8" s="21">
        <f t="shared" si="0"/>
        <v>20</v>
      </c>
      <c r="Y8" s="27">
        <f t="shared" si="1"/>
        <v>47.619047619047613</v>
      </c>
      <c r="Z8" s="22" t="str">
        <f t="shared" si="2"/>
        <v>Insuficiente</v>
      </c>
    </row>
    <row r="9" spans="1:26">
      <c r="A9" s="35">
        <v>21335028</v>
      </c>
      <c r="B9" s="35">
        <v>5</v>
      </c>
      <c r="C9" s="35" t="s">
        <v>96</v>
      </c>
      <c r="D9" s="36" t="s">
        <v>93</v>
      </c>
      <c r="E9" s="36" t="s">
        <v>97</v>
      </c>
      <c r="F9" s="36" t="s">
        <v>98</v>
      </c>
      <c r="G9" s="89" t="s">
        <v>76</v>
      </c>
      <c r="H9" s="42" t="s">
        <v>77</v>
      </c>
      <c r="I9" s="45"/>
      <c r="J9" s="44"/>
      <c r="K9" s="26">
        <v>2</v>
      </c>
      <c r="L9" s="25">
        <v>1</v>
      </c>
      <c r="M9" s="25">
        <v>2</v>
      </c>
      <c r="N9" s="25">
        <v>2</v>
      </c>
      <c r="O9" s="25">
        <v>2</v>
      </c>
      <c r="P9" s="25">
        <v>1</v>
      </c>
      <c r="Q9" s="25">
        <v>2</v>
      </c>
      <c r="R9" s="25">
        <v>1</v>
      </c>
      <c r="S9" s="25">
        <v>1</v>
      </c>
      <c r="T9" s="25">
        <v>1</v>
      </c>
      <c r="U9" s="25">
        <v>0</v>
      </c>
      <c r="V9" s="25">
        <v>2</v>
      </c>
      <c r="W9" s="25">
        <v>1</v>
      </c>
      <c r="X9" s="21">
        <f t="shared" si="0"/>
        <v>18</v>
      </c>
      <c r="Y9" s="27">
        <f t="shared" si="1"/>
        <v>42.857142857142854</v>
      </c>
      <c r="Z9" s="22" t="str">
        <f t="shared" si="2"/>
        <v>Insuficiente</v>
      </c>
    </row>
    <row r="10" spans="1:26">
      <c r="A10" s="35">
        <v>21417614</v>
      </c>
      <c r="B10" s="35">
        <v>9</v>
      </c>
      <c r="C10" s="35" t="s">
        <v>99</v>
      </c>
      <c r="D10" s="36" t="s">
        <v>100</v>
      </c>
      <c r="E10" s="36" t="s">
        <v>101</v>
      </c>
      <c r="F10" s="36" t="s">
        <v>102</v>
      </c>
      <c r="G10" s="89" t="s">
        <v>76</v>
      </c>
      <c r="H10" s="42" t="s">
        <v>77</v>
      </c>
      <c r="I10" s="45"/>
      <c r="J10" s="44"/>
      <c r="K10" s="26">
        <v>2</v>
      </c>
      <c r="L10" s="25">
        <v>2</v>
      </c>
      <c r="M10" s="25">
        <v>2</v>
      </c>
      <c r="N10" s="25">
        <v>3</v>
      </c>
      <c r="O10" s="25">
        <v>2</v>
      </c>
      <c r="P10" s="25">
        <v>2</v>
      </c>
      <c r="Q10" s="25">
        <v>3</v>
      </c>
      <c r="R10" s="25">
        <v>2</v>
      </c>
      <c r="S10" s="25">
        <v>1</v>
      </c>
      <c r="T10" s="25">
        <v>2</v>
      </c>
      <c r="U10" s="25">
        <v>2</v>
      </c>
      <c r="V10" s="25">
        <v>2</v>
      </c>
      <c r="W10" s="25">
        <v>1</v>
      </c>
      <c r="X10" s="21">
        <f t="shared" si="0"/>
        <v>26</v>
      </c>
      <c r="Y10" s="27">
        <f t="shared" si="1"/>
        <v>61.904761904761905</v>
      </c>
      <c r="Z10" s="22" t="str">
        <f t="shared" si="2"/>
        <v>Satisfactorio</v>
      </c>
    </row>
    <row r="11" spans="1:26">
      <c r="A11" s="35">
        <v>21734209</v>
      </c>
      <c r="B11" s="35">
        <v>0</v>
      </c>
      <c r="C11" s="35" t="s">
        <v>103</v>
      </c>
      <c r="D11" s="36" t="s">
        <v>104</v>
      </c>
      <c r="E11" s="36" t="s">
        <v>105</v>
      </c>
      <c r="F11" s="36" t="s">
        <v>106</v>
      </c>
      <c r="G11" s="89" t="s">
        <v>76</v>
      </c>
      <c r="H11" s="42" t="s">
        <v>77</v>
      </c>
      <c r="I11" s="45"/>
      <c r="J11" s="44"/>
      <c r="K11" s="26">
        <v>1</v>
      </c>
      <c r="L11" s="25">
        <v>1</v>
      </c>
      <c r="M11" s="25">
        <v>0</v>
      </c>
      <c r="N11" s="25">
        <v>1</v>
      </c>
      <c r="O11" s="25">
        <v>2</v>
      </c>
      <c r="P11" s="25">
        <v>0</v>
      </c>
      <c r="Q11" s="25">
        <v>2</v>
      </c>
      <c r="R11" s="25">
        <v>2</v>
      </c>
      <c r="S11" s="25">
        <v>2</v>
      </c>
      <c r="T11" s="25">
        <v>1</v>
      </c>
      <c r="U11" s="25">
        <v>1</v>
      </c>
      <c r="V11" s="25">
        <v>1</v>
      </c>
      <c r="W11" s="25">
        <v>1</v>
      </c>
      <c r="X11" s="21">
        <f t="shared" si="0"/>
        <v>15</v>
      </c>
      <c r="Y11" s="27">
        <f t="shared" si="1"/>
        <v>35.714285714285715</v>
      </c>
      <c r="Z11" s="22" t="str">
        <f t="shared" si="2"/>
        <v>Deficiente</v>
      </c>
    </row>
    <row r="12" spans="1:26">
      <c r="A12" s="28">
        <v>21642515</v>
      </c>
      <c r="B12" s="28">
        <v>4</v>
      </c>
      <c r="C12" s="35" t="s">
        <v>107</v>
      </c>
      <c r="D12" s="29" t="s">
        <v>108</v>
      </c>
      <c r="E12" s="29" t="s">
        <v>74</v>
      </c>
      <c r="F12" s="29" t="s">
        <v>109</v>
      </c>
      <c r="G12" s="90"/>
      <c r="H12" s="46" t="s">
        <v>110</v>
      </c>
      <c r="I12" s="41"/>
      <c r="J12" s="40"/>
      <c r="K12" s="40"/>
      <c r="L12" s="40"/>
      <c r="M12" s="40"/>
      <c r="N12" s="40"/>
      <c r="O12" s="40"/>
      <c r="P12" s="33"/>
      <c r="Q12" s="33"/>
      <c r="R12" s="33"/>
      <c r="S12" s="33"/>
      <c r="T12" s="33"/>
      <c r="U12" s="33"/>
      <c r="V12" s="33"/>
      <c r="W12" s="33"/>
      <c r="X12" s="33">
        <f t="shared" si="0"/>
        <v>0</v>
      </c>
      <c r="Y12" s="34">
        <f t="shared" si="1"/>
        <v>0</v>
      </c>
      <c r="Z12" s="22" t="str">
        <f t="shared" si="2"/>
        <v>Deficiente</v>
      </c>
    </row>
    <row r="13" spans="1:26">
      <c r="A13" s="35">
        <v>20984418</v>
      </c>
      <c r="B13" s="35">
        <v>4</v>
      </c>
      <c r="C13" s="35" t="s">
        <v>111</v>
      </c>
      <c r="D13" s="36" t="s">
        <v>112</v>
      </c>
      <c r="E13" s="36" t="s">
        <v>113</v>
      </c>
      <c r="F13" s="36" t="s">
        <v>114</v>
      </c>
      <c r="G13" s="89" t="s">
        <v>76</v>
      </c>
      <c r="H13" s="42" t="s">
        <v>77</v>
      </c>
      <c r="I13" s="45"/>
      <c r="J13" s="44"/>
      <c r="K13" s="26">
        <v>2</v>
      </c>
      <c r="L13" s="25">
        <v>1</v>
      </c>
      <c r="M13" s="25">
        <v>2</v>
      </c>
      <c r="N13" s="25">
        <v>0</v>
      </c>
      <c r="O13" s="25">
        <v>1</v>
      </c>
      <c r="P13" s="25">
        <v>0</v>
      </c>
      <c r="Q13" s="25">
        <v>3</v>
      </c>
      <c r="R13" s="25">
        <v>1</v>
      </c>
      <c r="S13" s="25">
        <v>1</v>
      </c>
      <c r="T13" s="25">
        <v>1</v>
      </c>
      <c r="U13" s="25">
        <v>0</v>
      </c>
      <c r="V13" s="25">
        <v>1</v>
      </c>
      <c r="W13" s="25">
        <v>0</v>
      </c>
      <c r="X13" s="21">
        <f t="shared" si="0"/>
        <v>13</v>
      </c>
      <c r="Y13" s="27">
        <f t="shared" si="1"/>
        <v>30.952380952380953</v>
      </c>
      <c r="Z13" s="22" t="str">
        <f t="shared" si="2"/>
        <v>Deficiente</v>
      </c>
    </row>
    <row r="14" spans="1:26">
      <c r="A14" s="28">
        <v>21291795</v>
      </c>
      <c r="B14" s="28">
        <v>8</v>
      </c>
      <c r="C14" s="35" t="s">
        <v>115</v>
      </c>
      <c r="D14" s="29" t="s">
        <v>116</v>
      </c>
      <c r="E14" s="29" t="s">
        <v>117</v>
      </c>
      <c r="F14" s="29" t="s">
        <v>118</v>
      </c>
      <c r="G14" s="90"/>
      <c r="H14" s="46" t="s">
        <v>110</v>
      </c>
      <c r="I14" s="41"/>
      <c r="J14" s="40"/>
      <c r="K14" s="32"/>
      <c r="L14" s="33"/>
      <c r="M14" s="33"/>
      <c r="N14" s="33"/>
      <c r="O14" s="33"/>
      <c r="P14" s="33"/>
      <c r="Q14" s="33"/>
      <c r="R14" s="33"/>
      <c r="S14" s="33"/>
      <c r="T14" s="33"/>
      <c r="U14" s="33"/>
      <c r="V14" s="33"/>
      <c r="W14" s="33"/>
      <c r="X14" s="33">
        <f t="shared" si="0"/>
        <v>0</v>
      </c>
      <c r="Y14" s="34">
        <f t="shared" si="1"/>
        <v>0</v>
      </c>
      <c r="Z14" s="22" t="str">
        <f t="shared" si="2"/>
        <v>Deficiente</v>
      </c>
    </row>
    <row r="15" spans="1:26">
      <c r="A15" s="35">
        <v>20474218</v>
      </c>
      <c r="B15" s="35">
        <v>9</v>
      </c>
      <c r="C15" s="35" t="s">
        <v>119</v>
      </c>
      <c r="D15" s="36" t="s">
        <v>120</v>
      </c>
      <c r="E15" s="36" t="s">
        <v>121</v>
      </c>
      <c r="F15" s="36" t="s">
        <v>122</v>
      </c>
      <c r="G15" s="89" t="s">
        <v>76</v>
      </c>
      <c r="H15" s="42" t="s">
        <v>77</v>
      </c>
      <c r="I15" s="45"/>
      <c r="J15" s="44"/>
      <c r="K15" s="26">
        <v>2</v>
      </c>
      <c r="L15" s="25">
        <v>1</v>
      </c>
      <c r="M15" s="25">
        <v>1</v>
      </c>
      <c r="N15" s="25">
        <v>2</v>
      </c>
      <c r="O15" s="25">
        <v>2</v>
      </c>
      <c r="P15" s="25">
        <v>2</v>
      </c>
      <c r="Q15" s="25">
        <v>2</v>
      </c>
      <c r="R15" s="25">
        <v>2</v>
      </c>
      <c r="S15" s="25">
        <v>1</v>
      </c>
      <c r="T15" s="25">
        <v>1</v>
      </c>
      <c r="U15" s="25">
        <v>1</v>
      </c>
      <c r="V15" s="25">
        <v>1</v>
      </c>
      <c r="W15" s="25">
        <v>0</v>
      </c>
      <c r="X15" s="21">
        <f t="shared" si="0"/>
        <v>18</v>
      </c>
      <c r="Y15" s="27">
        <f t="shared" si="1"/>
        <v>42.857142857142854</v>
      </c>
      <c r="Z15" s="22" t="str">
        <f t="shared" si="2"/>
        <v>Insuficiente</v>
      </c>
    </row>
    <row r="16" spans="1:26">
      <c r="A16" s="28">
        <v>21562498</v>
      </c>
      <c r="B16" s="28">
        <v>6</v>
      </c>
      <c r="C16" s="35" t="s">
        <v>123</v>
      </c>
      <c r="D16" s="29" t="s">
        <v>124</v>
      </c>
      <c r="E16" s="29" t="s">
        <v>125</v>
      </c>
      <c r="F16" s="29" t="s">
        <v>126</v>
      </c>
      <c r="G16" s="90"/>
      <c r="H16" s="46" t="s">
        <v>110</v>
      </c>
      <c r="I16" s="41"/>
      <c r="J16" s="40"/>
      <c r="K16" s="32"/>
      <c r="L16" s="33"/>
      <c r="M16" s="33"/>
      <c r="N16" s="33"/>
      <c r="O16" s="33"/>
      <c r="P16" s="33"/>
      <c r="Q16" s="33"/>
      <c r="R16" s="33"/>
      <c r="S16" s="33"/>
      <c r="T16" s="33"/>
      <c r="U16" s="33"/>
      <c r="V16" s="33"/>
      <c r="W16" s="33"/>
      <c r="X16" s="33">
        <f t="shared" si="0"/>
        <v>0</v>
      </c>
      <c r="Y16" s="34">
        <f t="shared" si="1"/>
        <v>0</v>
      </c>
      <c r="Z16" s="22" t="str">
        <f t="shared" si="2"/>
        <v>Deficiente</v>
      </c>
    </row>
    <row r="17" spans="1:26">
      <c r="A17" s="28">
        <v>25958327</v>
      </c>
      <c r="B17" s="28">
        <v>6</v>
      </c>
      <c r="C17" s="35" t="s">
        <v>127</v>
      </c>
      <c r="D17" s="29" t="s">
        <v>128</v>
      </c>
      <c r="E17" s="29" t="s">
        <v>129</v>
      </c>
      <c r="F17" s="29" t="s">
        <v>130</v>
      </c>
      <c r="G17" s="90"/>
      <c r="H17" s="47" t="s">
        <v>110</v>
      </c>
      <c r="I17" s="48"/>
      <c r="J17" s="49"/>
      <c r="K17" s="32"/>
      <c r="L17" s="33"/>
      <c r="M17" s="33"/>
      <c r="N17" s="33"/>
      <c r="O17" s="33"/>
      <c r="P17" s="33"/>
      <c r="Q17" s="33"/>
      <c r="R17" s="33"/>
      <c r="S17" s="33"/>
      <c r="T17" s="33"/>
      <c r="U17" s="33"/>
      <c r="V17" s="33"/>
      <c r="W17" s="33"/>
      <c r="X17" s="33">
        <f t="shared" si="0"/>
        <v>0</v>
      </c>
      <c r="Y17" s="34">
        <f t="shared" si="1"/>
        <v>0</v>
      </c>
      <c r="Z17" s="22" t="str">
        <f t="shared" si="2"/>
        <v>Deficiente</v>
      </c>
    </row>
    <row r="18" spans="1:26">
      <c r="A18" s="35">
        <v>21480288</v>
      </c>
      <c r="B18" s="35">
        <v>0</v>
      </c>
      <c r="C18" s="35" t="s">
        <v>131</v>
      </c>
      <c r="D18" s="36" t="s">
        <v>132</v>
      </c>
      <c r="E18" s="36" t="s">
        <v>133</v>
      </c>
      <c r="F18" s="36" t="s">
        <v>134</v>
      </c>
      <c r="G18" s="89" t="s">
        <v>76</v>
      </c>
      <c r="H18" s="42" t="s">
        <v>77</v>
      </c>
      <c r="I18" s="45"/>
      <c r="J18" s="44"/>
      <c r="K18" s="26">
        <v>3</v>
      </c>
      <c r="L18" s="25">
        <v>3</v>
      </c>
      <c r="M18" s="25">
        <v>3</v>
      </c>
      <c r="N18" s="25">
        <v>3</v>
      </c>
      <c r="O18" s="25">
        <v>3</v>
      </c>
      <c r="P18" s="25">
        <v>2</v>
      </c>
      <c r="Q18" s="25">
        <v>3</v>
      </c>
      <c r="R18" s="25">
        <v>2</v>
      </c>
      <c r="S18" s="25">
        <v>2</v>
      </c>
      <c r="T18" s="25">
        <v>1</v>
      </c>
      <c r="U18" s="25">
        <v>1</v>
      </c>
      <c r="V18" s="25">
        <v>1</v>
      </c>
      <c r="W18" s="25">
        <v>1</v>
      </c>
      <c r="X18" s="21">
        <f t="shared" si="0"/>
        <v>28</v>
      </c>
      <c r="Y18" s="27">
        <f t="shared" si="1"/>
        <v>66.666666666666657</v>
      </c>
      <c r="Z18" s="22" t="str">
        <f t="shared" si="2"/>
        <v>Satisfactorio</v>
      </c>
    </row>
    <row r="19" spans="1:26">
      <c r="A19" s="35">
        <v>19115522</v>
      </c>
      <c r="B19" s="35" t="s">
        <v>135</v>
      </c>
      <c r="C19" s="35" t="s">
        <v>136</v>
      </c>
      <c r="D19" s="36" t="s">
        <v>85</v>
      </c>
      <c r="E19" s="36" t="s">
        <v>137</v>
      </c>
      <c r="F19" s="36" t="s">
        <v>138</v>
      </c>
      <c r="G19" s="89" t="s">
        <v>76</v>
      </c>
      <c r="H19" s="42" t="s">
        <v>77</v>
      </c>
      <c r="I19" s="45"/>
      <c r="J19" s="44"/>
      <c r="K19" s="26">
        <v>2</v>
      </c>
      <c r="L19" s="25">
        <v>2</v>
      </c>
      <c r="M19" s="25">
        <v>2</v>
      </c>
      <c r="N19" s="25">
        <v>3</v>
      </c>
      <c r="O19" s="25">
        <v>2</v>
      </c>
      <c r="P19" s="25">
        <v>2</v>
      </c>
      <c r="Q19" s="25">
        <v>3</v>
      </c>
      <c r="R19" s="25">
        <v>3</v>
      </c>
      <c r="S19" s="25">
        <v>2</v>
      </c>
      <c r="T19" s="25">
        <v>2</v>
      </c>
      <c r="U19" s="25">
        <v>2</v>
      </c>
      <c r="V19" s="25">
        <v>2</v>
      </c>
      <c r="W19" s="25">
        <v>2</v>
      </c>
      <c r="X19" s="21">
        <f t="shared" si="0"/>
        <v>29</v>
      </c>
      <c r="Y19" s="27">
        <f t="shared" si="1"/>
        <v>69.047619047619051</v>
      </c>
      <c r="Z19" s="22" t="str">
        <f t="shared" si="2"/>
        <v>Satisfactorio</v>
      </c>
    </row>
    <row r="20" spans="1:26">
      <c r="A20" s="28">
        <v>21636066</v>
      </c>
      <c r="B20" s="28">
        <v>4</v>
      </c>
      <c r="C20" s="35" t="s">
        <v>139</v>
      </c>
      <c r="D20" s="29" t="s">
        <v>85</v>
      </c>
      <c r="E20" s="29" t="s">
        <v>140</v>
      </c>
      <c r="F20" s="29" t="s">
        <v>141</v>
      </c>
      <c r="G20" s="90"/>
      <c r="H20" s="46" t="s">
        <v>110</v>
      </c>
      <c r="I20" s="41"/>
      <c r="J20" s="40"/>
      <c r="K20" s="32"/>
      <c r="L20" s="33"/>
      <c r="M20" s="33"/>
      <c r="N20" s="33"/>
      <c r="O20" s="33"/>
      <c r="P20" s="33"/>
      <c r="Q20" s="33"/>
      <c r="R20" s="33"/>
      <c r="S20" s="33"/>
      <c r="T20" s="33"/>
      <c r="U20" s="33"/>
      <c r="V20" s="33"/>
      <c r="W20" s="33"/>
      <c r="X20" s="33">
        <f t="shared" si="0"/>
        <v>0</v>
      </c>
      <c r="Y20" s="34">
        <f t="shared" si="1"/>
        <v>0</v>
      </c>
      <c r="Z20" s="22" t="str">
        <f t="shared" si="2"/>
        <v>Deficiente</v>
      </c>
    </row>
    <row r="21" spans="1:26" ht="15.75" customHeight="1">
      <c r="A21" s="35">
        <v>21250164</v>
      </c>
      <c r="B21" s="35">
        <v>6</v>
      </c>
      <c r="C21" s="35" t="s">
        <v>142</v>
      </c>
      <c r="D21" s="36" t="s">
        <v>143</v>
      </c>
      <c r="E21" s="36" t="s">
        <v>144</v>
      </c>
      <c r="F21" s="36" t="s">
        <v>145</v>
      </c>
      <c r="G21" s="89" t="s">
        <v>76</v>
      </c>
      <c r="H21" s="42" t="s">
        <v>77</v>
      </c>
      <c r="I21" s="45"/>
      <c r="J21" s="44"/>
      <c r="K21" s="26">
        <v>2</v>
      </c>
      <c r="L21" s="25">
        <v>1</v>
      </c>
      <c r="M21" s="25">
        <v>1</v>
      </c>
      <c r="N21" s="25">
        <v>0</v>
      </c>
      <c r="O21" s="25">
        <v>1</v>
      </c>
      <c r="P21" s="25">
        <v>2</v>
      </c>
      <c r="Q21" s="25">
        <v>2</v>
      </c>
      <c r="R21" s="25">
        <v>1</v>
      </c>
      <c r="S21" s="25">
        <v>1</v>
      </c>
      <c r="T21" s="25">
        <v>1</v>
      </c>
      <c r="U21" s="25">
        <v>2</v>
      </c>
      <c r="V21" s="25">
        <v>1</v>
      </c>
      <c r="W21" s="25">
        <v>1</v>
      </c>
      <c r="X21" s="21">
        <f t="shared" si="0"/>
        <v>16</v>
      </c>
      <c r="Y21" s="27">
        <f t="shared" si="1"/>
        <v>38.095238095238095</v>
      </c>
      <c r="Z21" s="22" t="str">
        <f t="shared" si="2"/>
        <v>Deficiente</v>
      </c>
    </row>
    <row r="22" spans="1:26" ht="15.75" customHeight="1">
      <c r="A22" s="35">
        <v>21603985</v>
      </c>
      <c r="B22" s="35">
        <v>8</v>
      </c>
      <c r="C22" s="35" t="s">
        <v>146</v>
      </c>
      <c r="D22" s="36" t="s">
        <v>147</v>
      </c>
      <c r="E22" s="36" t="s">
        <v>148</v>
      </c>
      <c r="F22" s="36" t="s">
        <v>149</v>
      </c>
      <c r="G22" s="89" t="s">
        <v>76</v>
      </c>
      <c r="H22" s="42" t="s">
        <v>77</v>
      </c>
      <c r="I22" s="45"/>
      <c r="J22" s="44"/>
      <c r="K22" s="26">
        <v>3</v>
      </c>
      <c r="L22" s="25">
        <v>3</v>
      </c>
      <c r="M22" s="25">
        <v>2</v>
      </c>
      <c r="N22" s="25">
        <v>3</v>
      </c>
      <c r="O22" s="25">
        <v>3</v>
      </c>
      <c r="P22" s="25">
        <v>3</v>
      </c>
      <c r="Q22" s="25">
        <v>3</v>
      </c>
      <c r="R22" s="25">
        <v>1</v>
      </c>
      <c r="S22" s="25">
        <v>1</v>
      </c>
      <c r="T22" s="25">
        <v>1</v>
      </c>
      <c r="U22" s="25">
        <v>0</v>
      </c>
      <c r="V22" s="25">
        <v>2</v>
      </c>
      <c r="W22" s="25">
        <v>0</v>
      </c>
      <c r="X22" s="21">
        <f t="shared" si="0"/>
        <v>25</v>
      </c>
      <c r="Y22" s="27">
        <f t="shared" si="1"/>
        <v>59.523809523809526</v>
      </c>
      <c r="Z22" s="22" t="str">
        <f t="shared" si="2"/>
        <v>Insuficiente</v>
      </c>
    </row>
    <row r="23" spans="1:26" ht="15.75" customHeight="1">
      <c r="A23" s="35">
        <v>21088499</v>
      </c>
      <c r="B23" s="35">
        <v>8</v>
      </c>
      <c r="C23" s="35" t="s">
        <v>150</v>
      </c>
      <c r="D23" s="36" t="s">
        <v>151</v>
      </c>
      <c r="E23" s="36" t="s">
        <v>152</v>
      </c>
      <c r="F23" s="36" t="s">
        <v>153</v>
      </c>
      <c r="G23" s="89" t="s">
        <v>76</v>
      </c>
      <c r="H23" s="42" t="s">
        <v>77</v>
      </c>
      <c r="I23" s="45"/>
      <c r="J23" s="44"/>
      <c r="K23" s="26">
        <v>2</v>
      </c>
      <c r="L23" s="25">
        <v>2</v>
      </c>
      <c r="M23" s="25">
        <v>2</v>
      </c>
      <c r="N23" s="25">
        <v>1</v>
      </c>
      <c r="O23" s="25">
        <v>2</v>
      </c>
      <c r="P23" s="25">
        <v>1</v>
      </c>
      <c r="Q23" s="25">
        <v>1</v>
      </c>
      <c r="R23" s="25">
        <v>1</v>
      </c>
      <c r="S23" s="25">
        <v>1</v>
      </c>
      <c r="T23" s="25">
        <v>1</v>
      </c>
      <c r="U23" s="25">
        <v>2</v>
      </c>
      <c r="V23" s="25">
        <v>1</v>
      </c>
      <c r="W23" s="25">
        <v>1</v>
      </c>
      <c r="X23" s="21">
        <f t="shared" si="0"/>
        <v>18</v>
      </c>
      <c r="Y23" s="27">
        <f t="shared" si="1"/>
        <v>42.857142857142854</v>
      </c>
      <c r="Z23" s="22" t="str">
        <f t="shared" si="2"/>
        <v>Insuficiente</v>
      </c>
    </row>
    <row r="24" spans="1:26" ht="15.75" customHeight="1">
      <c r="A24" s="28">
        <v>21267741</v>
      </c>
      <c r="B24" s="28">
        <v>8</v>
      </c>
      <c r="C24" s="35" t="s">
        <v>154</v>
      </c>
      <c r="D24" s="29" t="s">
        <v>151</v>
      </c>
      <c r="E24" s="29" t="s">
        <v>155</v>
      </c>
      <c r="F24" s="29" t="s">
        <v>156</v>
      </c>
      <c r="G24" s="90" t="s">
        <v>91</v>
      </c>
      <c r="H24" s="40" t="s">
        <v>78</v>
      </c>
      <c r="I24" s="41"/>
      <c r="J24" s="40" t="s">
        <v>78</v>
      </c>
      <c r="K24" s="32"/>
      <c r="L24" s="33"/>
      <c r="M24" s="33"/>
      <c r="N24" s="33"/>
      <c r="O24" s="33"/>
      <c r="P24" s="33"/>
      <c r="Q24" s="33"/>
      <c r="R24" s="33"/>
      <c r="S24" s="33"/>
      <c r="T24" s="33"/>
      <c r="U24" s="33"/>
      <c r="V24" s="33"/>
      <c r="W24" s="33"/>
      <c r="X24" s="33">
        <f t="shared" si="0"/>
        <v>0</v>
      </c>
      <c r="Y24" s="34">
        <f t="shared" si="1"/>
        <v>0</v>
      </c>
      <c r="Z24" s="22" t="str">
        <f t="shared" si="2"/>
        <v>Deficiente</v>
      </c>
    </row>
    <row r="25" spans="1:26" ht="15.75" customHeight="1">
      <c r="A25" s="35">
        <v>21754959</v>
      </c>
      <c r="B25" s="35">
        <v>0</v>
      </c>
      <c r="C25" s="35" t="s">
        <v>157</v>
      </c>
      <c r="D25" s="36" t="s">
        <v>151</v>
      </c>
      <c r="E25" s="36" t="s">
        <v>158</v>
      </c>
      <c r="F25" s="36" t="s">
        <v>159</v>
      </c>
      <c r="G25" s="89" t="s">
        <v>76</v>
      </c>
      <c r="H25" s="50" t="s">
        <v>77</v>
      </c>
      <c r="I25" s="51"/>
      <c r="J25" s="52"/>
      <c r="K25" s="26">
        <v>2</v>
      </c>
      <c r="L25" s="25">
        <v>2</v>
      </c>
      <c r="M25" s="25">
        <v>2</v>
      </c>
      <c r="N25" s="25">
        <v>1</v>
      </c>
      <c r="O25" s="25">
        <v>2</v>
      </c>
      <c r="P25" s="25">
        <v>1</v>
      </c>
      <c r="Q25" s="25">
        <v>2</v>
      </c>
      <c r="R25" s="25">
        <v>1</v>
      </c>
      <c r="S25" s="25">
        <v>1</v>
      </c>
      <c r="T25" s="25">
        <v>2</v>
      </c>
      <c r="U25" s="25">
        <v>0</v>
      </c>
      <c r="V25" s="25">
        <v>1</v>
      </c>
      <c r="W25" s="25">
        <v>0</v>
      </c>
      <c r="X25" s="21">
        <f t="shared" si="0"/>
        <v>17</v>
      </c>
      <c r="Y25" s="27">
        <f t="shared" si="1"/>
        <v>40.476190476190474</v>
      </c>
      <c r="Z25" s="22" t="str">
        <f t="shared" si="2"/>
        <v>Insuficiente</v>
      </c>
    </row>
    <row r="26" spans="1:26" ht="15.75" customHeight="1">
      <c r="A26" s="28">
        <v>22453633</v>
      </c>
      <c r="B26" s="28" t="s">
        <v>135</v>
      </c>
      <c r="C26" s="35" t="s">
        <v>160</v>
      </c>
      <c r="D26" s="29" t="s">
        <v>161</v>
      </c>
      <c r="E26" s="29" t="s">
        <v>162</v>
      </c>
      <c r="F26" s="29" t="s">
        <v>163</v>
      </c>
      <c r="G26" s="90"/>
      <c r="H26" s="47" t="s">
        <v>110</v>
      </c>
      <c r="I26" s="48"/>
      <c r="J26" s="49"/>
      <c r="K26" s="32"/>
      <c r="L26" s="33"/>
      <c r="M26" s="33"/>
      <c r="N26" s="33"/>
      <c r="O26" s="33"/>
      <c r="P26" s="33"/>
      <c r="Q26" s="33"/>
      <c r="R26" s="33"/>
      <c r="S26" s="33"/>
      <c r="T26" s="33"/>
      <c r="U26" s="33"/>
      <c r="V26" s="33"/>
      <c r="W26" s="33"/>
      <c r="X26" s="33">
        <f t="shared" si="0"/>
        <v>0</v>
      </c>
      <c r="Y26" s="34">
        <f t="shared" si="1"/>
        <v>0</v>
      </c>
      <c r="Z26" s="22" t="str">
        <f t="shared" si="2"/>
        <v>Deficiente</v>
      </c>
    </row>
    <row r="27" spans="1:26" ht="15.75" customHeight="1">
      <c r="A27" s="35">
        <v>21466500</v>
      </c>
      <c r="B27" s="35" t="s">
        <v>135</v>
      </c>
      <c r="C27" s="35" t="s">
        <v>164</v>
      </c>
      <c r="D27" s="36" t="s">
        <v>165</v>
      </c>
      <c r="E27" s="36" t="s">
        <v>166</v>
      </c>
      <c r="F27" s="36" t="s">
        <v>167</v>
      </c>
      <c r="G27" s="89" t="s">
        <v>76</v>
      </c>
      <c r="H27" s="42" t="s">
        <v>77</v>
      </c>
      <c r="I27" s="45"/>
      <c r="J27" s="44"/>
      <c r="K27" s="26">
        <v>1</v>
      </c>
      <c r="L27" s="25">
        <v>2</v>
      </c>
      <c r="M27" s="25">
        <v>2</v>
      </c>
      <c r="N27" s="25">
        <v>2</v>
      </c>
      <c r="O27" s="25">
        <v>3</v>
      </c>
      <c r="P27" s="25">
        <v>2</v>
      </c>
      <c r="Q27" s="25">
        <v>3</v>
      </c>
      <c r="R27" s="25">
        <v>3</v>
      </c>
      <c r="S27" s="25">
        <v>3</v>
      </c>
      <c r="T27" s="25">
        <v>3</v>
      </c>
      <c r="U27" s="25">
        <v>3</v>
      </c>
      <c r="V27" s="25">
        <v>3</v>
      </c>
      <c r="W27" s="25">
        <v>3</v>
      </c>
      <c r="X27" s="21">
        <f t="shared" si="0"/>
        <v>33</v>
      </c>
      <c r="Y27" s="27">
        <f t="shared" si="1"/>
        <v>78.571428571428569</v>
      </c>
      <c r="Z27" s="22" t="str">
        <f t="shared" si="2"/>
        <v>Satisfactorio</v>
      </c>
    </row>
    <row r="28" spans="1:26" ht="15.75" customHeight="1">
      <c r="A28" s="28">
        <v>21287637</v>
      </c>
      <c r="B28" s="28">
        <v>2</v>
      </c>
      <c r="C28" s="35" t="s">
        <v>168</v>
      </c>
      <c r="D28" s="29" t="s">
        <v>169</v>
      </c>
      <c r="E28" s="29" t="s">
        <v>170</v>
      </c>
      <c r="F28" s="29" t="s">
        <v>171</v>
      </c>
      <c r="G28" s="90"/>
      <c r="H28" s="46" t="s">
        <v>110</v>
      </c>
      <c r="I28" s="41"/>
      <c r="J28" s="40"/>
      <c r="K28" s="32"/>
      <c r="L28" s="33"/>
      <c r="M28" s="33"/>
      <c r="N28" s="33"/>
      <c r="O28" s="33"/>
      <c r="P28" s="33"/>
      <c r="Q28" s="33"/>
      <c r="R28" s="33"/>
      <c r="S28" s="33"/>
      <c r="T28" s="33"/>
      <c r="U28" s="33"/>
      <c r="V28" s="33"/>
      <c r="W28" s="33"/>
      <c r="X28" s="33">
        <f t="shared" si="0"/>
        <v>0</v>
      </c>
      <c r="Y28" s="34">
        <f t="shared" si="1"/>
        <v>0</v>
      </c>
      <c r="Z28" s="22" t="str">
        <f t="shared" si="2"/>
        <v>Deficiente</v>
      </c>
    </row>
    <row r="29" spans="1:26" ht="15.75" customHeight="1">
      <c r="A29" s="35">
        <v>21394504</v>
      </c>
      <c r="B29" s="35">
        <v>1</v>
      </c>
      <c r="C29" s="35" t="s">
        <v>172</v>
      </c>
      <c r="D29" s="36" t="s">
        <v>169</v>
      </c>
      <c r="E29" s="36" t="s">
        <v>173</v>
      </c>
      <c r="F29" s="36" t="s">
        <v>174</v>
      </c>
      <c r="G29" s="89" t="s">
        <v>76</v>
      </c>
      <c r="H29" s="42" t="s">
        <v>77</v>
      </c>
      <c r="I29" s="45"/>
      <c r="J29" s="44"/>
      <c r="K29" s="26">
        <v>2</v>
      </c>
      <c r="L29" s="25">
        <v>2</v>
      </c>
      <c r="M29" s="25">
        <v>2</v>
      </c>
      <c r="N29" s="25">
        <v>3</v>
      </c>
      <c r="O29" s="25">
        <v>2</v>
      </c>
      <c r="P29" s="25">
        <v>2</v>
      </c>
      <c r="Q29" s="25">
        <v>3</v>
      </c>
      <c r="R29" s="25">
        <v>2</v>
      </c>
      <c r="S29" s="25">
        <v>1</v>
      </c>
      <c r="T29" s="25">
        <v>1</v>
      </c>
      <c r="U29" s="25">
        <v>1</v>
      </c>
      <c r="V29" s="25">
        <v>2</v>
      </c>
      <c r="W29" s="25">
        <v>1</v>
      </c>
      <c r="X29" s="21">
        <f t="shared" si="0"/>
        <v>24</v>
      </c>
      <c r="Y29" s="27">
        <f t="shared" si="1"/>
        <v>57.142857142857139</v>
      </c>
      <c r="Z29" s="22" t="str">
        <f t="shared" si="2"/>
        <v>Insuficiente</v>
      </c>
    </row>
    <row r="30" spans="1:26" ht="15.75" customHeight="1">
      <c r="A30" s="28">
        <v>21461823</v>
      </c>
      <c r="B30" s="28">
        <v>0</v>
      </c>
      <c r="C30" s="35" t="s">
        <v>175</v>
      </c>
      <c r="D30" s="29" t="s">
        <v>169</v>
      </c>
      <c r="E30" s="29" t="s">
        <v>176</v>
      </c>
      <c r="F30" s="29" t="s">
        <v>177</v>
      </c>
      <c r="G30" s="90"/>
      <c r="H30" s="46" t="s">
        <v>110</v>
      </c>
      <c r="I30" s="41"/>
      <c r="J30" s="40"/>
      <c r="K30" s="32"/>
      <c r="L30" s="33"/>
      <c r="M30" s="33"/>
      <c r="N30" s="33"/>
      <c r="O30" s="33"/>
      <c r="P30" s="33"/>
      <c r="Q30" s="33"/>
      <c r="R30" s="33"/>
      <c r="S30" s="33"/>
      <c r="T30" s="33"/>
      <c r="U30" s="33"/>
      <c r="V30" s="33"/>
      <c r="W30" s="33"/>
      <c r="X30" s="33">
        <f t="shared" si="0"/>
        <v>0</v>
      </c>
      <c r="Y30" s="34">
        <f t="shared" si="1"/>
        <v>0</v>
      </c>
      <c r="Z30" s="22" t="str">
        <f t="shared" si="2"/>
        <v>Deficiente</v>
      </c>
    </row>
    <row r="31" spans="1:26" ht="15.75" customHeight="1">
      <c r="A31" s="35">
        <v>21337704</v>
      </c>
      <c r="B31" s="35">
        <v>3</v>
      </c>
      <c r="C31" s="35" t="s">
        <v>178</v>
      </c>
      <c r="D31" s="36" t="s">
        <v>179</v>
      </c>
      <c r="E31" s="36" t="s">
        <v>180</v>
      </c>
      <c r="F31" s="36" t="s">
        <v>181</v>
      </c>
      <c r="G31" s="89" t="s">
        <v>76</v>
      </c>
      <c r="H31" s="42" t="s">
        <v>77</v>
      </c>
      <c r="I31" s="45"/>
      <c r="J31" s="44"/>
      <c r="K31" s="26">
        <v>2</v>
      </c>
      <c r="L31" s="25">
        <v>2</v>
      </c>
      <c r="M31" s="25">
        <v>1</v>
      </c>
      <c r="N31" s="25">
        <v>2</v>
      </c>
      <c r="O31" s="25">
        <v>2</v>
      </c>
      <c r="P31" s="25">
        <v>1</v>
      </c>
      <c r="Q31" s="25">
        <v>1</v>
      </c>
      <c r="R31" s="25">
        <v>1</v>
      </c>
      <c r="S31" s="25">
        <v>1</v>
      </c>
      <c r="T31" s="25">
        <v>1</v>
      </c>
      <c r="U31" s="25">
        <v>2</v>
      </c>
      <c r="V31" s="25">
        <v>1</v>
      </c>
      <c r="W31" s="25">
        <v>1</v>
      </c>
      <c r="X31" s="21">
        <f t="shared" si="0"/>
        <v>18</v>
      </c>
      <c r="Y31" s="27">
        <f t="shared" si="1"/>
        <v>42.857142857142854</v>
      </c>
      <c r="Z31" s="22" t="str">
        <f t="shared" si="2"/>
        <v>Insuficiente</v>
      </c>
    </row>
    <row r="32" spans="1:26" ht="15.75" customHeight="1">
      <c r="A32" s="35">
        <v>21520261</v>
      </c>
      <c r="B32" s="35">
        <v>5</v>
      </c>
      <c r="C32" s="35" t="s">
        <v>182</v>
      </c>
      <c r="D32" s="36" t="s">
        <v>183</v>
      </c>
      <c r="E32" s="36" t="s">
        <v>184</v>
      </c>
      <c r="F32" s="36" t="s">
        <v>185</v>
      </c>
      <c r="G32" s="89" t="s">
        <v>76</v>
      </c>
      <c r="H32" s="42" t="s">
        <v>77</v>
      </c>
      <c r="I32" s="45"/>
      <c r="J32" s="44"/>
      <c r="K32" s="26">
        <v>3</v>
      </c>
      <c r="L32" s="25">
        <v>3</v>
      </c>
      <c r="M32" s="25">
        <v>3</v>
      </c>
      <c r="N32" s="25">
        <v>2</v>
      </c>
      <c r="O32" s="25">
        <v>1</v>
      </c>
      <c r="P32" s="25">
        <v>1</v>
      </c>
      <c r="Q32" s="25">
        <v>2</v>
      </c>
      <c r="R32" s="25">
        <v>1</v>
      </c>
      <c r="S32" s="25">
        <v>1</v>
      </c>
      <c r="T32" s="25">
        <v>1</v>
      </c>
      <c r="U32" s="25">
        <v>0</v>
      </c>
      <c r="V32" s="25">
        <v>1</v>
      </c>
      <c r="W32" s="25">
        <v>0</v>
      </c>
      <c r="X32" s="21">
        <f t="shared" si="0"/>
        <v>19</v>
      </c>
      <c r="Y32" s="27">
        <f t="shared" si="1"/>
        <v>45.238095238095241</v>
      </c>
      <c r="Z32" s="22" t="str">
        <f t="shared" si="2"/>
        <v>Insuficiente</v>
      </c>
    </row>
    <row r="33" spans="1:26" ht="15.75" customHeight="1">
      <c r="A33" s="35">
        <v>20671603</v>
      </c>
      <c r="B33" s="35">
        <v>7</v>
      </c>
      <c r="C33" s="35" t="s">
        <v>186</v>
      </c>
      <c r="D33" s="36" t="s">
        <v>187</v>
      </c>
      <c r="E33" s="36" t="s">
        <v>188</v>
      </c>
      <c r="F33" s="36" t="s">
        <v>189</v>
      </c>
      <c r="G33" s="89" t="s">
        <v>76</v>
      </c>
      <c r="H33" s="42" t="s">
        <v>77</v>
      </c>
      <c r="I33" s="45"/>
      <c r="J33" s="44"/>
      <c r="K33" s="26">
        <v>1</v>
      </c>
      <c r="L33" s="25">
        <v>2</v>
      </c>
      <c r="M33" s="25">
        <v>1</v>
      </c>
      <c r="N33" s="25">
        <v>1</v>
      </c>
      <c r="O33" s="25">
        <v>1</v>
      </c>
      <c r="P33" s="25">
        <v>1</v>
      </c>
      <c r="Q33" s="25">
        <v>0</v>
      </c>
      <c r="R33" s="25">
        <v>2</v>
      </c>
      <c r="S33" s="25">
        <v>2</v>
      </c>
      <c r="T33" s="25">
        <v>1</v>
      </c>
      <c r="U33" s="25">
        <v>1</v>
      </c>
      <c r="V33" s="25">
        <v>2</v>
      </c>
      <c r="W33" s="25">
        <v>2</v>
      </c>
      <c r="X33" s="21">
        <f t="shared" si="0"/>
        <v>17</v>
      </c>
      <c r="Y33" s="27">
        <f t="shared" si="1"/>
        <v>40.476190476190474</v>
      </c>
      <c r="Z33" s="22" t="str">
        <f t="shared" si="2"/>
        <v>Insuficiente</v>
      </c>
    </row>
    <row r="34" spans="1:26" ht="15.75" customHeight="1">
      <c r="A34" s="35">
        <v>21210514</v>
      </c>
      <c r="B34" s="35">
        <v>7</v>
      </c>
      <c r="C34" s="35" t="s">
        <v>190</v>
      </c>
      <c r="D34" s="36" t="s">
        <v>191</v>
      </c>
      <c r="E34" s="36" t="s">
        <v>192</v>
      </c>
      <c r="F34" s="36" t="s">
        <v>193</v>
      </c>
      <c r="G34" s="89" t="s">
        <v>76</v>
      </c>
      <c r="H34" s="42" t="s">
        <v>77</v>
      </c>
      <c r="I34" s="45"/>
      <c r="J34" s="44"/>
      <c r="K34" s="26">
        <v>1</v>
      </c>
      <c r="L34" s="25">
        <v>2</v>
      </c>
      <c r="M34" s="25">
        <v>2</v>
      </c>
      <c r="N34" s="25">
        <v>2</v>
      </c>
      <c r="O34" s="25">
        <v>3</v>
      </c>
      <c r="P34" s="25">
        <v>1</v>
      </c>
      <c r="Q34" s="25">
        <v>2</v>
      </c>
      <c r="R34" s="25">
        <v>3</v>
      </c>
      <c r="S34" s="25">
        <v>2</v>
      </c>
      <c r="T34" s="25">
        <v>2</v>
      </c>
      <c r="U34" s="25">
        <v>3</v>
      </c>
      <c r="V34" s="25">
        <v>2</v>
      </c>
      <c r="W34" s="25">
        <v>2</v>
      </c>
      <c r="X34" s="21">
        <f t="shared" si="0"/>
        <v>27</v>
      </c>
      <c r="Y34" s="27">
        <f t="shared" si="1"/>
        <v>64.285714285714292</v>
      </c>
      <c r="Z34" s="22" t="str">
        <f t="shared" si="2"/>
        <v>Satisfactorio</v>
      </c>
    </row>
    <row r="35" spans="1:26" ht="15.75" customHeight="1">
      <c r="A35" s="35">
        <v>21246770</v>
      </c>
      <c r="B35" s="35">
        <v>7</v>
      </c>
      <c r="C35" s="35" t="s">
        <v>194</v>
      </c>
      <c r="D35" s="36" t="s">
        <v>195</v>
      </c>
      <c r="E35" s="36" t="s">
        <v>196</v>
      </c>
      <c r="F35" s="36" t="s">
        <v>197</v>
      </c>
      <c r="G35" s="89" t="s">
        <v>76</v>
      </c>
      <c r="H35" s="42" t="s">
        <v>77</v>
      </c>
      <c r="I35" s="45"/>
      <c r="J35" s="44"/>
      <c r="K35" s="26">
        <v>3</v>
      </c>
      <c r="L35" s="25">
        <v>2</v>
      </c>
      <c r="M35" s="25">
        <v>2</v>
      </c>
      <c r="N35" s="25">
        <v>2</v>
      </c>
      <c r="O35" s="25">
        <v>3</v>
      </c>
      <c r="P35" s="25">
        <v>3</v>
      </c>
      <c r="Q35" s="25">
        <v>2</v>
      </c>
      <c r="R35" s="25">
        <v>1</v>
      </c>
      <c r="S35" s="25">
        <v>1</v>
      </c>
      <c r="T35" s="25">
        <v>0</v>
      </c>
      <c r="U35" s="25">
        <v>0</v>
      </c>
      <c r="V35" s="25">
        <v>1</v>
      </c>
      <c r="W35" s="25">
        <v>0</v>
      </c>
      <c r="X35" s="21">
        <f t="shared" si="0"/>
        <v>20</v>
      </c>
      <c r="Y35" s="27">
        <f t="shared" si="1"/>
        <v>47.619047619047613</v>
      </c>
      <c r="Z35" s="22" t="str">
        <f t="shared" si="2"/>
        <v>Insuficiente</v>
      </c>
    </row>
    <row r="36" spans="1:26" ht="15.75" customHeight="1">
      <c r="A36" s="28">
        <v>21058983</v>
      </c>
      <c r="B36" s="28" t="s">
        <v>135</v>
      </c>
      <c r="C36" s="35" t="s">
        <v>198</v>
      </c>
      <c r="D36" s="29" t="s">
        <v>199</v>
      </c>
      <c r="E36" s="29" t="s">
        <v>200</v>
      </c>
      <c r="F36" s="29" t="s">
        <v>201</v>
      </c>
      <c r="G36" s="90"/>
      <c r="H36" s="46" t="s">
        <v>110</v>
      </c>
      <c r="I36" s="41"/>
      <c r="J36" s="40"/>
      <c r="K36" s="32"/>
      <c r="L36" s="33"/>
      <c r="M36" s="33"/>
      <c r="N36" s="33"/>
      <c r="O36" s="33"/>
      <c r="P36" s="33"/>
      <c r="Q36" s="33"/>
      <c r="R36" s="33"/>
      <c r="S36" s="33"/>
      <c r="T36" s="33"/>
      <c r="U36" s="33"/>
      <c r="V36" s="33"/>
      <c r="W36" s="33"/>
      <c r="X36" s="33">
        <f t="shared" si="0"/>
        <v>0</v>
      </c>
      <c r="Y36" s="34">
        <f t="shared" si="1"/>
        <v>0</v>
      </c>
      <c r="Z36" s="22" t="str">
        <f t="shared" si="2"/>
        <v>Deficiente</v>
      </c>
    </row>
    <row r="37" spans="1:26" ht="15.75" customHeight="1">
      <c r="A37" s="28">
        <v>21294046</v>
      </c>
      <c r="B37" s="28">
        <v>1</v>
      </c>
      <c r="C37" s="35" t="s">
        <v>202</v>
      </c>
      <c r="D37" s="29" t="s">
        <v>203</v>
      </c>
      <c r="E37" s="29" t="s">
        <v>204</v>
      </c>
      <c r="F37" s="29" t="s">
        <v>205</v>
      </c>
      <c r="G37" s="90"/>
      <c r="H37" s="46" t="s">
        <v>110</v>
      </c>
      <c r="I37" s="41"/>
      <c r="J37" s="40"/>
      <c r="K37" s="32"/>
      <c r="L37" s="33"/>
      <c r="M37" s="33"/>
      <c r="N37" s="33"/>
      <c r="O37" s="33"/>
      <c r="P37" s="33"/>
      <c r="Q37" s="33"/>
      <c r="R37" s="33"/>
      <c r="S37" s="33"/>
      <c r="T37" s="33"/>
      <c r="U37" s="33"/>
      <c r="V37" s="33"/>
      <c r="W37" s="33"/>
      <c r="X37" s="33">
        <f t="shared" si="0"/>
        <v>0</v>
      </c>
      <c r="Y37" s="34">
        <f t="shared" si="1"/>
        <v>0</v>
      </c>
      <c r="Z37" s="22" t="str">
        <f t="shared" si="2"/>
        <v>Deficiente</v>
      </c>
    </row>
    <row r="38" spans="1:26" ht="15.75" customHeight="1">
      <c r="A38" s="28">
        <v>21551177</v>
      </c>
      <c r="B38" s="28">
        <v>4</v>
      </c>
      <c r="C38" s="35" t="s">
        <v>206</v>
      </c>
      <c r="D38" s="29" t="s">
        <v>207</v>
      </c>
      <c r="E38" s="29" t="s">
        <v>208</v>
      </c>
      <c r="F38" s="29" t="s">
        <v>209</v>
      </c>
      <c r="G38" s="90"/>
      <c r="H38" s="46" t="s">
        <v>110</v>
      </c>
      <c r="I38" s="41"/>
      <c r="J38" s="40"/>
      <c r="K38" s="32"/>
      <c r="L38" s="33"/>
      <c r="M38" s="33"/>
      <c r="N38" s="33"/>
      <c r="O38" s="33"/>
      <c r="P38" s="33"/>
      <c r="Q38" s="33"/>
      <c r="R38" s="33"/>
      <c r="S38" s="33"/>
      <c r="T38" s="33"/>
      <c r="U38" s="33"/>
      <c r="V38" s="33"/>
      <c r="W38" s="33"/>
      <c r="X38" s="33">
        <f t="shared" si="0"/>
        <v>0</v>
      </c>
      <c r="Y38" s="34">
        <f t="shared" si="1"/>
        <v>0</v>
      </c>
      <c r="Z38" s="22" t="str">
        <f t="shared" si="2"/>
        <v>Deficiente</v>
      </c>
    </row>
    <row r="39" spans="1:26" ht="15.75" customHeight="1">
      <c r="A39" s="35">
        <v>21462779</v>
      </c>
      <c r="B39" s="35">
        <v>5</v>
      </c>
      <c r="C39" s="35" t="s">
        <v>210</v>
      </c>
      <c r="D39" s="36" t="s">
        <v>211</v>
      </c>
      <c r="E39" s="36" t="s">
        <v>124</v>
      </c>
      <c r="F39" s="36" t="s">
        <v>212</v>
      </c>
      <c r="G39" s="89" t="s">
        <v>76</v>
      </c>
      <c r="H39" s="42" t="s">
        <v>77</v>
      </c>
      <c r="I39" s="45"/>
      <c r="J39" s="44"/>
      <c r="K39" s="26">
        <v>3</v>
      </c>
      <c r="L39" s="25">
        <v>3</v>
      </c>
      <c r="M39" s="25">
        <v>3</v>
      </c>
      <c r="N39" s="25">
        <v>3</v>
      </c>
      <c r="O39" s="25">
        <v>3</v>
      </c>
      <c r="P39" s="25">
        <v>3</v>
      </c>
      <c r="Q39" s="25">
        <v>3</v>
      </c>
      <c r="R39" s="25">
        <v>2</v>
      </c>
      <c r="S39" s="25">
        <v>2</v>
      </c>
      <c r="T39" s="25">
        <v>1</v>
      </c>
      <c r="U39" s="25">
        <v>1</v>
      </c>
      <c r="V39" s="25">
        <v>2</v>
      </c>
      <c r="W39" s="25">
        <v>1</v>
      </c>
      <c r="X39" s="21">
        <f t="shared" si="0"/>
        <v>30</v>
      </c>
      <c r="Y39" s="27">
        <f t="shared" si="1"/>
        <v>71.428571428571431</v>
      </c>
      <c r="Z39" s="22" t="str">
        <f t="shared" si="2"/>
        <v>Satisfactorio</v>
      </c>
    </row>
    <row r="40" spans="1:26" ht="15.75" customHeight="1">
      <c r="A40" s="35">
        <v>21752262</v>
      </c>
      <c r="B40" s="35">
        <v>5</v>
      </c>
      <c r="C40" s="35" t="s">
        <v>213</v>
      </c>
      <c r="D40" s="36" t="s">
        <v>214</v>
      </c>
      <c r="E40" s="36" t="s">
        <v>215</v>
      </c>
      <c r="F40" s="36" t="s">
        <v>216</v>
      </c>
      <c r="G40" s="89" t="s">
        <v>76</v>
      </c>
      <c r="H40" s="50" t="s">
        <v>77</v>
      </c>
      <c r="I40" s="51"/>
      <c r="J40" s="52"/>
      <c r="K40" s="26">
        <v>1</v>
      </c>
      <c r="L40" s="25">
        <v>1</v>
      </c>
      <c r="M40" s="25">
        <v>1</v>
      </c>
      <c r="N40" s="25">
        <v>2</v>
      </c>
      <c r="O40" s="25">
        <v>2</v>
      </c>
      <c r="P40" s="25">
        <v>1</v>
      </c>
      <c r="Q40" s="25">
        <v>3</v>
      </c>
      <c r="R40" s="25">
        <v>1</v>
      </c>
      <c r="S40" s="25">
        <v>1</v>
      </c>
      <c r="T40" s="25">
        <v>1</v>
      </c>
      <c r="U40" s="25">
        <v>1</v>
      </c>
      <c r="V40" s="25">
        <v>2</v>
      </c>
      <c r="W40" s="25">
        <v>1</v>
      </c>
      <c r="X40" s="21">
        <f t="shared" si="0"/>
        <v>18</v>
      </c>
      <c r="Y40" s="27">
        <f t="shared" si="1"/>
        <v>42.857142857142854</v>
      </c>
      <c r="Z40" s="22" t="str">
        <f t="shared" si="2"/>
        <v>Insuficiente</v>
      </c>
    </row>
    <row r="41" spans="1:26" ht="15.75" customHeight="1">
      <c r="A41" s="35">
        <v>21659732</v>
      </c>
      <c r="B41" s="35" t="s">
        <v>135</v>
      </c>
      <c r="C41" s="35" t="s">
        <v>217</v>
      </c>
      <c r="D41" s="36" t="s">
        <v>218</v>
      </c>
      <c r="E41" s="36" t="s">
        <v>219</v>
      </c>
      <c r="F41" s="36" t="s">
        <v>220</v>
      </c>
      <c r="G41" s="89" t="s">
        <v>76</v>
      </c>
      <c r="H41" s="42" t="s">
        <v>77</v>
      </c>
      <c r="I41" s="45"/>
      <c r="J41" s="44"/>
      <c r="K41" s="26">
        <v>2</v>
      </c>
      <c r="L41" s="25">
        <v>2</v>
      </c>
      <c r="M41" s="25">
        <v>2</v>
      </c>
      <c r="N41" s="25">
        <v>0</v>
      </c>
      <c r="O41" s="25">
        <v>1</v>
      </c>
      <c r="P41" s="25">
        <v>0</v>
      </c>
      <c r="Q41" s="25">
        <v>0</v>
      </c>
      <c r="R41" s="25">
        <v>2</v>
      </c>
      <c r="S41" s="25">
        <v>1</v>
      </c>
      <c r="T41" s="25">
        <v>1</v>
      </c>
      <c r="U41" s="25">
        <v>1</v>
      </c>
      <c r="V41" s="25">
        <v>1</v>
      </c>
      <c r="W41" s="25">
        <v>0</v>
      </c>
      <c r="X41" s="21">
        <f t="shared" si="0"/>
        <v>13</v>
      </c>
      <c r="Y41" s="27">
        <f t="shared" si="1"/>
        <v>30.952380952380953</v>
      </c>
      <c r="Z41" s="22" t="str">
        <f t="shared" si="2"/>
        <v>Deficiente</v>
      </c>
    </row>
    <row r="42" spans="1:26" ht="15.75" customHeight="1">
      <c r="A42" s="35">
        <v>21661966</v>
      </c>
      <c r="B42" s="35">
        <v>8</v>
      </c>
      <c r="C42" s="35" t="s">
        <v>221</v>
      </c>
      <c r="D42" s="36" t="s">
        <v>222</v>
      </c>
      <c r="E42" s="36" t="s">
        <v>94</v>
      </c>
      <c r="F42" s="36" t="s">
        <v>223</v>
      </c>
      <c r="G42" s="89" t="s">
        <v>76</v>
      </c>
      <c r="H42" s="42" t="s">
        <v>77</v>
      </c>
      <c r="I42" s="45"/>
      <c r="J42" s="44"/>
      <c r="K42" s="26">
        <v>2</v>
      </c>
      <c r="L42" s="25">
        <v>2</v>
      </c>
      <c r="M42" s="25">
        <v>2</v>
      </c>
      <c r="N42" s="25">
        <v>2</v>
      </c>
      <c r="O42" s="25">
        <v>2</v>
      </c>
      <c r="P42" s="25">
        <v>1</v>
      </c>
      <c r="Q42" s="25">
        <v>2</v>
      </c>
      <c r="R42" s="25">
        <v>1</v>
      </c>
      <c r="S42" s="25">
        <v>1</v>
      </c>
      <c r="T42" s="25">
        <v>1</v>
      </c>
      <c r="U42" s="25">
        <v>0</v>
      </c>
      <c r="V42" s="25">
        <v>1</v>
      </c>
      <c r="W42" s="25">
        <v>0</v>
      </c>
      <c r="X42" s="21">
        <f t="shared" si="0"/>
        <v>17</v>
      </c>
      <c r="Y42" s="27">
        <f t="shared" si="1"/>
        <v>40.476190476190474</v>
      </c>
      <c r="Z42" s="22" t="str">
        <f t="shared" si="2"/>
        <v>Insuficiente</v>
      </c>
    </row>
    <row r="43" spans="1:26" ht="15.75" customHeight="1">
      <c r="A43" s="28">
        <v>21607002</v>
      </c>
      <c r="B43" s="28" t="s">
        <v>135</v>
      </c>
      <c r="C43" s="35" t="s">
        <v>224</v>
      </c>
      <c r="D43" s="29" t="s">
        <v>225</v>
      </c>
      <c r="E43" s="29" t="s">
        <v>226</v>
      </c>
      <c r="F43" s="29" t="s">
        <v>227</v>
      </c>
      <c r="G43" s="90"/>
      <c r="H43" s="46" t="s">
        <v>110</v>
      </c>
      <c r="I43" s="41"/>
      <c r="J43" s="40"/>
      <c r="K43" s="32"/>
      <c r="L43" s="33"/>
      <c r="M43" s="33"/>
      <c r="N43" s="33"/>
      <c r="O43" s="33"/>
      <c r="P43" s="33"/>
      <c r="Q43" s="33"/>
      <c r="R43" s="33"/>
      <c r="S43" s="33"/>
      <c r="T43" s="33"/>
      <c r="U43" s="33"/>
      <c r="V43" s="33"/>
      <c r="W43" s="33"/>
      <c r="X43" s="33">
        <f t="shared" si="0"/>
        <v>0</v>
      </c>
      <c r="Y43" s="34">
        <f t="shared" si="1"/>
        <v>0</v>
      </c>
      <c r="Z43" s="22" t="str">
        <f t="shared" si="2"/>
        <v>Deficiente</v>
      </c>
    </row>
    <row r="44" spans="1:26" ht="15.75" customHeight="1">
      <c r="A44" s="35">
        <v>21627713</v>
      </c>
      <c r="B44" s="35">
        <v>9</v>
      </c>
      <c r="C44" s="35" t="s">
        <v>228</v>
      </c>
      <c r="D44" s="36" t="s">
        <v>225</v>
      </c>
      <c r="E44" s="36" t="s">
        <v>229</v>
      </c>
      <c r="F44" s="36" t="s">
        <v>230</v>
      </c>
      <c r="G44" s="89" t="s">
        <v>76</v>
      </c>
      <c r="H44" s="42" t="s">
        <v>77</v>
      </c>
      <c r="I44" s="45"/>
      <c r="J44" s="44"/>
      <c r="K44" s="26">
        <v>3</v>
      </c>
      <c r="L44" s="25">
        <v>3</v>
      </c>
      <c r="M44" s="25">
        <v>2</v>
      </c>
      <c r="N44" s="25">
        <v>3</v>
      </c>
      <c r="O44" s="25">
        <v>3</v>
      </c>
      <c r="P44" s="25">
        <v>2</v>
      </c>
      <c r="Q44" s="25">
        <v>3</v>
      </c>
      <c r="R44" s="25">
        <v>2</v>
      </c>
      <c r="S44" s="25">
        <v>1</v>
      </c>
      <c r="T44" s="25">
        <v>2</v>
      </c>
      <c r="U44" s="25">
        <v>2</v>
      </c>
      <c r="V44" s="25">
        <v>2</v>
      </c>
      <c r="W44" s="25">
        <v>1</v>
      </c>
      <c r="X44" s="21">
        <f t="shared" si="0"/>
        <v>29</v>
      </c>
      <c r="Y44" s="27">
        <f t="shared" si="1"/>
        <v>69.047619047619051</v>
      </c>
      <c r="Z44" s="22" t="str">
        <f t="shared" si="2"/>
        <v>Satisfactorio</v>
      </c>
    </row>
    <row r="45" spans="1:26" ht="15.75" customHeight="1">
      <c r="A45" s="35">
        <v>20239893</v>
      </c>
      <c r="B45" s="35">
        <v>6</v>
      </c>
      <c r="C45" s="35" t="s">
        <v>231</v>
      </c>
      <c r="D45" s="36" t="s">
        <v>219</v>
      </c>
      <c r="E45" s="36" t="s">
        <v>232</v>
      </c>
      <c r="F45" s="36" t="s">
        <v>233</v>
      </c>
      <c r="G45" s="89" t="s">
        <v>76</v>
      </c>
      <c r="H45" s="42" t="s">
        <v>77</v>
      </c>
      <c r="I45" s="45"/>
      <c r="J45" s="44"/>
      <c r="K45" s="26">
        <v>2</v>
      </c>
      <c r="L45" s="25">
        <v>1</v>
      </c>
      <c r="M45" s="25">
        <v>1</v>
      </c>
      <c r="N45" s="25">
        <v>2</v>
      </c>
      <c r="O45" s="25">
        <v>2</v>
      </c>
      <c r="P45" s="25">
        <v>1</v>
      </c>
      <c r="Q45" s="25">
        <v>3</v>
      </c>
      <c r="R45" s="25">
        <v>2</v>
      </c>
      <c r="S45" s="25">
        <v>2</v>
      </c>
      <c r="T45" s="25">
        <v>2</v>
      </c>
      <c r="U45" s="25">
        <v>2</v>
      </c>
      <c r="V45" s="25">
        <v>2</v>
      </c>
      <c r="W45" s="25">
        <v>2</v>
      </c>
      <c r="X45" s="21">
        <f t="shared" si="0"/>
        <v>24</v>
      </c>
      <c r="Y45" s="27">
        <f t="shared" si="1"/>
        <v>57.142857142857139</v>
      </c>
      <c r="Z45" s="22" t="str">
        <f t="shared" si="2"/>
        <v>Insuficiente</v>
      </c>
    </row>
    <row r="46" spans="1:26" ht="15.75" customHeight="1">
      <c r="A46" s="28">
        <v>21443147</v>
      </c>
      <c r="B46" s="28">
        <v>5</v>
      </c>
      <c r="C46" s="35" t="s">
        <v>234</v>
      </c>
      <c r="D46" s="29" t="s">
        <v>219</v>
      </c>
      <c r="E46" s="29" t="s">
        <v>235</v>
      </c>
      <c r="F46" s="29" t="s">
        <v>236</v>
      </c>
      <c r="G46" s="90"/>
      <c r="H46" s="46" t="s">
        <v>110</v>
      </c>
      <c r="I46" s="41"/>
      <c r="J46" s="40"/>
      <c r="K46" s="32"/>
      <c r="L46" s="33"/>
      <c r="M46" s="33"/>
      <c r="N46" s="33"/>
      <c r="O46" s="33"/>
      <c r="P46" s="33"/>
      <c r="Q46" s="33"/>
      <c r="R46" s="33"/>
      <c r="S46" s="33"/>
      <c r="T46" s="33"/>
      <c r="U46" s="33"/>
      <c r="V46" s="33"/>
      <c r="W46" s="33"/>
      <c r="X46" s="33">
        <f t="shared" si="0"/>
        <v>0</v>
      </c>
      <c r="Y46" s="34">
        <f t="shared" si="1"/>
        <v>0</v>
      </c>
      <c r="Z46" s="22" t="str">
        <f t="shared" si="2"/>
        <v>Deficiente</v>
      </c>
    </row>
    <row r="47" spans="1:26" ht="15.75" customHeight="1">
      <c r="A47" s="35">
        <v>21545481</v>
      </c>
      <c r="B47" s="35">
        <v>9</v>
      </c>
      <c r="C47" s="35" t="s">
        <v>237</v>
      </c>
      <c r="D47" s="36" t="s">
        <v>219</v>
      </c>
      <c r="E47" s="36" t="s">
        <v>151</v>
      </c>
      <c r="F47" s="36" t="s">
        <v>238</v>
      </c>
      <c r="G47" s="89" t="s">
        <v>76</v>
      </c>
      <c r="H47" s="42" t="s">
        <v>77</v>
      </c>
      <c r="I47" s="45"/>
      <c r="J47" s="44"/>
      <c r="K47" s="26">
        <v>1</v>
      </c>
      <c r="L47" s="25">
        <v>1</v>
      </c>
      <c r="M47" s="25">
        <v>1</v>
      </c>
      <c r="N47" s="25">
        <v>2</v>
      </c>
      <c r="O47" s="25">
        <v>2</v>
      </c>
      <c r="P47" s="25">
        <v>1</v>
      </c>
      <c r="Q47" s="25">
        <v>1</v>
      </c>
      <c r="R47" s="25">
        <v>2</v>
      </c>
      <c r="S47" s="25">
        <v>2</v>
      </c>
      <c r="T47" s="25">
        <v>2</v>
      </c>
      <c r="U47" s="25">
        <v>1</v>
      </c>
      <c r="V47" s="25">
        <v>2</v>
      </c>
      <c r="W47" s="25">
        <v>1</v>
      </c>
      <c r="X47" s="21">
        <f t="shared" si="0"/>
        <v>19</v>
      </c>
      <c r="Y47" s="27">
        <f t="shared" si="1"/>
        <v>45.238095238095241</v>
      </c>
      <c r="Z47" s="22" t="str">
        <f t="shared" si="2"/>
        <v>Insuficiente</v>
      </c>
    </row>
    <row r="48" spans="1:26" ht="15.75" customHeight="1">
      <c r="A48" s="28">
        <v>21829203</v>
      </c>
      <c r="B48" s="28">
        <v>8</v>
      </c>
      <c r="C48" s="35" t="s">
        <v>239</v>
      </c>
      <c r="D48" s="29" t="s">
        <v>219</v>
      </c>
      <c r="E48" s="29" t="s">
        <v>240</v>
      </c>
      <c r="F48" s="29" t="s">
        <v>241</v>
      </c>
      <c r="G48" s="90"/>
      <c r="H48" s="47" t="s">
        <v>110</v>
      </c>
      <c r="I48" s="48"/>
      <c r="J48" s="49"/>
      <c r="K48" s="32"/>
      <c r="L48" s="33"/>
      <c r="M48" s="33"/>
      <c r="N48" s="33"/>
      <c r="O48" s="33"/>
      <c r="P48" s="33"/>
      <c r="Q48" s="33"/>
      <c r="R48" s="33"/>
      <c r="S48" s="33"/>
      <c r="T48" s="33"/>
      <c r="U48" s="33"/>
      <c r="V48" s="33"/>
      <c r="W48" s="33"/>
      <c r="X48" s="33">
        <f t="shared" si="0"/>
        <v>0</v>
      </c>
      <c r="Y48" s="34">
        <f t="shared" si="1"/>
        <v>0</v>
      </c>
      <c r="Z48" s="22" t="str">
        <f t="shared" si="2"/>
        <v>Deficiente</v>
      </c>
    </row>
    <row r="49" spans="1:26" ht="15.75" customHeight="1">
      <c r="A49" s="35">
        <v>20967823</v>
      </c>
      <c r="B49" s="35">
        <v>3</v>
      </c>
      <c r="C49" s="35" t="s">
        <v>242</v>
      </c>
      <c r="D49" s="36" t="s">
        <v>243</v>
      </c>
      <c r="E49" s="36" t="s">
        <v>89</v>
      </c>
      <c r="F49" s="36" t="s">
        <v>244</v>
      </c>
      <c r="G49" s="89" t="s">
        <v>76</v>
      </c>
      <c r="H49" s="42" t="s">
        <v>77</v>
      </c>
      <c r="I49" s="45"/>
      <c r="J49" s="44"/>
      <c r="K49" s="26">
        <v>3</v>
      </c>
      <c r="L49" s="25">
        <v>3</v>
      </c>
      <c r="M49" s="25">
        <v>3</v>
      </c>
      <c r="N49" s="25">
        <v>2</v>
      </c>
      <c r="O49" s="25">
        <v>3</v>
      </c>
      <c r="P49" s="25">
        <v>2</v>
      </c>
      <c r="Q49" s="25">
        <v>2</v>
      </c>
      <c r="R49" s="25">
        <v>2</v>
      </c>
      <c r="S49" s="25">
        <v>3</v>
      </c>
      <c r="T49" s="25">
        <v>2</v>
      </c>
      <c r="U49" s="25">
        <v>2</v>
      </c>
      <c r="V49" s="25">
        <v>3</v>
      </c>
      <c r="W49" s="25">
        <v>2</v>
      </c>
      <c r="X49" s="21">
        <f t="shared" si="0"/>
        <v>32</v>
      </c>
      <c r="Y49" s="27">
        <f t="shared" si="1"/>
        <v>76.19047619047619</v>
      </c>
      <c r="Z49" s="22" t="str">
        <f t="shared" si="2"/>
        <v>Satisfactorio</v>
      </c>
    </row>
    <row r="50" spans="1:26" ht="15.75" customHeight="1">
      <c r="A50" s="35">
        <v>21617339</v>
      </c>
      <c r="B50" s="35">
        <v>2</v>
      </c>
      <c r="C50" s="35" t="s">
        <v>245</v>
      </c>
      <c r="D50" s="36" t="s">
        <v>246</v>
      </c>
      <c r="E50" s="36" t="s">
        <v>247</v>
      </c>
      <c r="F50" s="36" t="s">
        <v>248</v>
      </c>
      <c r="G50" s="89" t="s">
        <v>76</v>
      </c>
      <c r="H50" s="42" t="s">
        <v>77</v>
      </c>
      <c r="I50" s="45"/>
      <c r="J50" s="44"/>
      <c r="K50" s="26">
        <v>1</v>
      </c>
      <c r="L50" s="25">
        <v>1</v>
      </c>
      <c r="M50" s="25">
        <v>1</v>
      </c>
      <c r="N50" s="25">
        <v>2</v>
      </c>
      <c r="O50" s="25">
        <v>1</v>
      </c>
      <c r="P50" s="25">
        <v>1</v>
      </c>
      <c r="Q50" s="25">
        <v>2</v>
      </c>
      <c r="R50" s="25">
        <v>1</v>
      </c>
      <c r="S50" s="25">
        <v>1</v>
      </c>
      <c r="T50" s="25">
        <v>1</v>
      </c>
      <c r="U50" s="25">
        <v>0</v>
      </c>
      <c r="V50" s="25">
        <v>1</v>
      </c>
      <c r="W50" s="25">
        <v>0</v>
      </c>
      <c r="X50" s="21">
        <f t="shared" si="0"/>
        <v>13</v>
      </c>
      <c r="Y50" s="27">
        <f t="shared" si="1"/>
        <v>30.952380952380953</v>
      </c>
      <c r="Z50" s="22" t="str">
        <f t="shared" si="2"/>
        <v>Deficiente</v>
      </c>
    </row>
    <row r="51" spans="1:26" ht="15.75" customHeight="1">
      <c r="A51" s="35">
        <v>21177294</v>
      </c>
      <c r="B51" s="35">
        <v>8</v>
      </c>
      <c r="C51" s="35" t="s">
        <v>249</v>
      </c>
      <c r="D51" s="36" t="s">
        <v>250</v>
      </c>
      <c r="E51" s="36" t="s">
        <v>251</v>
      </c>
      <c r="F51" s="36" t="s">
        <v>252</v>
      </c>
      <c r="G51" s="89" t="s">
        <v>76</v>
      </c>
      <c r="H51" s="42" t="s">
        <v>77</v>
      </c>
      <c r="I51" s="45"/>
      <c r="J51" s="44"/>
      <c r="K51" s="26">
        <v>0</v>
      </c>
      <c r="L51" s="25">
        <v>1</v>
      </c>
      <c r="M51" s="25">
        <v>0</v>
      </c>
      <c r="N51" s="25">
        <v>0</v>
      </c>
      <c r="O51" s="25">
        <v>1</v>
      </c>
      <c r="P51" s="25">
        <v>1</v>
      </c>
      <c r="Q51" s="25">
        <v>1</v>
      </c>
      <c r="R51" s="25">
        <v>1</v>
      </c>
      <c r="S51" s="25">
        <v>1</v>
      </c>
      <c r="T51" s="25">
        <v>0</v>
      </c>
      <c r="U51" s="25">
        <v>0</v>
      </c>
      <c r="V51" s="25">
        <v>0</v>
      </c>
      <c r="W51" s="25">
        <v>0</v>
      </c>
      <c r="X51" s="21">
        <f t="shared" si="0"/>
        <v>6</v>
      </c>
      <c r="Y51" s="27">
        <f t="shared" si="1"/>
        <v>14.285714285714285</v>
      </c>
      <c r="Z51" s="22" t="str">
        <f t="shared" si="2"/>
        <v>Deficiente</v>
      </c>
    </row>
    <row r="52" spans="1:26" ht="15.75" customHeight="1">
      <c r="A52" s="28">
        <v>21742959</v>
      </c>
      <c r="B52" s="28">
        <v>5</v>
      </c>
      <c r="C52" s="35" t="s">
        <v>253</v>
      </c>
      <c r="D52" s="29" t="s">
        <v>250</v>
      </c>
      <c r="E52" s="29" t="s">
        <v>254</v>
      </c>
      <c r="F52" s="29" t="s">
        <v>255</v>
      </c>
      <c r="G52" s="90"/>
      <c r="H52" s="46" t="s">
        <v>110</v>
      </c>
      <c r="I52" s="41"/>
      <c r="J52" s="40"/>
      <c r="K52" s="32"/>
      <c r="L52" s="33"/>
      <c r="M52" s="33"/>
      <c r="N52" s="33"/>
      <c r="O52" s="33"/>
      <c r="P52" s="33"/>
      <c r="Q52" s="33"/>
      <c r="R52" s="33"/>
      <c r="S52" s="33"/>
      <c r="T52" s="33"/>
      <c r="U52" s="33"/>
      <c r="V52" s="33"/>
      <c r="W52" s="33"/>
      <c r="X52" s="33">
        <f t="shared" si="0"/>
        <v>0</v>
      </c>
      <c r="Y52" s="34">
        <f t="shared" si="1"/>
        <v>0</v>
      </c>
      <c r="Z52" s="22" t="str">
        <f t="shared" si="2"/>
        <v>Deficiente</v>
      </c>
    </row>
    <row r="53" spans="1:26" ht="15.75" customHeight="1">
      <c r="A53" s="28">
        <v>21534804</v>
      </c>
      <c r="B53" s="28">
        <v>0</v>
      </c>
      <c r="C53" s="35" t="s">
        <v>256</v>
      </c>
      <c r="D53" s="29" t="s">
        <v>257</v>
      </c>
      <c r="E53" s="29" t="s">
        <v>258</v>
      </c>
      <c r="F53" s="29" t="s">
        <v>259</v>
      </c>
      <c r="G53" s="90"/>
      <c r="H53" s="46" t="s">
        <v>110</v>
      </c>
      <c r="I53" s="41"/>
      <c r="J53" s="40"/>
      <c r="K53" s="32"/>
      <c r="L53" s="33"/>
      <c r="M53" s="33"/>
      <c r="N53" s="33"/>
      <c r="O53" s="33"/>
      <c r="P53" s="33"/>
      <c r="Q53" s="33"/>
      <c r="R53" s="33"/>
      <c r="S53" s="33"/>
      <c r="T53" s="33"/>
      <c r="U53" s="33"/>
      <c r="V53" s="33"/>
      <c r="W53" s="33"/>
      <c r="X53" s="33">
        <f t="shared" si="0"/>
        <v>0</v>
      </c>
      <c r="Y53" s="34">
        <f t="shared" si="1"/>
        <v>0</v>
      </c>
      <c r="Z53" s="22" t="str">
        <f t="shared" si="2"/>
        <v>Deficiente</v>
      </c>
    </row>
    <row r="54" spans="1:26" ht="15.75" customHeight="1">
      <c r="A54" s="28">
        <v>21235789</v>
      </c>
      <c r="B54" s="28">
        <v>8</v>
      </c>
      <c r="C54" s="35" t="s">
        <v>260</v>
      </c>
      <c r="D54" s="29" t="s">
        <v>261</v>
      </c>
      <c r="E54" s="29" t="s">
        <v>204</v>
      </c>
      <c r="F54" s="29" t="s">
        <v>262</v>
      </c>
      <c r="G54" s="90"/>
      <c r="H54" s="46" t="s">
        <v>110</v>
      </c>
      <c r="I54" s="41"/>
      <c r="J54" s="40"/>
      <c r="K54" s="32"/>
      <c r="L54" s="33"/>
      <c r="M54" s="33"/>
      <c r="N54" s="33"/>
      <c r="O54" s="33"/>
      <c r="P54" s="33"/>
      <c r="Q54" s="33"/>
      <c r="R54" s="33"/>
      <c r="S54" s="33"/>
      <c r="T54" s="33"/>
      <c r="U54" s="33"/>
      <c r="V54" s="33"/>
      <c r="W54" s="33"/>
      <c r="X54" s="33">
        <f t="shared" si="0"/>
        <v>0</v>
      </c>
      <c r="Y54" s="34">
        <f t="shared" si="1"/>
        <v>0</v>
      </c>
      <c r="Z54" s="22" t="str">
        <f t="shared" si="2"/>
        <v>Deficiente</v>
      </c>
    </row>
    <row r="55" spans="1:26" ht="15.75" customHeight="1">
      <c r="A55" s="28">
        <v>21801048</v>
      </c>
      <c r="B55" s="28">
        <v>2</v>
      </c>
      <c r="C55" s="35" t="s">
        <v>263</v>
      </c>
      <c r="D55" s="29" t="s">
        <v>264</v>
      </c>
      <c r="E55" s="29" t="s">
        <v>265</v>
      </c>
      <c r="F55" s="29" t="s">
        <v>266</v>
      </c>
      <c r="G55" s="90"/>
      <c r="H55" s="47" t="s">
        <v>110</v>
      </c>
      <c r="I55" s="48"/>
      <c r="J55" s="49"/>
      <c r="K55" s="32"/>
      <c r="L55" s="33"/>
      <c r="M55" s="33"/>
      <c r="N55" s="33"/>
      <c r="O55" s="33"/>
      <c r="P55" s="33"/>
      <c r="Q55" s="33"/>
      <c r="R55" s="33"/>
      <c r="S55" s="33"/>
      <c r="T55" s="33"/>
      <c r="U55" s="33"/>
      <c r="V55" s="33"/>
      <c r="W55" s="33"/>
      <c r="X55" s="33">
        <f t="shared" si="0"/>
        <v>0</v>
      </c>
      <c r="Y55" s="34">
        <f t="shared" si="1"/>
        <v>0</v>
      </c>
      <c r="Z55" s="22" t="str">
        <f t="shared" si="2"/>
        <v>Deficiente</v>
      </c>
    </row>
    <row r="56" spans="1:26" ht="15.75" customHeight="1">
      <c r="A56" s="28">
        <v>21834608</v>
      </c>
      <c r="B56" s="28">
        <v>1</v>
      </c>
      <c r="C56" s="35" t="s">
        <v>267</v>
      </c>
      <c r="D56" s="29" t="s">
        <v>268</v>
      </c>
      <c r="E56" s="29" t="s">
        <v>269</v>
      </c>
      <c r="F56" s="29" t="s">
        <v>270</v>
      </c>
      <c r="G56" s="90"/>
      <c r="H56" s="47" t="s">
        <v>110</v>
      </c>
      <c r="I56" s="48"/>
      <c r="J56" s="49"/>
      <c r="K56" s="32"/>
      <c r="L56" s="33"/>
      <c r="M56" s="33"/>
      <c r="N56" s="33"/>
      <c r="O56" s="33"/>
      <c r="P56" s="33"/>
      <c r="Q56" s="33"/>
      <c r="R56" s="33"/>
      <c r="S56" s="33"/>
      <c r="T56" s="33"/>
      <c r="U56" s="33"/>
      <c r="V56" s="33"/>
      <c r="W56" s="33"/>
      <c r="X56" s="33">
        <f t="shared" si="0"/>
        <v>0</v>
      </c>
      <c r="Y56" s="34">
        <f t="shared" si="1"/>
        <v>0</v>
      </c>
      <c r="Z56" s="22" t="str">
        <f t="shared" si="2"/>
        <v>Deficiente</v>
      </c>
    </row>
    <row r="57" spans="1:26" ht="15.75" customHeight="1">
      <c r="A57" s="35">
        <v>21325144</v>
      </c>
      <c r="B57" s="35">
        <v>9</v>
      </c>
      <c r="C57" s="35" t="s">
        <v>271</v>
      </c>
      <c r="D57" s="36" t="s">
        <v>272</v>
      </c>
      <c r="E57" s="36" t="s">
        <v>140</v>
      </c>
      <c r="F57" s="36" t="s">
        <v>273</v>
      </c>
      <c r="G57" s="89" t="s">
        <v>76</v>
      </c>
      <c r="H57" s="42" t="s">
        <v>77</v>
      </c>
      <c r="I57" s="45"/>
      <c r="J57" s="44"/>
      <c r="K57" s="26">
        <v>2</v>
      </c>
      <c r="L57" s="25">
        <v>2</v>
      </c>
      <c r="M57" s="25">
        <v>2</v>
      </c>
      <c r="N57" s="25">
        <v>3</v>
      </c>
      <c r="O57" s="25">
        <v>3</v>
      </c>
      <c r="P57" s="25">
        <v>3</v>
      </c>
      <c r="Q57" s="25">
        <v>3</v>
      </c>
      <c r="R57" s="25">
        <v>2</v>
      </c>
      <c r="S57" s="25">
        <v>3</v>
      </c>
      <c r="T57" s="25">
        <v>2</v>
      </c>
      <c r="U57" s="25">
        <v>2</v>
      </c>
      <c r="V57" s="25">
        <v>3</v>
      </c>
      <c r="W57" s="25">
        <v>2</v>
      </c>
      <c r="X57" s="21">
        <f t="shared" si="0"/>
        <v>32</v>
      </c>
      <c r="Y57" s="27">
        <f t="shared" si="1"/>
        <v>76.19047619047619</v>
      </c>
      <c r="Z57" s="22" t="str">
        <f t="shared" si="2"/>
        <v>Satisfactorio</v>
      </c>
    </row>
    <row r="58" spans="1:26" ht="15.75" customHeight="1">
      <c r="A58" s="28">
        <v>21342808</v>
      </c>
      <c r="B58" s="28" t="s">
        <v>135</v>
      </c>
      <c r="C58" s="35" t="s">
        <v>274</v>
      </c>
      <c r="D58" s="29" t="s">
        <v>275</v>
      </c>
      <c r="E58" s="29" t="s">
        <v>276</v>
      </c>
      <c r="F58" s="29" t="s">
        <v>277</v>
      </c>
      <c r="G58" s="90"/>
      <c r="H58" s="46" t="s">
        <v>110</v>
      </c>
      <c r="I58" s="41"/>
      <c r="J58" s="40"/>
      <c r="K58" s="32"/>
      <c r="L58" s="33"/>
      <c r="M58" s="33"/>
      <c r="N58" s="33"/>
      <c r="O58" s="33"/>
      <c r="P58" s="33"/>
      <c r="Q58" s="33"/>
      <c r="R58" s="33"/>
      <c r="S58" s="33"/>
      <c r="T58" s="33"/>
      <c r="U58" s="33"/>
      <c r="V58" s="33"/>
      <c r="W58" s="33"/>
      <c r="X58" s="33">
        <f t="shared" si="0"/>
        <v>0</v>
      </c>
      <c r="Y58" s="34">
        <f t="shared" si="1"/>
        <v>0</v>
      </c>
      <c r="Z58" s="22" t="str">
        <f t="shared" si="2"/>
        <v>Deficiente</v>
      </c>
    </row>
    <row r="59" spans="1:26" ht="15.75" customHeight="1">
      <c r="A59" s="28">
        <v>21704285</v>
      </c>
      <c r="B59" s="28">
        <v>2</v>
      </c>
      <c r="C59" s="35" t="s">
        <v>278</v>
      </c>
      <c r="D59" s="29" t="s">
        <v>279</v>
      </c>
      <c r="E59" s="29" t="s">
        <v>84</v>
      </c>
      <c r="F59" s="29" t="s">
        <v>280</v>
      </c>
      <c r="G59" s="90"/>
      <c r="H59" s="46" t="s">
        <v>110</v>
      </c>
      <c r="I59" s="41"/>
      <c r="J59" s="40"/>
      <c r="K59" s="32"/>
      <c r="L59" s="33"/>
      <c r="M59" s="33"/>
      <c r="N59" s="33"/>
      <c r="O59" s="33"/>
      <c r="P59" s="33"/>
      <c r="Q59" s="33"/>
      <c r="R59" s="33"/>
      <c r="S59" s="33"/>
      <c r="T59" s="33"/>
      <c r="U59" s="33"/>
      <c r="V59" s="33"/>
      <c r="W59" s="33"/>
      <c r="X59" s="33">
        <f t="shared" si="0"/>
        <v>0</v>
      </c>
      <c r="Y59" s="34">
        <f t="shared" si="1"/>
        <v>0</v>
      </c>
      <c r="Z59" s="22" t="str">
        <f t="shared" si="2"/>
        <v>Deficiente</v>
      </c>
    </row>
    <row r="60" spans="1:26" ht="15.75" customHeight="1">
      <c r="A60" s="35">
        <v>7848949</v>
      </c>
      <c r="B60" s="35">
        <v>9</v>
      </c>
      <c r="C60" s="35" t="s">
        <v>281</v>
      </c>
      <c r="D60" s="36" t="s">
        <v>282</v>
      </c>
      <c r="E60" s="36" t="s">
        <v>283</v>
      </c>
      <c r="F60" s="36" t="s">
        <v>284</v>
      </c>
      <c r="G60" s="89" t="s">
        <v>76</v>
      </c>
      <c r="H60" s="50" t="s">
        <v>77</v>
      </c>
      <c r="I60" s="51"/>
      <c r="J60" s="44"/>
      <c r="K60" s="26">
        <v>1</v>
      </c>
      <c r="L60" s="25">
        <v>1</v>
      </c>
      <c r="M60" s="25">
        <v>1</v>
      </c>
      <c r="N60" s="25">
        <v>1</v>
      </c>
      <c r="O60" s="25">
        <v>1</v>
      </c>
      <c r="P60" s="25">
        <v>1</v>
      </c>
      <c r="Q60" s="25">
        <v>0</v>
      </c>
      <c r="R60" s="25">
        <v>2</v>
      </c>
      <c r="S60" s="25">
        <v>1</v>
      </c>
      <c r="T60" s="25">
        <v>1</v>
      </c>
      <c r="U60" s="25">
        <v>2</v>
      </c>
      <c r="V60" s="25">
        <v>1</v>
      </c>
      <c r="W60" s="25">
        <v>1</v>
      </c>
      <c r="X60" s="21">
        <f t="shared" si="0"/>
        <v>14</v>
      </c>
      <c r="Y60" s="27">
        <f t="shared" si="1"/>
        <v>33.333333333333329</v>
      </c>
      <c r="Z60" s="22" t="str">
        <f t="shared" si="2"/>
        <v>Deficiente</v>
      </c>
    </row>
    <row r="61" spans="1:26" ht="15.75" customHeight="1">
      <c r="A61" s="35">
        <v>20580627</v>
      </c>
      <c r="B61" s="35" t="s">
        <v>135</v>
      </c>
      <c r="C61" s="35" t="s">
        <v>285</v>
      </c>
      <c r="D61" s="36" t="s">
        <v>286</v>
      </c>
      <c r="E61" s="36" t="s">
        <v>93</v>
      </c>
      <c r="F61" s="36" t="s">
        <v>287</v>
      </c>
      <c r="G61" s="89" t="s">
        <v>76</v>
      </c>
      <c r="H61" s="42" t="s">
        <v>77</v>
      </c>
      <c r="I61" s="45"/>
      <c r="J61" s="44"/>
      <c r="K61" s="26">
        <v>3</v>
      </c>
      <c r="L61" s="25">
        <v>2</v>
      </c>
      <c r="M61" s="25">
        <v>2</v>
      </c>
      <c r="N61" s="25">
        <v>3</v>
      </c>
      <c r="O61" s="25">
        <v>3</v>
      </c>
      <c r="P61" s="25">
        <v>2</v>
      </c>
      <c r="Q61" s="25">
        <v>3</v>
      </c>
      <c r="R61" s="25">
        <v>3</v>
      </c>
      <c r="S61" s="25">
        <v>3</v>
      </c>
      <c r="T61" s="25">
        <v>3</v>
      </c>
      <c r="U61" s="25">
        <v>2</v>
      </c>
      <c r="V61" s="25">
        <v>2</v>
      </c>
      <c r="W61" s="25">
        <v>2</v>
      </c>
      <c r="X61" s="21">
        <f t="shared" si="0"/>
        <v>33</v>
      </c>
      <c r="Y61" s="27">
        <f t="shared" si="1"/>
        <v>78.571428571428569</v>
      </c>
      <c r="Z61" s="22" t="str">
        <f t="shared" si="2"/>
        <v>Satisfactorio</v>
      </c>
    </row>
    <row r="62" spans="1:26" ht="15.75" customHeight="1">
      <c r="A62" s="35">
        <v>21116887</v>
      </c>
      <c r="B62" s="35">
        <v>0</v>
      </c>
      <c r="C62" s="35" t="s">
        <v>288</v>
      </c>
      <c r="D62" s="36" t="s">
        <v>289</v>
      </c>
      <c r="E62" s="36" t="s">
        <v>290</v>
      </c>
      <c r="F62" s="36" t="s">
        <v>291</v>
      </c>
      <c r="G62" s="89" t="s">
        <v>76</v>
      </c>
      <c r="H62" s="42" t="s">
        <v>77</v>
      </c>
      <c r="I62" s="45"/>
      <c r="J62" s="44"/>
      <c r="K62" s="26">
        <v>3</v>
      </c>
      <c r="L62" s="25">
        <v>3</v>
      </c>
      <c r="M62" s="25">
        <v>3</v>
      </c>
      <c r="N62" s="25">
        <v>0</v>
      </c>
      <c r="O62" s="25">
        <v>2</v>
      </c>
      <c r="P62" s="25">
        <v>1</v>
      </c>
      <c r="Q62" s="25">
        <v>3</v>
      </c>
      <c r="R62" s="25">
        <v>2</v>
      </c>
      <c r="S62" s="25">
        <v>1</v>
      </c>
      <c r="T62" s="25">
        <v>0</v>
      </c>
      <c r="U62" s="25">
        <v>0</v>
      </c>
      <c r="V62" s="25">
        <v>1</v>
      </c>
      <c r="W62" s="25">
        <v>0</v>
      </c>
      <c r="X62" s="21">
        <f t="shared" si="0"/>
        <v>19</v>
      </c>
      <c r="Y62" s="27">
        <f t="shared" si="1"/>
        <v>45.238095238095241</v>
      </c>
      <c r="Z62" s="22" t="str">
        <f t="shared" si="2"/>
        <v>Insuficiente</v>
      </c>
    </row>
    <row r="63" spans="1:26" ht="15.75" customHeight="1">
      <c r="A63" s="28">
        <v>20844566</v>
      </c>
      <c r="B63" s="28">
        <v>9</v>
      </c>
      <c r="C63" s="35" t="s">
        <v>292</v>
      </c>
      <c r="D63" s="29" t="s">
        <v>293</v>
      </c>
      <c r="E63" s="29" t="s">
        <v>294</v>
      </c>
      <c r="F63" s="29" t="s">
        <v>295</v>
      </c>
      <c r="G63" s="90"/>
      <c r="H63" s="46" t="s">
        <v>110</v>
      </c>
      <c r="I63" s="41"/>
      <c r="J63" s="40"/>
      <c r="K63" s="32"/>
      <c r="L63" s="33"/>
      <c r="M63" s="33"/>
      <c r="N63" s="33"/>
      <c r="O63" s="33"/>
      <c r="P63" s="33"/>
      <c r="Q63" s="33"/>
      <c r="R63" s="33"/>
      <c r="S63" s="33"/>
      <c r="T63" s="33"/>
      <c r="U63" s="33"/>
      <c r="V63" s="33"/>
      <c r="W63" s="33"/>
      <c r="X63" s="33">
        <f t="shared" si="0"/>
        <v>0</v>
      </c>
      <c r="Y63" s="34">
        <f t="shared" si="1"/>
        <v>0</v>
      </c>
      <c r="Z63" s="22" t="str">
        <f t="shared" si="2"/>
        <v>Deficiente</v>
      </c>
    </row>
    <row r="64" spans="1:26" ht="15.75" customHeight="1">
      <c r="A64" s="28">
        <v>21070773</v>
      </c>
      <c r="B64" s="28">
        <v>5</v>
      </c>
      <c r="C64" s="35" t="s">
        <v>296</v>
      </c>
      <c r="D64" s="29" t="s">
        <v>293</v>
      </c>
      <c r="E64" s="29" t="s">
        <v>297</v>
      </c>
      <c r="F64" s="29" t="s">
        <v>298</v>
      </c>
      <c r="G64" s="90"/>
      <c r="H64" s="46" t="s">
        <v>110</v>
      </c>
      <c r="I64" s="41"/>
      <c r="J64" s="40"/>
      <c r="K64" s="32"/>
      <c r="L64" s="33"/>
      <c r="M64" s="33"/>
      <c r="N64" s="33"/>
      <c r="O64" s="33"/>
      <c r="P64" s="33"/>
      <c r="Q64" s="33"/>
      <c r="R64" s="33"/>
      <c r="S64" s="33"/>
      <c r="T64" s="33"/>
      <c r="U64" s="33"/>
      <c r="V64" s="33"/>
      <c r="W64" s="33"/>
      <c r="X64" s="33">
        <f t="shared" si="0"/>
        <v>0</v>
      </c>
      <c r="Y64" s="34">
        <f t="shared" si="1"/>
        <v>0</v>
      </c>
      <c r="Z64" s="22" t="str">
        <f t="shared" si="2"/>
        <v>Deficiente</v>
      </c>
    </row>
    <row r="65" spans="1:26" ht="15.75" customHeight="1">
      <c r="A65" s="35">
        <v>20418909</v>
      </c>
      <c r="B65" s="35">
        <v>9</v>
      </c>
      <c r="C65" s="35" t="s">
        <v>299</v>
      </c>
      <c r="D65" s="36" t="s">
        <v>300</v>
      </c>
      <c r="E65" s="36" t="s">
        <v>301</v>
      </c>
      <c r="F65" s="36" t="s">
        <v>302</v>
      </c>
      <c r="G65" s="89" t="s">
        <v>76</v>
      </c>
      <c r="H65" s="42" t="s">
        <v>77</v>
      </c>
      <c r="I65" s="45"/>
      <c r="J65" s="44"/>
      <c r="K65" s="26">
        <v>3</v>
      </c>
      <c r="L65" s="25">
        <v>3</v>
      </c>
      <c r="M65" s="25">
        <v>3</v>
      </c>
      <c r="N65" s="25">
        <v>0</v>
      </c>
      <c r="O65" s="25">
        <v>1</v>
      </c>
      <c r="P65" s="25">
        <v>1</v>
      </c>
      <c r="Q65" s="25">
        <v>1</v>
      </c>
      <c r="R65" s="25">
        <v>2</v>
      </c>
      <c r="S65" s="25">
        <v>1</v>
      </c>
      <c r="T65" s="25">
        <v>1</v>
      </c>
      <c r="U65" s="25">
        <v>2</v>
      </c>
      <c r="V65" s="25">
        <v>1</v>
      </c>
      <c r="W65" s="25">
        <v>1</v>
      </c>
      <c r="X65" s="21">
        <f t="shared" si="0"/>
        <v>20</v>
      </c>
      <c r="Y65" s="27">
        <f t="shared" si="1"/>
        <v>47.619047619047613</v>
      </c>
      <c r="Z65" s="22" t="str">
        <f t="shared" si="2"/>
        <v>Insuficiente</v>
      </c>
    </row>
    <row r="66" spans="1:26" ht="15.75" customHeight="1">
      <c r="A66" s="35">
        <v>21691493</v>
      </c>
      <c r="B66" s="35">
        <v>7</v>
      </c>
      <c r="C66" s="35" t="s">
        <v>303</v>
      </c>
      <c r="D66" s="36" t="s">
        <v>304</v>
      </c>
      <c r="E66" s="36" t="s">
        <v>276</v>
      </c>
      <c r="F66" s="36" t="s">
        <v>305</v>
      </c>
      <c r="G66" s="89" t="s">
        <v>76</v>
      </c>
      <c r="H66" s="42" t="s">
        <v>77</v>
      </c>
      <c r="I66" s="45"/>
      <c r="J66" s="44"/>
      <c r="K66" s="26">
        <v>2</v>
      </c>
      <c r="L66" s="25">
        <v>2</v>
      </c>
      <c r="M66" s="25">
        <v>2</v>
      </c>
      <c r="N66" s="25">
        <v>2</v>
      </c>
      <c r="O66" s="25">
        <v>2</v>
      </c>
      <c r="P66" s="25">
        <v>1</v>
      </c>
      <c r="Q66" s="25">
        <v>3</v>
      </c>
      <c r="R66" s="25">
        <v>2</v>
      </c>
      <c r="S66" s="25">
        <v>1</v>
      </c>
      <c r="T66" s="25">
        <v>0</v>
      </c>
      <c r="U66" s="25">
        <v>1</v>
      </c>
      <c r="V66" s="25">
        <v>1</v>
      </c>
      <c r="W66" s="25">
        <v>1</v>
      </c>
      <c r="X66" s="21">
        <f t="shared" si="0"/>
        <v>20</v>
      </c>
      <c r="Y66" s="27">
        <f t="shared" si="1"/>
        <v>47.619047619047613</v>
      </c>
      <c r="Z66" s="22" t="str">
        <f t="shared" si="2"/>
        <v>Insuficiente</v>
      </c>
    </row>
    <row r="67" spans="1:26" ht="15.75" customHeight="1">
      <c r="A67" s="35">
        <v>21244236</v>
      </c>
      <c r="B67" s="35">
        <v>4</v>
      </c>
      <c r="C67" s="35" t="s">
        <v>306</v>
      </c>
      <c r="D67" s="36" t="s">
        <v>307</v>
      </c>
      <c r="E67" s="36" t="s">
        <v>308</v>
      </c>
      <c r="F67" s="36" t="s">
        <v>309</v>
      </c>
      <c r="G67" s="89" t="s">
        <v>76</v>
      </c>
      <c r="H67" s="42" t="s">
        <v>77</v>
      </c>
      <c r="I67" s="45"/>
      <c r="J67" s="44"/>
      <c r="K67" s="26">
        <v>1</v>
      </c>
      <c r="L67" s="25">
        <v>1</v>
      </c>
      <c r="M67" s="25">
        <v>1</v>
      </c>
      <c r="N67" s="25">
        <v>1</v>
      </c>
      <c r="O67" s="25">
        <v>2</v>
      </c>
      <c r="P67" s="25">
        <v>1</v>
      </c>
      <c r="Q67" s="25">
        <v>2</v>
      </c>
      <c r="R67" s="25">
        <v>2</v>
      </c>
      <c r="S67" s="25">
        <v>2</v>
      </c>
      <c r="T67" s="25">
        <v>2</v>
      </c>
      <c r="U67" s="25">
        <v>1</v>
      </c>
      <c r="V67" s="25">
        <v>1</v>
      </c>
      <c r="W67" s="25">
        <v>1</v>
      </c>
      <c r="X67" s="21">
        <f t="shared" si="0"/>
        <v>18</v>
      </c>
      <c r="Y67" s="27">
        <f t="shared" si="1"/>
        <v>42.857142857142854</v>
      </c>
      <c r="Z67" s="22" t="str">
        <f t="shared" si="2"/>
        <v>Insuficiente</v>
      </c>
    </row>
    <row r="68" spans="1:26" ht="15.75" customHeight="1">
      <c r="A68" s="28">
        <v>21577495</v>
      </c>
      <c r="B68" s="28">
        <v>3</v>
      </c>
      <c r="C68" s="35" t="s">
        <v>310</v>
      </c>
      <c r="D68" s="29" t="s">
        <v>311</v>
      </c>
      <c r="E68" s="29" t="s">
        <v>312</v>
      </c>
      <c r="F68" s="29" t="s">
        <v>313</v>
      </c>
      <c r="G68" s="90"/>
      <c r="H68" s="46" t="s">
        <v>110</v>
      </c>
      <c r="I68" s="41"/>
      <c r="J68" s="40"/>
      <c r="K68" s="32"/>
      <c r="L68" s="33"/>
      <c r="M68" s="33"/>
      <c r="N68" s="33"/>
      <c r="O68" s="33"/>
      <c r="P68" s="33"/>
      <c r="Q68" s="33"/>
      <c r="R68" s="33"/>
      <c r="S68" s="33"/>
      <c r="T68" s="33"/>
      <c r="U68" s="33"/>
      <c r="V68" s="33"/>
      <c r="W68" s="33"/>
      <c r="X68" s="33">
        <f t="shared" si="0"/>
        <v>0</v>
      </c>
      <c r="Y68" s="34">
        <f t="shared" si="1"/>
        <v>0</v>
      </c>
      <c r="Z68" s="22" t="str">
        <f t="shared" si="2"/>
        <v>Deficiente</v>
      </c>
    </row>
    <row r="69" spans="1:26" ht="15.75" customHeight="1">
      <c r="A69" s="35">
        <v>21855062</v>
      </c>
      <c r="B69" s="35">
        <v>2</v>
      </c>
      <c r="C69" s="35" t="s">
        <v>314</v>
      </c>
      <c r="D69" s="36" t="s">
        <v>215</v>
      </c>
      <c r="E69" s="36" t="s">
        <v>315</v>
      </c>
      <c r="F69" s="36" t="s">
        <v>316</v>
      </c>
      <c r="G69" s="89" t="s">
        <v>76</v>
      </c>
      <c r="H69" s="50" t="s">
        <v>77</v>
      </c>
      <c r="I69" s="51"/>
      <c r="J69" s="52"/>
      <c r="K69" s="26">
        <v>1</v>
      </c>
      <c r="L69" s="25">
        <v>2</v>
      </c>
      <c r="M69" s="25">
        <v>1</v>
      </c>
      <c r="N69" s="25">
        <v>1</v>
      </c>
      <c r="O69" s="25">
        <v>2</v>
      </c>
      <c r="P69" s="25">
        <v>1</v>
      </c>
      <c r="Q69" s="25">
        <v>2</v>
      </c>
      <c r="R69" s="25">
        <v>2</v>
      </c>
      <c r="S69" s="25">
        <v>2</v>
      </c>
      <c r="T69" s="25">
        <v>2</v>
      </c>
      <c r="U69" s="25">
        <v>1</v>
      </c>
      <c r="V69" s="25">
        <v>2</v>
      </c>
      <c r="W69" s="25">
        <v>1</v>
      </c>
      <c r="X69" s="21">
        <f t="shared" si="0"/>
        <v>20</v>
      </c>
      <c r="Y69" s="27">
        <f t="shared" si="1"/>
        <v>47.619047619047613</v>
      </c>
      <c r="Z69" s="22" t="str">
        <f t="shared" si="2"/>
        <v>Insuficiente</v>
      </c>
    </row>
    <row r="70" spans="1:26" ht="15.75" customHeight="1">
      <c r="A70" s="35">
        <v>21218991</v>
      </c>
      <c r="B70" s="35" t="s">
        <v>135</v>
      </c>
      <c r="C70" s="35" t="s">
        <v>317</v>
      </c>
      <c r="D70" s="36" t="s">
        <v>318</v>
      </c>
      <c r="E70" s="36" t="s">
        <v>319</v>
      </c>
      <c r="F70" s="36" t="s">
        <v>320</v>
      </c>
      <c r="G70" s="89" t="s">
        <v>76</v>
      </c>
      <c r="H70" s="42" t="s">
        <v>77</v>
      </c>
      <c r="I70" s="45"/>
      <c r="J70" s="44"/>
      <c r="K70" s="26">
        <v>2</v>
      </c>
      <c r="L70" s="25">
        <v>2</v>
      </c>
      <c r="M70" s="25">
        <v>2</v>
      </c>
      <c r="N70" s="25">
        <v>1</v>
      </c>
      <c r="O70" s="25">
        <v>1</v>
      </c>
      <c r="P70" s="25">
        <v>1</v>
      </c>
      <c r="Q70" s="25">
        <v>2</v>
      </c>
      <c r="R70" s="25">
        <v>1</v>
      </c>
      <c r="S70" s="25">
        <v>1</v>
      </c>
      <c r="T70" s="25">
        <v>1</v>
      </c>
      <c r="U70" s="25">
        <v>1</v>
      </c>
      <c r="V70" s="25">
        <v>1</v>
      </c>
      <c r="W70" s="25">
        <v>1</v>
      </c>
      <c r="X70" s="21">
        <f t="shared" si="0"/>
        <v>17</v>
      </c>
      <c r="Y70" s="27">
        <f t="shared" si="1"/>
        <v>40.476190476190474</v>
      </c>
      <c r="Z70" s="22" t="str">
        <f t="shared" si="2"/>
        <v>Insuficiente</v>
      </c>
    </row>
    <row r="71" spans="1:26" ht="15.75" customHeight="1">
      <c r="A71" s="35">
        <v>20738313</v>
      </c>
      <c r="B71" s="35">
        <v>9</v>
      </c>
      <c r="C71" s="35" t="s">
        <v>321</v>
      </c>
      <c r="D71" s="36" t="s">
        <v>322</v>
      </c>
      <c r="E71" s="36" t="s">
        <v>323</v>
      </c>
      <c r="F71" s="36" t="s">
        <v>324</v>
      </c>
      <c r="G71" s="89" t="s">
        <v>76</v>
      </c>
      <c r="H71" s="42" t="s">
        <v>77</v>
      </c>
      <c r="I71" s="45"/>
      <c r="J71" s="44"/>
      <c r="K71" s="26">
        <v>3</v>
      </c>
      <c r="L71" s="25">
        <v>2</v>
      </c>
      <c r="M71" s="25">
        <v>2</v>
      </c>
      <c r="N71" s="25">
        <v>2</v>
      </c>
      <c r="O71" s="25">
        <v>2</v>
      </c>
      <c r="P71" s="25">
        <v>2</v>
      </c>
      <c r="Q71" s="25">
        <v>1</v>
      </c>
      <c r="R71" s="25">
        <v>1</v>
      </c>
      <c r="S71" s="25">
        <v>2</v>
      </c>
      <c r="T71" s="21"/>
      <c r="U71" s="25">
        <v>1</v>
      </c>
      <c r="V71" s="25">
        <v>1</v>
      </c>
      <c r="W71" s="25">
        <v>1</v>
      </c>
      <c r="X71" s="21">
        <f t="shared" si="0"/>
        <v>20</v>
      </c>
      <c r="Y71" s="27">
        <f t="shared" si="1"/>
        <v>47.619047619047613</v>
      </c>
      <c r="Z71" s="22" t="str">
        <f t="shared" si="2"/>
        <v>Insuficiente</v>
      </c>
    </row>
    <row r="72" spans="1:26" ht="15.75" customHeight="1">
      <c r="A72" s="35">
        <v>20239463</v>
      </c>
      <c r="B72" s="35">
        <v>9</v>
      </c>
      <c r="C72" s="35" t="s">
        <v>325</v>
      </c>
      <c r="D72" s="36" t="s">
        <v>204</v>
      </c>
      <c r="E72" s="36" t="s">
        <v>326</v>
      </c>
      <c r="F72" s="36" t="s">
        <v>327</v>
      </c>
      <c r="G72" s="93" t="s">
        <v>76</v>
      </c>
      <c r="H72" s="37" t="s">
        <v>77</v>
      </c>
      <c r="I72" s="38"/>
      <c r="J72" s="39"/>
      <c r="K72" s="26">
        <v>3</v>
      </c>
      <c r="L72" s="25">
        <v>3</v>
      </c>
      <c r="M72" s="25">
        <v>3</v>
      </c>
      <c r="N72" s="25">
        <v>1</v>
      </c>
      <c r="O72" s="25">
        <v>2</v>
      </c>
      <c r="P72" s="25">
        <v>2</v>
      </c>
      <c r="Q72" s="25">
        <v>2</v>
      </c>
      <c r="R72" s="25">
        <v>2</v>
      </c>
      <c r="S72" s="25">
        <v>2</v>
      </c>
      <c r="T72" s="25">
        <v>1</v>
      </c>
      <c r="U72" s="25">
        <v>1</v>
      </c>
      <c r="V72" s="25">
        <v>2</v>
      </c>
      <c r="W72" s="25">
        <v>1</v>
      </c>
      <c r="X72" s="21">
        <f t="shared" si="0"/>
        <v>25</v>
      </c>
      <c r="Y72" s="27">
        <f t="shared" si="1"/>
        <v>59.523809523809526</v>
      </c>
      <c r="Z72" s="22" t="str">
        <f t="shared" si="2"/>
        <v>Insuficiente</v>
      </c>
    </row>
    <row r="73" spans="1:26" ht="15.75" customHeight="1">
      <c r="A73" s="35">
        <v>20909758</v>
      </c>
      <c r="B73" s="35">
        <v>3</v>
      </c>
      <c r="C73" s="35" t="s">
        <v>328</v>
      </c>
      <c r="D73" s="36" t="s">
        <v>204</v>
      </c>
      <c r="E73" s="36" t="s">
        <v>74</v>
      </c>
      <c r="F73" s="36" t="s">
        <v>329</v>
      </c>
      <c r="G73" s="93" t="s">
        <v>76</v>
      </c>
      <c r="H73" s="37" t="s">
        <v>77</v>
      </c>
      <c r="I73" s="38"/>
      <c r="J73" s="39"/>
      <c r="K73" s="26">
        <v>3</v>
      </c>
      <c r="L73" s="25">
        <v>2</v>
      </c>
      <c r="M73" s="25">
        <v>2</v>
      </c>
      <c r="N73" s="25">
        <v>3</v>
      </c>
      <c r="O73" s="25">
        <v>3</v>
      </c>
      <c r="P73" s="25">
        <v>2</v>
      </c>
      <c r="Q73" s="25">
        <v>2</v>
      </c>
      <c r="R73" s="25">
        <v>1</v>
      </c>
      <c r="S73" s="25">
        <v>1</v>
      </c>
      <c r="T73" s="25">
        <v>0</v>
      </c>
      <c r="U73" s="25">
        <v>0</v>
      </c>
      <c r="V73" s="25">
        <v>1</v>
      </c>
      <c r="W73" s="25">
        <v>0</v>
      </c>
      <c r="X73" s="21">
        <f t="shared" si="0"/>
        <v>20</v>
      </c>
      <c r="Y73" s="27">
        <f t="shared" si="1"/>
        <v>47.619047619047613</v>
      </c>
      <c r="Z73" s="22" t="str">
        <f t="shared" si="2"/>
        <v>Insuficiente</v>
      </c>
    </row>
    <row r="74" spans="1:26" ht="15.75" customHeight="1">
      <c r="A74" s="35">
        <v>21452690</v>
      </c>
      <c r="B74" s="35">
        <v>5</v>
      </c>
      <c r="C74" s="35" t="s">
        <v>330</v>
      </c>
      <c r="D74" s="36" t="s">
        <v>204</v>
      </c>
      <c r="E74" s="36" t="s">
        <v>331</v>
      </c>
      <c r="F74" s="36" t="s">
        <v>332</v>
      </c>
      <c r="G74" s="93" t="s">
        <v>76</v>
      </c>
      <c r="H74" s="37" t="s">
        <v>77</v>
      </c>
      <c r="I74" s="38"/>
      <c r="J74" s="39"/>
      <c r="K74" s="26">
        <v>2</v>
      </c>
      <c r="L74" s="25">
        <v>3</v>
      </c>
      <c r="M74" s="25">
        <v>2</v>
      </c>
      <c r="N74" s="25">
        <v>3</v>
      </c>
      <c r="O74" s="25">
        <v>3</v>
      </c>
      <c r="P74" s="25">
        <v>2</v>
      </c>
      <c r="Q74" s="25">
        <v>3</v>
      </c>
      <c r="R74" s="25">
        <v>2</v>
      </c>
      <c r="S74" s="25">
        <v>2</v>
      </c>
      <c r="T74" s="25">
        <v>2</v>
      </c>
      <c r="U74" s="25">
        <v>1</v>
      </c>
      <c r="V74" s="25">
        <v>2</v>
      </c>
      <c r="W74" s="25">
        <v>2</v>
      </c>
      <c r="X74" s="21">
        <f t="shared" si="0"/>
        <v>29</v>
      </c>
      <c r="Y74" s="27">
        <f t="shared" si="1"/>
        <v>69.047619047619051</v>
      </c>
      <c r="Z74" s="22" t="str">
        <f t="shared" si="2"/>
        <v>Satisfactorio</v>
      </c>
    </row>
    <row r="75" spans="1:26" ht="15.75" customHeight="1">
      <c r="A75" s="35">
        <v>21635578</v>
      </c>
      <c r="B75" s="35">
        <v>4</v>
      </c>
      <c r="C75" s="35" t="s">
        <v>333</v>
      </c>
      <c r="D75" s="36" t="s">
        <v>204</v>
      </c>
      <c r="E75" s="36" t="s">
        <v>132</v>
      </c>
      <c r="F75" s="36" t="s">
        <v>334</v>
      </c>
      <c r="G75" s="93" t="s">
        <v>76</v>
      </c>
      <c r="H75" s="37" t="s">
        <v>77</v>
      </c>
      <c r="I75" s="38"/>
      <c r="J75" s="39"/>
      <c r="K75" s="26">
        <v>2</v>
      </c>
      <c r="L75" s="25">
        <v>2</v>
      </c>
      <c r="M75" s="25">
        <v>1</v>
      </c>
      <c r="N75" s="25">
        <v>2</v>
      </c>
      <c r="O75" s="25">
        <v>2</v>
      </c>
      <c r="P75" s="25">
        <v>1</v>
      </c>
      <c r="Q75" s="25">
        <v>2</v>
      </c>
      <c r="R75" s="25">
        <v>1</v>
      </c>
      <c r="S75" s="25">
        <v>2</v>
      </c>
      <c r="T75" s="25">
        <v>1</v>
      </c>
      <c r="U75" s="25">
        <v>1</v>
      </c>
      <c r="V75" s="25">
        <v>1</v>
      </c>
      <c r="W75" s="25">
        <v>1</v>
      </c>
      <c r="X75" s="21">
        <f t="shared" si="0"/>
        <v>19</v>
      </c>
      <c r="Y75" s="27">
        <f t="shared" si="1"/>
        <v>45.238095238095241</v>
      </c>
      <c r="Z75" s="22" t="str">
        <f t="shared" si="2"/>
        <v>Insuficiente</v>
      </c>
    </row>
    <row r="76" spans="1:26" ht="15.75" customHeight="1">
      <c r="A76" s="28">
        <v>21807863</v>
      </c>
      <c r="B76" s="28" t="s">
        <v>135</v>
      </c>
      <c r="C76" s="35" t="s">
        <v>335</v>
      </c>
      <c r="D76" s="29" t="s">
        <v>276</v>
      </c>
      <c r="E76" s="29" t="s">
        <v>336</v>
      </c>
      <c r="F76" s="29" t="s">
        <v>337</v>
      </c>
      <c r="G76" s="90"/>
      <c r="H76" s="47" t="s">
        <v>110</v>
      </c>
      <c r="I76" s="48"/>
      <c r="J76" s="49"/>
      <c r="K76" s="32"/>
      <c r="L76" s="33"/>
      <c r="M76" s="33"/>
      <c r="N76" s="33"/>
      <c r="O76" s="33"/>
      <c r="P76" s="33"/>
      <c r="Q76" s="33"/>
      <c r="R76" s="33"/>
      <c r="S76" s="33"/>
      <c r="T76" s="33"/>
      <c r="U76" s="33"/>
      <c r="V76" s="33"/>
      <c r="W76" s="33"/>
      <c r="X76" s="33">
        <f t="shared" si="0"/>
        <v>0</v>
      </c>
      <c r="Y76" s="34">
        <f t="shared" si="1"/>
        <v>0</v>
      </c>
      <c r="Z76" s="22" t="str">
        <f t="shared" si="2"/>
        <v>Deficiente</v>
      </c>
    </row>
    <row r="77" spans="1:26" ht="15.75" customHeight="1">
      <c r="A77" s="35">
        <v>21784756</v>
      </c>
      <c r="B77" s="35">
        <v>7</v>
      </c>
      <c r="C77" s="35" t="s">
        <v>338</v>
      </c>
      <c r="D77" s="36" t="s">
        <v>339</v>
      </c>
      <c r="E77" s="36" t="s">
        <v>340</v>
      </c>
      <c r="F77" s="36" t="s">
        <v>341</v>
      </c>
      <c r="G77" s="89" t="s">
        <v>76</v>
      </c>
      <c r="H77" s="50" t="s">
        <v>77</v>
      </c>
      <c r="I77" s="51"/>
      <c r="J77" s="52"/>
      <c r="K77" s="26">
        <v>2</v>
      </c>
      <c r="L77" s="25">
        <v>1</v>
      </c>
      <c r="M77" s="25">
        <v>1</v>
      </c>
      <c r="N77" s="25">
        <v>2</v>
      </c>
      <c r="O77" s="25">
        <v>2</v>
      </c>
      <c r="P77" s="25">
        <v>1</v>
      </c>
      <c r="Q77" s="25">
        <v>2</v>
      </c>
      <c r="R77" s="25">
        <v>1</v>
      </c>
      <c r="S77" s="25">
        <v>1</v>
      </c>
      <c r="T77" s="25">
        <v>0</v>
      </c>
      <c r="U77" s="25">
        <v>0</v>
      </c>
      <c r="V77" s="25">
        <v>1</v>
      </c>
      <c r="W77" s="25">
        <v>0</v>
      </c>
      <c r="X77" s="21">
        <f t="shared" si="0"/>
        <v>14</v>
      </c>
      <c r="Y77" s="27">
        <f t="shared" si="1"/>
        <v>33.333333333333329</v>
      </c>
      <c r="Z77" s="22" t="str">
        <f t="shared" si="2"/>
        <v>Deficiente</v>
      </c>
    </row>
    <row r="78" spans="1:26" ht="15.75" customHeight="1">
      <c r="A78" s="28">
        <v>20922970</v>
      </c>
      <c r="B78" s="28">
        <v>6</v>
      </c>
      <c r="C78" s="35" t="s">
        <v>342</v>
      </c>
      <c r="D78" s="29" t="s">
        <v>343</v>
      </c>
      <c r="E78" s="29" t="s">
        <v>344</v>
      </c>
      <c r="F78" s="29" t="s">
        <v>345</v>
      </c>
      <c r="G78" s="92"/>
      <c r="H78" s="53" t="s">
        <v>110</v>
      </c>
      <c r="I78" s="31"/>
      <c r="J78" s="30"/>
      <c r="K78" s="32"/>
      <c r="L78" s="33"/>
      <c r="M78" s="33"/>
      <c r="N78" s="33"/>
      <c r="O78" s="33"/>
      <c r="P78" s="33"/>
      <c r="Q78" s="33"/>
      <c r="R78" s="33"/>
      <c r="S78" s="33"/>
      <c r="T78" s="33"/>
      <c r="U78" s="33"/>
      <c r="V78" s="33"/>
      <c r="W78" s="33"/>
      <c r="X78" s="33">
        <f t="shared" si="0"/>
        <v>0</v>
      </c>
      <c r="Y78" s="34">
        <f t="shared" si="1"/>
        <v>0</v>
      </c>
      <c r="Z78" s="22" t="str">
        <f t="shared" si="2"/>
        <v>Deficiente</v>
      </c>
    </row>
    <row r="79" spans="1:26" ht="15.75" customHeight="1">
      <c r="A79" s="35">
        <v>19278268</v>
      </c>
      <c r="B79" s="35">
        <v>6</v>
      </c>
      <c r="C79" s="35" t="s">
        <v>346</v>
      </c>
      <c r="D79" s="36" t="s">
        <v>347</v>
      </c>
      <c r="E79" s="36" t="s">
        <v>348</v>
      </c>
      <c r="F79" s="36" t="s">
        <v>349</v>
      </c>
      <c r="G79" s="93" t="s">
        <v>76</v>
      </c>
      <c r="H79" s="37" t="s">
        <v>77</v>
      </c>
      <c r="I79" s="38"/>
      <c r="J79" s="39"/>
      <c r="K79" s="26">
        <v>3</v>
      </c>
      <c r="L79" s="25">
        <v>2</v>
      </c>
      <c r="M79" s="25">
        <v>2</v>
      </c>
      <c r="N79" s="25">
        <v>2</v>
      </c>
      <c r="O79" s="25">
        <v>3</v>
      </c>
      <c r="P79" s="25">
        <v>2</v>
      </c>
      <c r="Q79" s="25">
        <v>3</v>
      </c>
      <c r="R79" s="25">
        <v>2</v>
      </c>
      <c r="S79" s="25">
        <v>2</v>
      </c>
      <c r="T79" s="25">
        <v>1</v>
      </c>
      <c r="U79" s="25">
        <v>1</v>
      </c>
      <c r="V79" s="25">
        <v>1</v>
      </c>
      <c r="W79" s="25">
        <v>1</v>
      </c>
      <c r="X79" s="21">
        <f t="shared" si="0"/>
        <v>25</v>
      </c>
      <c r="Y79" s="27">
        <f t="shared" si="1"/>
        <v>59.523809523809526</v>
      </c>
      <c r="Z79" s="22" t="str">
        <f t="shared" si="2"/>
        <v>Insuficiente</v>
      </c>
    </row>
    <row r="80" spans="1:26" ht="15.75" customHeight="1">
      <c r="A80" s="28">
        <v>20708280</v>
      </c>
      <c r="B80" s="28">
        <v>5</v>
      </c>
      <c r="C80" s="35" t="s">
        <v>350</v>
      </c>
      <c r="D80" s="29" t="s">
        <v>351</v>
      </c>
      <c r="E80" s="29" t="s">
        <v>352</v>
      </c>
      <c r="F80" s="29" t="s">
        <v>353</v>
      </c>
      <c r="G80" s="92" t="s">
        <v>91</v>
      </c>
      <c r="H80" s="30" t="s">
        <v>78</v>
      </c>
      <c r="I80" s="31"/>
      <c r="J80" s="30" t="s">
        <v>78</v>
      </c>
      <c r="K80" s="32"/>
      <c r="L80" s="33"/>
      <c r="M80" s="33"/>
      <c r="N80" s="33"/>
      <c r="O80" s="33"/>
      <c r="P80" s="33"/>
      <c r="Q80" s="33"/>
      <c r="R80" s="33"/>
      <c r="S80" s="33"/>
      <c r="T80" s="33"/>
      <c r="U80" s="33"/>
      <c r="V80" s="33"/>
      <c r="W80" s="33"/>
      <c r="X80" s="33">
        <f t="shared" si="0"/>
        <v>0</v>
      </c>
      <c r="Y80" s="34">
        <f t="shared" si="1"/>
        <v>0</v>
      </c>
      <c r="Z80" s="22" t="str">
        <f t="shared" si="2"/>
        <v>Deficiente</v>
      </c>
    </row>
    <row r="81" spans="1:26" ht="15.75" customHeight="1">
      <c r="A81" s="28">
        <v>21644734</v>
      </c>
      <c r="B81" s="28">
        <v>4</v>
      </c>
      <c r="C81" s="35" t="s">
        <v>354</v>
      </c>
      <c r="D81" s="29" t="s">
        <v>355</v>
      </c>
      <c r="E81" s="29" t="s">
        <v>356</v>
      </c>
      <c r="F81" s="29" t="s">
        <v>357</v>
      </c>
      <c r="G81" s="92"/>
      <c r="H81" s="53" t="s">
        <v>110</v>
      </c>
      <c r="I81" s="31"/>
      <c r="J81" s="30"/>
      <c r="K81" s="32"/>
      <c r="L81" s="33"/>
      <c r="M81" s="33"/>
      <c r="N81" s="33"/>
      <c r="O81" s="33"/>
      <c r="P81" s="33"/>
      <c r="Q81" s="33"/>
      <c r="R81" s="33"/>
      <c r="S81" s="33"/>
      <c r="T81" s="33"/>
      <c r="U81" s="33"/>
      <c r="V81" s="33"/>
      <c r="W81" s="33"/>
      <c r="X81" s="33">
        <f t="shared" si="0"/>
        <v>0</v>
      </c>
      <c r="Y81" s="34">
        <f t="shared" si="1"/>
        <v>0</v>
      </c>
      <c r="Z81" s="22" t="str">
        <f t="shared" si="2"/>
        <v>Deficiente</v>
      </c>
    </row>
    <row r="82" spans="1:26" ht="15.75" customHeight="1">
      <c r="A82" s="35">
        <v>21276773</v>
      </c>
      <c r="B82" s="35">
        <v>5</v>
      </c>
      <c r="C82" s="35" t="s">
        <v>358</v>
      </c>
      <c r="D82" s="36" t="s">
        <v>359</v>
      </c>
      <c r="E82" s="36" t="s">
        <v>360</v>
      </c>
      <c r="F82" s="36" t="s">
        <v>361</v>
      </c>
      <c r="G82" s="93" t="s">
        <v>76</v>
      </c>
      <c r="H82" s="37" t="s">
        <v>77</v>
      </c>
      <c r="I82" s="38"/>
      <c r="J82" s="39"/>
      <c r="K82" s="26">
        <v>1</v>
      </c>
      <c r="L82" s="25">
        <v>2</v>
      </c>
      <c r="M82" s="25">
        <v>1</v>
      </c>
      <c r="N82" s="25">
        <v>1</v>
      </c>
      <c r="O82" s="25">
        <v>1</v>
      </c>
      <c r="P82" s="25">
        <v>1</v>
      </c>
      <c r="Q82" s="25">
        <v>2</v>
      </c>
      <c r="R82" s="25">
        <v>2</v>
      </c>
      <c r="S82" s="25">
        <v>1</v>
      </c>
      <c r="T82" s="25">
        <v>2</v>
      </c>
      <c r="U82" s="25">
        <v>1</v>
      </c>
      <c r="V82" s="25">
        <v>1</v>
      </c>
      <c r="W82" s="25">
        <v>1</v>
      </c>
      <c r="X82" s="21">
        <f t="shared" si="0"/>
        <v>17</v>
      </c>
      <c r="Y82" s="27">
        <f t="shared" si="1"/>
        <v>40.476190476190474</v>
      </c>
      <c r="Z82" s="22" t="str">
        <f t="shared" si="2"/>
        <v>Insuficiente</v>
      </c>
    </row>
    <row r="83" spans="1:26" ht="15.75" customHeight="1">
      <c r="A83" s="28">
        <v>21698733</v>
      </c>
      <c r="B83" s="28">
        <v>0</v>
      </c>
      <c r="C83" s="35" t="s">
        <v>362</v>
      </c>
      <c r="D83" s="29" t="s">
        <v>363</v>
      </c>
      <c r="E83" s="29" t="s">
        <v>158</v>
      </c>
      <c r="F83" s="29" t="s">
        <v>364</v>
      </c>
      <c r="G83" s="92"/>
      <c r="H83" s="53" t="s">
        <v>110</v>
      </c>
      <c r="I83" s="31"/>
      <c r="J83" s="30"/>
      <c r="K83" s="32"/>
      <c r="L83" s="33"/>
      <c r="M83" s="33"/>
      <c r="N83" s="33"/>
      <c r="O83" s="33"/>
      <c r="P83" s="33"/>
      <c r="Q83" s="33"/>
      <c r="R83" s="33"/>
      <c r="S83" s="33"/>
      <c r="T83" s="33"/>
      <c r="U83" s="33"/>
      <c r="V83" s="33"/>
      <c r="W83" s="33"/>
      <c r="X83" s="33">
        <f t="shared" si="0"/>
        <v>0</v>
      </c>
      <c r="Y83" s="34">
        <f t="shared" si="1"/>
        <v>0</v>
      </c>
      <c r="Z83" s="22" t="str">
        <f t="shared" si="2"/>
        <v>Deficiente</v>
      </c>
    </row>
    <row r="84" spans="1:26" ht="15.75" customHeight="1">
      <c r="A84" s="28">
        <v>21386834</v>
      </c>
      <c r="B84" s="28">
        <v>9</v>
      </c>
      <c r="C84" s="35" t="s">
        <v>365</v>
      </c>
      <c r="D84" s="29" t="s">
        <v>366</v>
      </c>
      <c r="E84" s="29" t="s">
        <v>367</v>
      </c>
      <c r="F84" s="29" t="s">
        <v>368</v>
      </c>
      <c r="G84" s="92"/>
      <c r="H84" s="53" t="s">
        <v>110</v>
      </c>
      <c r="I84" s="31"/>
      <c r="J84" s="30"/>
      <c r="K84" s="32"/>
      <c r="L84" s="33"/>
      <c r="M84" s="33"/>
      <c r="N84" s="33"/>
      <c r="O84" s="33"/>
      <c r="P84" s="33"/>
      <c r="Q84" s="33"/>
      <c r="R84" s="33"/>
      <c r="S84" s="33"/>
      <c r="T84" s="33"/>
      <c r="U84" s="33"/>
      <c r="V84" s="33"/>
      <c r="W84" s="33"/>
      <c r="X84" s="33">
        <f t="shared" si="0"/>
        <v>0</v>
      </c>
      <c r="Y84" s="34">
        <f t="shared" si="1"/>
        <v>0</v>
      </c>
      <c r="Z84" s="22" t="str">
        <f t="shared" si="2"/>
        <v>Deficiente</v>
      </c>
    </row>
    <row r="85" spans="1:26" ht="15.75" customHeight="1">
      <c r="A85" s="35">
        <v>21604371</v>
      </c>
      <c r="B85" s="35">
        <v>5</v>
      </c>
      <c r="C85" s="35" t="s">
        <v>369</v>
      </c>
      <c r="D85" s="36" t="s">
        <v>370</v>
      </c>
      <c r="E85" s="36" t="s">
        <v>339</v>
      </c>
      <c r="F85" s="36" t="s">
        <v>371</v>
      </c>
      <c r="G85" s="93" t="s">
        <v>76</v>
      </c>
      <c r="H85" s="37" t="s">
        <v>77</v>
      </c>
      <c r="I85" s="38"/>
      <c r="J85" s="39"/>
      <c r="K85" s="26">
        <v>2</v>
      </c>
      <c r="L85" s="25">
        <v>3</v>
      </c>
      <c r="M85" s="25">
        <v>2</v>
      </c>
      <c r="N85" s="25">
        <v>1</v>
      </c>
      <c r="O85" s="25">
        <v>2</v>
      </c>
      <c r="P85" s="25">
        <v>1</v>
      </c>
      <c r="Q85" s="25">
        <v>2</v>
      </c>
      <c r="R85" s="25">
        <v>1</v>
      </c>
      <c r="S85" s="25">
        <v>2</v>
      </c>
      <c r="T85" s="25">
        <v>1</v>
      </c>
      <c r="U85" s="25">
        <v>1</v>
      </c>
      <c r="V85" s="25">
        <v>1</v>
      </c>
      <c r="W85" s="25">
        <v>1</v>
      </c>
      <c r="X85" s="21">
        <f t="shared" si="0"/>
        <v>20</v>
      </c>
      <c r="Y85" s="27">
        <f t="shared" si="1"/>
        <v>47.619047619047613</v>
      </c>
      <c r="Z85" s="22" t="str">
        <f t="shared" si="2"/>
        <v>Insuficiente</v>
      </c>
    </row>
    <row r="86" spans="1:26" ht="15.75" customHeight="1">
      <c r="A86" s="35">
        <v>20967434</v>
      </c>
      <c r="B86" s="35">
        <v>3</v>
      </c>
      <c r="C86" s="35" t="s">
        <v>372</v>
      </c>
      <c r="D86" s="36" t="s">
        <v>373</v>
      </c>
      <c r="E86" s="36" t="s">
        <v>250</v>
      </c>
      <c r="F86" s="36" t="s">
        <v>374</v>
      </c>
      <c r="G86" s="93" t="s">
        <v>76</v>
      </c>
      <c r="H86" s="37" t="s">
        <v>77</v>
      </c>
      <c r="I86" s="38"/>
      <c r="J86" s="39"/>
      <c r="K86" s="26">
        <v>3</v>
      </c>
      <c r="L86" s="25">
        <v>3</v>
      </c>
      <c r="M86" s="25">
        <v>2</v>
      </c>
      <c r="N86" s="25">
        <v>2</v>
      </c>
      <c r="O86" s="25">
        <v>3</v>
      </c>
      <c r="P86" s="25">
        <v>1</v>
      </c>
      <c r="Q86" s="25">
        <v>1</v>
      </c>
      <c r="R86" s="25">
        <v>2</v>
      </c>
      <c r="S86" s="25">
        <v>1</v>
      </c>
      <c r="T86" s="25">
        <v>1</v>
      </c>
      <c r="U86" s="25">
        <v>1</v>
      </c>
      <c r="V86" s="25">
        <v>1</v>
      </c>
      <c r="W86" s="25">
        <v>1</v>
      </c>
      <c r="X86" s="21">
        <f t="shared" si="0"/>
        <v>22</v>
      </c>
      <c r="Y86" s="27">
        <f t="shared" si="1"/>
        <v>52.380952380952387</v>
      </c>
      <c r="Z86" s="22" t="str">
        <f t="shared" si="2"/>
        <v>Insuficiente</v>
      </c>
    </row>
    <row r="87" spans="1:26" ht="15.75" customHeight="1">
      <c r="A87" s="35">
        <v>21789079</v>
      </c>
      <c r="B87" s="35">
        <v>9</v>
      </c>
      <c r="C87" s="35" t="s">
        <v>375</v>
      </c>
      <c r="D87" s="36" t="s">
        <v>376</v>
      </c>
      <c r="E87" s="36" t="s">
        <v>377</v>
      </c>
      <c r="F87" s="36" t="s">
        <v>378</v>
      </c>
      <c r="G87" s="89" t="s">
        <v>76</v>
      </c>
      <c r="H87" s="50" t="s">
        <v>77</v>
      </c>
      <c r="I87" s="51"/>
      <c r="J87" s="52"/>
      <c r="K87" s="26">
        <v>3</v>
      </c>
      <c r="L87" s="25">
        <v>3</v>
      </c>
      <c r="M87" s="25">
        <v>3</v>
      </c>
      <c r="N87" s="25">
        <v>3</v>
      </c>
      <c r="O87" s="25">
        <v>3</v>
      </c>
      <c r="P87" s="25">
        <v>3</v>
      </c>
      <c r="Q87" s="25">
        <v>3</v>
      </c>
      <c r="R87" s="25">
        <v>3</v>
      </c>
      <c r="S87" s="25">
        <v>3</v>
      </c>
      <c r="T87" s="25">
        <v>3</v>
      </c>
      <c r="U87" s="25">
        <v>2</v>
      </c>
      <c r="V87" s="25">
        <v>3</v>
      </c>
      <c r="W87" s="25">
        <v>3</v>
      </c>
      <c r="X87" s="21">
        <f t="shared" si="0"/>
        <v>38</v>
      </c>
      <c r="Y87" s="27">
        <f t="shared" si="1"/>
        <v>90.476190476190482</v>
      </c>
      <c r="Z87" s="22" t="str">
        <f t="shared" si="2"/>
        <v>Óptimo</v>
      </c>
    </row>
    <row r="88" spans="1:26" ht="15.75" customHeight="1">
      <c r="A88" s="28">
        <v>18669062</v>
      </c>
      <c r="B88" s="28">
        <v>1</v>
      </c>
      <c r="C88" s="35" t="s">
        <v>379</v>
      </c>
      <c r="D88" s="29" t="s">
        <v>380</v>
      </c>
      <c r="E88" s="29" t="s">
        <v>381</v>
      </c>
      <c r="F88" s="29" t="s">
        <v>382</v>
      </c>
      <c r="G88" s="92"/>
      <c r="H88" s="47" t="s">
        <v>110</v>
      </c>
      <c r="I88" s="48"/>
      <c r="J88" s="30"/>
      <c r="K88" s="32"/>
      <c r="L88" s="33"/>
      <c r="M88" s="33"/>
      <c r="N88" s="33"/>
      <c r="O88" s="33"/>
      <c r="P88" s="33"/>
      <c r="Q88" s="33"/>
      <c r="R88" s="33"/>
      <c r="S88" s="33"/>
      <c r="T88" s="33"/>
      <c r="U88" s="33"/>
      <c r="V88" s="33"/>
      <c r="W88" s="33"/>
      <c r="X88" s="33">
        <f t="shared" si="0"/>
        <v>0</v>
      </c>
      <c r="Y88" s="34">
        <f t="shared" si="1"/>
        <v>0</v>
      </c>
      <c r="Z88" s="22" t="str">
        <f t="shared" si="2"/>
        <v>Deficiente</v>
      </c>
    </row>
    <row r="89" spans="1:26" ht="15.75" customHeight="1">
      <c r="A89" s="35">
        <v>20857789</v>
      </c>
      <c r="B89" s="35">
        <v>1</v>
      </c>
      <c r="C89" s="35" t="s">
        <v>383</v>
      </c>
      <c r="D89" s="36" t="s">
        <v>384</v>
      </c>
      <c r="E89" s="36" t="s">
        <v>219</v>
      </c>
      <c r="F89" s="36" t="s">
        <v>385</v>
      </c>
      <c r="G89" s="93" t="s">
        <v>76</v>
      </c>
      <c r="H89" s="37" t="s">
        <v>77</v>
      </c>
      <c r="I89" s="38"/>
      <c r="J89" s="39"/>
      <c r="K89" s="26">
        <v>1</v>
      </c>
      <c r="L89" s="25">
        <v>1</v>
      </c>
      <c r="M89" s="25">
        <v>1</v>
      </c>
      <c r="N89" s="25">
        <v>1</v>
      </c>
      <c r="O89" s="25">
        <v>2</v>
      </c>
      <c r="P89" s="25">
        <v>1</v>
      </c>
      <c r="Q89" s="25">
        <v>2</v>
      </c>
      <c r="R89" s="25">
        <v>2</v>
      </c>
      <c r="S89" s="25">
        <v>1</v>
      </c>
      <c r="T89" s="25">
        <v>2</v>
      </c>
      <c r="U89" s="25">
        <v>2</v>
      </c>
      <c r="V89" s="25">
        <v>1</v>
      </c>
      <c r="W89" s="25">
        <v>1</v>
      </c>
      <c r="X89" s="21">
        <f t="shared" si="0"/>
        <v>18</v>
      </c>
      <c r="Y89" s="27">
        <f t="shared" si="1"/>
        <v>42.857142857142854</v>
      </c>
      <c r="Z89" s="22" t="str">
        <f t="shared" si="2"/>
        <v>Insuficiente</v>
      </c>
    </row>
    <row r="90" spans="1:26" ht="15.75" customHeight="1">
      <c r="A90" s="35">
        <v>21837147</v>
      </c>
      <c r="B90" s="35">
        <v>7</v>
      </c>
      <c r="C90" s="35" t="s">
        <v>386</v>
      </c>
      <c r="D90" s="36" t="s">
        <v>384</v>
      </c>
      <c r="E90" s="36" t="s">
        <v>387</v>
      </c>
      <c r="F90" s="36" t="s">
        <v>388</v>
      </c>
      <c r="G90" s="89" t="s">
        <v>76</v>
      </c>
      <c r="H90" s="50" t="s">
        <v>77</v>
      </c>
      <c r="I90" s="51"/>
      <c r="J90" s="52"/>
      <c r="K90" s="26">
        <v>1</v>
      </c>
      <c r="L90" s="25">
        <v>2</v>
      </c>
      <c r="M90" s="25">
        <v>1</v>
      </c>
      <c r="N90" s="25">
        <v>2</v>
      </c>
      <c r="O90" s="25">
        <v>2</v>
      </c>
      <c r="P90" s="25">
        <v>1</v>
      </c>
      <c r="Q90" s="25">
        <v>2</v>
      </c>
      <c r="R90" s="25">
        <v>1</v>
      </c>
      <c r="S90" s="25">
        <v>2</v>
      </c>
      <c r="T90" s="25">
        <v>1</v>
      </c>
      <c r="U90" s="25">
        <v>1</v>
      </c>
      <c r="V90" s="25">
        <v>1</v>
      </c>
      <c r="W90" s="25">
        <v>1</v>
      </c>
      <c r="X90" s="21">
        <f t="shared" si="0"/>
        <v>18</v>
      </c>
      <c r="Y90" s="27">
        <f t="shared" si="1"/>
        <v>42.857142857142854</v>
      </c>
      <c r="Z90" s="22" t="str">
        <f t="shared" si="2"/>
        <v>Insuficiente</v>
      </c>
    </row>
    <row r="91" spans="1:26" ht="15.75" customHeight="1">
      <c r="A91" s="28">
        <v>21326954</v>
      </c>
      <c r="B91" s="28">
        <v>2</v>
      </c>
      <c r="C91" s="35" t="s">
        <v>389</v>
      </c>
      <c r="D91" s="29" t="s">
        <v>390</v>
      </c>
      <c r="E91" s="29" t="s">
        <v>391</v>
      </c>
      <c r="F91" s="29" t="s">
        <v>392</v>
      </c>
      <c r="G91" s="92"/>
      <c r="H91" s="53" t="s">
        <v>110</v>
      </c>
      <c r="I91" s="31"/>
      <c r="J91" s="30"/>
      <c r="K91" s="32"/>
      <c r="L91" s="33"/>
      <c r="M91" s="33"/>
      <c r="N91" s="33"/>
      <c r="O91" s="33"/>
      <c r="P91" s="33"/>
      <c r="Q91" s="33"/>
      <c r="R91" s="33"/>
      <c r="S91" s="33"/>
      <c r="T91" s="33"/>
      <c r="U91" s="33"/>
      <c r="V91" s="33"/>
      <c r="W91" s="33"/>
      <c r="X91" s="33">
        <f t="shared" si="0"/>
        <v>0</v>
      </c>
      <c r="Y91" s="34">
        <f t="shared" si="1"/>
        <v>0</v>
      </c>
      <c r="Z91" s="22" t="str">
        <f t="shared" si="2"/>
        <v>Deficiente</v>
      </c>
    </row>
    <row r="92" spans="1:26" ht="15.75" customHeight="1">
      <c r="A92" s="28">
        <v>21349164</v>
      </c>
      <c r="B92" s="28">
        <v>4</v>
      </c>
      <c r="C92" s="35" t="s">
        <v>393</v>
      </c>
      <c r="D92" s="29" t="s">
        <v>158</v>
      </c>
      <c r="E92" s="29" t="s">
        <v>394</v>
      </c>
      <c r="F92" s="29" t="s">
        <v>395</v>
      </c>
      <c r="G92" s="92"/>
      <c r="H92" s="53" t="s">
        <v>110</v>
      </c>
      <c r="I92" s="31"/>
      <c r="J92" s="30"/>
      <c r="K92" s="32"/>
      <c r="L92" s="33"/>
      <c r="M92" s="33"/>
      <c r="N92" s="33"/>
      <c r="O92" s="33"/>
      <c r="P92" s="33"/>
      <c r="Q92" s="33"/>
      <c r="R92" s="33"/>
      <c r="S92" s="33"/>
      <c r="T92" s="33"/>
      <c r="U92" s="33"/>
      <c r="V92" s="33"/>
      <c r="W92" s="33"/>
      <c r="X92" s="33">
        <f t="shared" si="0"/>
        <v>0</v>
      </c>
      <c r="Y92" s="34">
        <f t="shared" si="1"/>
        <v>0</v>
      </c>
      <c r="Z92" s="22" t="str">
        <f t="shared" si="2"/>
        <v>Deficiente</v>
      </c>
    </row>
    <row r="93" spans="1:26" ht="15.75" customHeight="1">
      <c r="A93" s="35">
        <v>20964976</v>
      </c>
      <c r="B93" s="35">
        <v>4</v>
      </c>
      <c r="C93" s="35" t="s">
        <v>396</v>
      </c>
      <c r="D93" s="36" t="s">
        <v>344</v>
      </c>
      <c r="E93" s="36" t="s">
        <v>397</v>
      </c>
      <c r="F93" s="36" t="s">
        <v>398</v>
      </c>
      <c r="G93" s="93" t="s">
        <v>76</v>
      </c>
      <c r="H93" s="37" t="s">
        <v>77</v>
      </c>
      <c r="I93" s="38"/>
      <c r="J93" s="39"/>
      <c r="K93" s="26">
        <v>3</v>
      </c>
      <c r="L93" s="25">
        <v>3</v>
      </c>
      <c r="M93" s="25">
        <v>3</v>
      </c>
      <c r="N93" s="25">
        <v>1</v>
      </c>
      <c r="O93" s="25">
        <v>2</v>
      </c>
      <c r="P93" s="25">
        <v>0</v>
      </c>
      <c r="Q93" s="25">
        <v>1</v>
      </c>
      <c r="R93" s="25">
        <v>1</v>
      </c>
      <c r="S93" s="25">
        <v>0</v>
      </c>
      <c r="T93" s="25">
        <v>0</v>
      </c>
      <c r="U93" s="25">
        <v>1</v>
      </c>
      <c r="V93" s="25">
        <v>1</v>
      </c>
      <c r="W93" s="25">
        <v>0</v>
      </c>
      <c r="X93" s="21">
        <f t="shared" si="0"/>
        <v>16</v>
      </c>
      <c r="Y93" s="27">
        <f t="shared" si="1"/>
        <v>38.095238095238095</v>
      </c>
      <c r="Z93" s="22" t="str">
        <f t="shared" si="2"/>
        <v>Deficiente</v>
      </c>
    </row>
    <row r="94" spans="1:26" ht="15.75" customHeight="1">
      <c r="A94" s="28">
        <v>21143666</v>
      </c>
      <c r="B94" s="28">
        <v>2</v>
      </c>
      <c r="C94" s="35" t="s">
        <v>399</v>
      </c>
      <c r="D94" s="29" t="s">
        <v>344</v>
      </c>
      <c r="E94" s="29" t="s">
        <v>400</v>
      </c>
      <c r="F94" s="29" t="s">
        <v>401</v>
      </c>
      <c r="G94" s="92"/>
      <c r="H94" s="53" t="s">
        <v>110</v>
      </c>
      <c r="I94" s="31"/>
      <c r="J94" s="30"/>
      <c r="K94" s="32"/>
      <c r="L94" s="33"/>
      <c r="M94" s="33"/>
      <c r="N94" s="33"/>
      <c r="O94" s="33"/>
      <c r="P94" s="33"/>
      <c r="Q94" s="33"/>
      <c r="R94" s="33"/>
      <c r="S94" s="33"/>
      <c r="T94" s="33"/>
      <c r="U94" s="33"/>
      <c r="V94" s="33"/>
      <c r="W94" s="33"/>
      <c r="X94" s="33">
        <f t="shared" si="0"/>
        <v>0</v>
      </c>
      <c r="Y94" s="34">
        <f t="shared" si="1"/>
        <v>0</v>
      </c>
      <c r="Z94" s="22" t="str">
        <f t="shared" si="2"/>
        <v>Deficiente</v>
      </c>
    </row>
    <row r="95" spans="1:26" ht="15.75" customHeight="1">
      <c r="A95" s="35">
        <v>19033604</v>
      </c>
      <c r="B95" s="35">
        <v>2</v>
      </c>
      <c r="C95" s="35" t="s">
        <v>402</v>
      </c>
      <c r="D95" s="36" t="s">
        <v>403</v>
      </c>
      <c r="E95" s="36" t="s">
        <v>404</v>
      </c>
      <c r="F95" s="36" t="s">
        <v>405</v>
      </c>
      <c r="G95" s="93" t="s">
        <v>76</v>
      </c>
      <c r="H95" s="37" t="s">
        <v>77</v>
      </c>
      <c r="I95" s="38"/>
      <c r="J95" s="39"/>
      <c r="K95" s="26">
        <v>3</v>
      </c>
      <c r="L95" s="25">
        <v>3</v>
      </c>
      <c r="M95" s="25">
        <v>3</v>
      </c>
      <c r="N95" s="25">
        <v>2</v>
      </c>
      <c r="O95" s="25">
        <v>1</v>
      </c>
      <c r="P95" s="25">
        <v>1</v>
      </c>
      <c r="Q95" s="25">
        <v>2</v>
      </c>
      <c r="R95" s="25">
        <v>2</v>
      </c>
      <c r="S95" s="25">
        <v>2</v>
      </c>
      <c r="T95" s="25">
        <v>1</v>
      </c>
      <c r="U95" s="25">
        <v>1</v>
      </c>
      <c r="V95" s="25">
        <v>1</v>
      </c>
      <c r="W95" s="25">
        <v>1</v>
      </c>
      <c r="X95" s="21">
        <f t="shared" si="0"/>
        <v>23</v>
      </c>
      <c r="Y95" s="27">
        <f t="shared" si="1"/>
        <v>54.761904761904766</v>
      </c>
      <c r="Z95" s="22" t="str">
        <f t="shared" si="2"/>
        <v>Insuficiente</v>
      </c>
    </row>
    <row r="96" spans="1:26" ht="15.75" customHeight="1">
      <c r="A96" s="35">
        <v>20721141</v>
      </c>
      <c r="B96" s="35">
        <v>9</v>
      </c>
      <c r="C96" s="35" t="s">
        <v>406</v>
      </c>
      <c r="D96" s="36" t="s">
        <v>269</v>
      </c>
      <c r="E96" s="36" t="s">
        <v>161</v>
      </c>
      <c r="F96" s="36" t="s">
        <v>407</v>
      </c>
      <c r="G96" s="93" t="s">
        <v>76</v>
      </c>
      <c r="H96" s="37" t="s">
        <v>77</v>
      </c>
      <c r="I96" s="38"/>
      <c r="J96" s="39"/>
      <c r="K96" s="26">
        <v>2</v>
      </c>
      <c r="L96" s="25">
        <v>2</v>
      </c>
      <c r="M96" s="25">
        <v>1</v>
      </c>
      <c r="N96" s="25">
        <v>1</v>
      </c>
      <c r="O96" s="25">
        <v>2</v>
      </c>
      <c r="P96" s="25">
        <v>1</v>
      </c>
      <c r="Q96" s="25">
        <v>2</v>
      </c>
      <c r="R96" s="25">
        <v>1</v>
      </c>
      <c r="S96" s="25">
        <v>1</v>
      </c>
      <c r="T96" s="25">
        <v>1</v>
      </c>
      <c r="U96" s="25">
        <v>1</v>
      </c>
      <c r="V96" s="25">
        <v>0</v>
      </c>
      <c r="W96" s="25">
        <v>0</v>
      </c>
      <c r="X96" s="21">
        <f t="shared" si="0"/>
        <v>15</v>
      </c>
      <c r="Y96" s="27">
        <f t="shared" si="1"/>
        <v>35.714285714285715</v>
      </c>
      <c r="Z96" s="22" t="str">
        <f t="shared" si="2"/>
        <v>Deficiente</v>
      </c>
    </row>
    <row r="97" spans="1:26" ht="15.75" customHeight="1">
      <c r="A97" s="28">
        <v>21042894</v>
      </c>
      <c r="B97" s="28">
        <v>1</v>
      </c>
      <c r="C97" s="35" t="s">
        <v>408</v>
      </c>
      <c r="D97" s="29" t="s">
        <v>409</v>
      </c>
      <c r="E97" s="29" t="s">
        <v>125</v>
      </c>
      <c r="F97" s="29" t="s">
        <v>410</v>
      </c>
      <c r="G97" s="92"/>
      <c r="H97" s="53" t="s">
        <v>110</v>
      </c>
      <c r="I97" s="31"/>
      <c r="J97" s="30"/>
      <c r="K97" s="32"/>
      <c r="L97" s="33"/>
      <c r="M97" s="33"/>
      <c r="N97" s="33"/>
      <c r="O97" s="33"/>
      <c r="P97" s="33"/>
      <c r="Q97" s="33"/>
      <c r="R97" s="33"/>
      <c r="S97" s="33"/>
      <c r="T97" s="33"/>
      <c r="U97" s="33"/>
      <c r="V97" s="33"/>
      <c r="W97" s="33"/>
      <c r="X97" s="33">
        <f t="shared" si="0"/>
        <v>0</v>
      </c>
      <c r="Y97" s="34">
        <f t="shared" si="1"/>
        <v>0</v>
      </c>
      <c r="Z97" s="22" t="str">
        <f t="shared" si="2"/>
        <v>Deficiente</v>
      </c>
    </row>
    <row r="98" spans="1:26" ht="15.75" customHeight="1">
      <c r="A98" s="35">
        <v>21565065</v>
      </c>
      <c r="B98" s="35">
        <v>0</v>
      </c>
      <c r="C98" s="35" t="s">
        <v>411</v>
      </c>
      <c r="D98" s="36" t="s">
        <v>412</v>
      </c>
      <c r="E98" s="36" t="s">
        <v>250</v>
      </c>
      <c r="F98" s="36" t="s">
        <v>413</v>
      </c>
      <c r="G98" s="93" t="s">
        <v>76</v>
      </c>
      <c r="H98" s="37" t="s">
        <v>77</v>
      </c>
      <c r="I98" s="38"/>
      <c r="J98" s="39"/>
      <c r="K98" s="26">
        <v>0</v>
      </c>
      <c r="L98" s="25">
        <v>1</v>
      </c>
      <c r="M98" s="25">
        <v>1</v>
      </c>
      <c r="N98" s="25">
        <v>2</v>
      </c>
      <c r="O98" s="25">
        <v>2</v>
      </c>
      <c r="P98" s="25">
        <v>2</v>
      </c>
      <c r="Q98" s="25">
        <v>1</v>
      </c>
      <c r="R98" s="25">
        <v>0</v>
      </c>
      <c r="S98" s="25">
        <v>0</v>
      </c>
      <c r="T98" s="25">
        <v>0</v>
      </c>
      <c r="U98" s="25">
        <v>0</v>
      </c>
      <c r="V98" s="25">
        <v>0</v>
      </c>
      <c r="W98" s="25">
        <v>0</v>
      </c>
      <c r="X98" s="21">
        <f t="shared" si="0"/>
        <v>9</v>
      </c>
      <c r="Y98" s="27">
        <f t="shared" si="1"/>
        <v>21.428571428571427</v>
      </c>
      <c r="Z98" s="22" t="str">
        <f t="shared" si="2"/>
        <v>Deficiente</v>
      </c>
    </row>
    <row r="99" spans="1:26" ht="15.75" customHeight="1">
      <c r="A99" s="35">
        <v>21055115</v>
      </c>
      <c r="B99" s="35">
        <v>8</v>
      </c>
      <c r="C99" s="35" t="s">
        <v>414</v>
      </c>
      <c r="D99" s="36" t="s">
        <v>415</v>
      </c>
      <c r="E99" s="36" t="s">
        <v>258</v>
      </c>
      <c r="F99" s="36" t="s">
        <v>416</v>
      </c>
      <c r="G99" s="93" t="s">
        <v>76</v>
      </c>
      <c r="H99" s="37" t="s">
        <v>77</v>
      </c>
      <c r="I99" s="38"/>
      <c r="J99" s="39"/>
      <c r="K99" s="26">
        <v>2</v>
      </c>
      <c r="L99" s="25">
        <v>3</v>
      </c>
      <c r="M99" s="25">
        <v>2</v>
      </c>
      <c r="N99" s="25">
        <v>1</v>
      </c>
      <c r="O99" s="25">
        <v>2</v>
      </c>
      <c r="P99" s="25">
        <v>1</v>
      </c>
      <c r="Q99" s="25">
        <v>2</v>
      </c>
      <c r="R99" s="25">
        <v>1</v>
      </c>
      <c r="S99" s="25">
        <v>1</v>
      </c>
      <c r="T99" s="25">
        <v>1</v>
      </c>
      <c r="U99" s="25">
        <v>0</v>
      </c>
      <c r="V99" s="25">
        <v>1</v>
      </c>
      <c r="W99" s="25">
        <v>0</v>
      </c>
      <c r="X99" s="21">
        <f t="shared" si="0"/>
        <v>17</v>
      </c>
      <c r="Y99" s="27">
        <f t="shared" si="1"/>
        <v>40.476190476190474</v>
      </c>
      <c r="Z99" s="22" t="str">
        <f t="shared" si="2"/>
        <v>Insuficiente</v>
      </c>
    </row>
    <row r="100" spans="1:26" ht="15.75" customHeight="1">
      <c r="A100" s="28">
        <v>21675145</v>
      </c>
      <c r="B100" s="28">
        <v>0</v>
      </c>
      <c r="C100" s="35" t="s">
        <v>417</v>
      </c>
      <c r="D100" s="29" t="s">
        <v>418</v>
      </c>
      <c r="E100" s="29" t="s">
        <v>419</v>
      </c>
      <c r="F100" s="29" t="s">
        <v>420</v>
      </c>
      <c r="G100" s="92"/>
      <c r="H100" s="53" t="s">
        <v>110</v>
      </c>
      <c r="I100" s="31"/>
      <c r="J100" s="30"/>
      <c r="K100" s="32"/>
      <c r="L100" s="33"/>
      <c r="M100" s="33"/>
      <c r="N100" s="33"/>
      <c r="O100" s="33"/>
      <c r="P100" s="33"/>
      <c r="Q100" s="33"/>
      <c r="R100" s="33"/>
      <c r="S100" s="33"/>
      <c r="T100" s="33"/>
      <c r="U100" s="33"/>
      <c r="V100" s="33"/>
      <c r="W100" s="33"/>
      <c r="X100" s="33">
        <f t="shared" si="0"/>
        <v>0</v>
      </c>
      <c r="Y100" s="34">
        <f t="shared" si="1"/>
        <v>0</v>
      </c>
      <c r="Z100" s="22" t="str">
        <f t="shared" si="2"/>
        <v>Deficiente</v>
      </c>
    </row>
    <row r="101" spans="1:26" ht="15.75" customHeight="1">
      <c r="A101" s="35">
        <v>21601599</v>
      </c>
      <c r="B101" s="35">
        <v>1</v>
      </c>
      <c r="C101" s="35" t="s">
        <v>421</v>
      </c>
      <c r="D101" s="36" t="s">
        <v>81</v>
      </c>
      <c r="E101" s="36" t="s">
        <v>140</v>
      </c>
      <c r="F101" s="36" t="s">
        <v>422</v>
      </c>
      <c r="G101" s="93" t="s">
        <v>76</v>
      </c>
      <c r="H101" s="37" t="s">
        <v>77</v>
      </c>
      <c r="I101" s="38"/>
      <c r="J101" s="39"/>
      <c r="K101" s="26">
        <v>3</v>
      </c>
      <c r="L101" s="25">
        <v>2</v>
      </c>
      <c r="M101" s="25">
        <v>2</v>
      </c>
      <c r="N101" s="25">
        <v>2</v>
      </c>
      <c r="O101" s="25">
        <v>3</v>
      </c>
      <c r="P101" s="25">
        <v>2</v>
      </c>
      <c r="Q101" s="25">
        <v>2</v>
      </c>
      <c r="R101" s="25">
        <v>2</v>
      </c>
      <c r="S101" s="25">
        <v>2</v>
      </c>
      <c r="T101" s="25">
        <v>1</v>
      </c>
      <c r="U101" s="25">
        <v>1</v>
      </c>
      <c r="V101" s="25">
        <v>2</v>
      </c>
      <c r="W101" s="25">
        <v>1</v>
      </c>
      <c r="X101" s="21">
        <f t="shared" si="0"/>
        <v>25</v>
      </c>
      <c r="Y101" s="27">
        <f t="shared" si="1"/>
        <v>59.523809523809526</v>
      </c>
      <c r="Z101" s="22" t="str">
        <f t="shared" si="2"/>
        <v>Insuficiente</v>
      </c>
    </row>
    <row r="102" spans="1:26" ht="15.75" customHeight="1">
      <c r="A102" s="28">
        <v>22706246</v>
      </c>
      <c r="B102" s="28">
        <v>0</v>
      </c>
      <c r="C102" s="35" t="s">
        <v>423</v>
      </c>
      <c r="D102" s="29" t="s">
        <v>81</v>
      </c>
      <c r="E102" s="29" t="s">
        <v>424</v>
      </c>
      <c r="F102" s="29" t="s">
        <v>425</v>
      </c>
      <c r="G102" s="90"/>
      <c r="H102" s="47" t="s">
        <v>110</v>
      </c>
      <c r="I102" s="48"/>
      <c r="J102" s="49"/>
      <c r="K102" s="32"/>
      <c r="L102" s="33"/>
      <c r="M102" s="33"/>
      <c r="N102" s="33"/>
      <c r="O102" s="33"/>
      <c r="P102" s="33"/>
      <c r="Q102" s="33"/>
      <c r="R102" s="33"/>
      <c r="S102" s="33"/>
      <c r="T102" s="33"/>
      <c r="U102" s="33"/>
      <c r="V102" s="33"/>
      <c r="W102" s="33"/>
      <c r="X102" s="33">
        <f t="shared" si="0"/>
        <v>0</v>
      </c>
      <c r="Y102" s="34">
        <f t="shared" si="1"/>
        <v>0</v>
      </c>
      <c r="Z102" s="22" t="str">
        <f t="shared" si="2"/>
        <v>Deficiente</v>
      </c>
    </row>
    <row r="103" spans="1:26" ht="15.75" customHeight="1">
      <c r="A103" s="35">
        <v>21670214</v>
      </c>
      <c r="B103" s="35" t="s">
        <v>135</v>
      </c>
      <c r="C103" s="35" t="s">
        <v>426</v>
      </c>
      <c r="D103" s="36" t="s">
        <v>427</v>
      </c>
      <c r="E103" s="36" t="s">
        <v>312</v>
      </c>
      <c r="F103" s="36" t="s">
        <v>428</v>
      </c>
      <c r="G103" s="89" t="s">
        <v>76</v>
      </c>
      <c r="H103" s="50" t="s">
        <v>77</v>
      </c>
      <c r="I103" s="51"/>
      <c r="J103" s="52"/>
      <c r="K103" s="26">
        <v>1</v>
      </c>
      <c r="L103" s="25">
        <v>2</v>
      </c>
      <c r="M103" s="25">
        <v>1</v>
      </c>
      <c r="N103" s="25">
        <v>1</v>
      </c>
      <c r="O103" s="25">
        <v>1</v>
      </c>
      <c r="P103" s="25">
        <v>1</v>
      </c>
      <c r="Q103" s="25">
        <v>2</v>
      </c>
      <c r="R103" s="25">
        <v>2</v>
      </c>
      <c r="S103" s="25">
        <v>2</v>
      </c>
      <c r="T103" s="25">
        <v>2</v>
      </c>
      <c r="U103" s="25">
        <v>2</v>
      </c>
      <c r="V103" s="25">
        <v>1</v>
      </c>
      <c r="W103" s="25">
        <v>1</v>
      </c>
      <c r="X103" s="21">
        <f t="shared" si="0"/>
        <v>19</v>
      </c>
      <c r="Y103" s="27">
        <f t="shared" si="1"/>
        <v>45.238095238095241</v>
      </c>
      <c r="Z103" s="22" t="str">
        <f t="shared" si="2"/>
        <v>Insuficiente</v>
      </c>
    </row>
    <row r="104" spans="1:26" ht="15.75" customHeight="1">
      <c r="A104" s="28">
        <v>19801090</v>
      </c>
      <c r="B104" s="28">
        <v>1</v>
      </c>
      <c r="C104" s="35" t="s">
        <v>429</v>
      </c>
      <c r="D104" s="29" t="s">
        <v>430</v>
      </c>
      <c r="E104" s="29" t="s">
        <v>415</v>
      </c>
      <c r="F104" s="29" t="s">
        <v>431</v>
      </c>
      <c r="G104" s="90"/>
      <c r="H104" s="47" t="s">
        <v>110</v>
      </c>
      <c r="I104" s="48"/>
      <c r="J104" s="49"/>
      <c r="K104" s="32"/>
      <c r="L104" s="33"/>
      <c r="M104" s="33"/>
      <c r="N104" s="33"/>
      <c r="O104" s="33"/>
      <c r="P104" s="33"/>
      <c r="Q104" s="33"/>
      <c r="R104" s="33"/>
      <c r="S104" s="33"/>
      <c r="T104" s="33"/>
      <c r="U104" s="33"/>
      <c r="V104" s="33"/>
      <c r="W104" s="33"/>
      <c r="X104" s="33">
        <f t="shared" si="0"/>
        <v>0</v>
      </c>
      <c r="Y104" s="34">
        <f t="shared" si="1"/>
        <v>0</v>
      </c>
      <c r="Z104" s="22" t="str">
        <f t="shared" si="2"/>
        <v>Deficiente</v>
      </c>
    </row>
    <row r="105" spans="1:26" ht="15.75" customHeight="1">
      <c r="A105" s="35">
        <v>21431291</v>
      </c>
      <c r="B105" s="35">
        <v>3</v>
      </c>
      <c r="C105" s="35" t="s">
        <v>432</v>
      </c>
      <c r="D105" s="36" t="s">
        <v>433</v>
      </c>
      <c r="E105" s="36" t="s">
        <v>434</v>
      </c>
      <c r="F105" s="36" t="s">
        <v>435</v>
      </c>
      <c r="G105" s="89" t="s">
        <v>76</v>
      </c>
      <c r="H105" s="50" t="s">
        <v>77</v>
      </c>
      <c r="I105" s="51"/>
      <c r="J105" s="52"/>
      <c r="K105" s="26">
        <v>1</v>
      </c>
      <c r="L105" s="25">
        <v>3</v>
      </c>
      <c r="M105" s="25">
        <v>1</v>
      </c>
      <c r="N105" s="25">
        <v>2</v>
      </c>
      <c r="O105" s="25">
        <v>3</v>
      </c>
      <c r="P105" s="25">
        <v>3</v>
      </c>
      <c r="Q105" s="25">
        <v>3</v>
      </c>
      <c r="R105" s="25">
        <v>1</v>
      </c>
      <c r="S105" s="25">
        <v>2</v>
      </c>
      <c r="T105" s="25">
        <v>1</v>
      </c>
      <c r="U105" s="25">
        <v>1</v>
      </c>
      <c r="V105" s="25">
        <v>1</v>
      </c>
      <c r="W105" s="25">
        <v>1</v>
      </c>
      <c r="X105" s="21">
        <f t="shared" si="0"/>
        <v>23</v>
      </c>
      <c r="Y105" s="27">
        <f t="shared" si="1"/>
        <v>54.761904761904766</v>
      </c>
      <c r="Z105" s="22" t="str">
        <f t="shared" si="2"/>
        <v>Insuficiente</v>
      </c>
    </row>
    <row r="106" spans="1:26" ht="15.75" customHeight="1">
      <c r="A106" s="28">
        <v>21094850</v>
      </c>
      <c r="B106" s="28">
        <v>3</v>
      </c>
      <c r="C106" s="35" t="s">
        <v>436</v>
      </c>
      <c r="D106" s="29" t="s">
        <v>437</v>
      </c>
      <c r="E106" s="29" t="s">
        <v>438</v>
      </c>
      <c r="F106" s="29" t="s">
        <v>439</v>
      </c>
      <c r="G106" s="90"/>
      <c r="H106" s="47" t="s">
        <v>110</v>
      </c>
      <c r="I106" s="48"/>
      <c r="J106" s="49"/>
      <c r="K106" s="32"/>
      <c r="L106" s="33"/>
      <c r="M106" s="33"/>
      <c r="N106" s="33"/>
      <c r="O106" s="33"/>
      <c r="P106" s="33"/>
      <c r="Q106" s="33"/>
      <c r="R106" s="33"/>
      <c r="S106" s="33"/>
      <c r="T106" s="33"/>
      <c r="U106" s="33"/>
      <c r="V106" s="33"/>
      <c r="W106" s="33"/>
      <c r="X106" s="33">
        <f t="shared" si="0"/>
        <v>0</v>
      </c>
      <c r="Y106" s="34">
        <f t="shared" si="1"/>
        <v>0</v>
      </c>
      <c r="Z106" s="22" t="str">
        <f t="shared" si="2"/>
        <v>Deficiente</v>
      </c>
    </row>
    <row r="107" spans="1:26" ht="15.75" customHeight="1">
      <c r="A107" s="35">
        <v>21628071</v>
      </c>
      <c r="B107" s="35">
        <v>7</v>
      </c>
      <c r="C107" s="35" t="s">
        <v>440</v>
      </c>
      <c r="D107" s="36" t="s">
        <v>441</v>
      </c>
      <c r="E107" s="36" t="s">
        <v>442</v>
      </c>
      <c r="F107" s="36" t="s">
        <v>443</v>
      </c>
      <c r="G107" s="89" t="s">
        <v>76</v>
      </c>
      <c r="H107" s="50" t="s">
        <v>77</v>
      </c>
      <c r="I107" s="51"/>
      <c r="J107" s="52"/>
      <c r="K107" s="26">
        <v>2</v>
      </c>
      <c r="L107" s="25">
        <v>2</v>
      </c>
      <c r="M107" s="25">
        <v>2</v>
      </c>
      <c r="N107" s="25">
        <v>2</v>
      </c>
      <c r="O107" s="25">
        <v>3</v>
      </c>
      <c r="P107" s="25">
        <v>3</v>
      </c>
      <c r="Q107" s="25">
        <v>3</v>
      </c>
      <c r="R107" s="25">
        <v>1</v>
      </c>
      <c r="S107" s="25">
        <v>1</v>
      </c>
      <c r="T107" s="25">
        <v>0</v>
      </c>
      <c r="U107" s="25">
        <v>0</v>
      </c>
      <c r="V107" s="25">
        <v>1</v>
      </c>
      <c r="W107" s="25">
        <v>0</v>
      </c>
      <c r="X107" s="21">
        <f t="shared" si="0"/>
        <v>20</v>
      </c>
      <c r="Y107" s="27">
        <f t="shared" si="1"/>
        <v>47.619047619047613</v>
      </c>
      <c r="Z107" s="22" t="str">
        <f t="shared" si="2"/>
        <v>Insuficiente</v>
      </c>
    </row>
    <row r="108" spans="1:26" ht="15.75" customHeight="1">
      <c r="A108" s="28">
        <v>20876906</v>
      </c>
      <c r="B108" s="28">
        <v>5</v>
      </c>
      <c r="C108" s="35" t="s">
        <v>444</v>
      </c>
      <c r="D108" s="29" t="s">
        <v>445</v>
      </c>
      <c r="E108" s="29" t="s">
        <v>264</v>
      </c>
      <c r="F108" s="29" t="s">
        <v>446</v>
      </c>
      <c r="G108" s="90"/>
      <c r="H108" s="47" t="s">
        <v>110</v>
      </c>
      <c r="I108" s="48"/>
      <c r="J108" s="49"/>
      <c r="K108" s="32"/>
      <c r="L108" s="33"/>
      <c r="M108" s="33"/>
      <c r="N108" s="33"/>
      <c r="O108" s="33"/>
      <c r="P108" s="33"/>
      <c r="Q108" s="33"/>
      <c r="R108" s="33"/>
      <c r="S108" s="33"/>
      <c r="T108" s="33"/>
      <c r="U108" s="33"/>
      <c r="V108" s="33"/>
      <c r="W108" s="33"/>
      <c r="X108" s="33">
        <f t="shared" si="0"/>
        <v>0</v>
      </c>
      <c r="Y108" s="34">
        <f t="shared" si="1"/>
        <v>0</v>
      </c>
      <c r="Z108" s="22" t="str">
        <f t="shared" si="2"/>
        <v>Deficiente</v>
      </c>
    </row>
    <row r="109" spans="1:26" ht="15.75" customHeight="1">
      <c r="A109" s="35">
        <v>21843507</v>
      </c>
      <c r="B109" s="35">
        <v>6</v>
      </c>
      <c r="C109" s="35" t="s">
        <v>447</v>
      </c>
      <c r="D109" s="36" t="s">
        <v>448</v>
      </c>
      <c r="E109" s="36" t="s">
        <v>449</v>
      </c>
      <c r="F109" s="36" t="s">
        <v>450</v>
      </c>
      <c r="G109" s="89" t="s">
        <v>76</v>
      </c>
      <c r="H109" s="50" t="s">
        <v>77</v>
      </c>
      <c r="I109" s="51"/>
      <c r="J109" s="52"/>
      <c r="K109" s="26">
        <v>2</v>
      </c>
      <c r="L109" s="25">
        <v>3</v>
      </c>
      <c r="M109" s="25">
        <v>2</v>
      </c>
      <c r="N109" s="25">
        <v>0</v>
      </c>
      <c r="O109" s="25">
        <v>1</v>
      </c>
      <c r="P109" s="25">
        <v>1</v>
      </c>
      <c r="Q109" s="25">
        <v>2</v>
      </c>
      <c r="R109" s="25">
        <v>1</v>
      </c>
      <c r="S109" s="25">
        <v>1</v>
      </c>
      <c r="T109" s="25">
        <v>1</v>
      </c>
      <c r="U109" s="25">
        <v>1</v>
      </c>
      <c r="V109" s="25">
        <v>1</v>
      </c>
      <c r="W109" s="25">
        <v>1</v>
      </c>
      <c r="X109" s="21">
        <f t="shared" si="0"/>
        <v>17</v>
      </c>
      <c r="Y109" s="27">
        <f t="shared" si="1"/>
        <v>40.476190476190474</v>
      </c>
      <c r="Z109" s="22" t="str">
        <f t="shared" si="2"/>
        <v>Insuficiente</v>
      </c>
    </row>
    <row r="110" spans="1:26" ht="15.75" customHeight="1">
      <c r="A110" s="35">
        <v>21714155</v>
      </c>
      <c r="B110" s="35">
        <v>9</v>
      </c>
      <c r="C110" s="35" t="s">
        <v>451</v>
      </c>
      <c r="D110" s="36" t="s">
        <v>452</v>
      </c>
      <c r="E110" s="36" t="s">
        <v>438</v>
      </c>
      <c r="F110" s="36" t="s">
        <v>453</v>
      </c>
      <c r="G110" s="89" t="s">
        <v>76</v>
      </c>
      <c r="H110" s="50" t="s">
        <v>77</v>
      </c>
      <c r="I110" s="51"/>
      <c r="J110" s="52"/>
      <c r="K110" s="26">
        <v>3</v>
      </c>
      <c r="L110" s="25">
        <v>3</v>
      </c>
      <c r="M110" s="25">
        <v>3</v>
      </c>
      <c r="N110" s="25">
        <v>1</v>
      </c>
      <c r="O110" s="25">
        <v>1</v>
      </c>
      <c r="P110" s="25">
        <v>1</v>
      </c>
      <c r="Q110" s="25">
        <v>2</v>
      </c>
      <c r="R110" s="25">
        <v>2</v>
      </c>
      <c r="S110" s="25">
        <v>2</v>
      </c>
      <c r="T110" s="25">
        <v>3</v>
      </c>
      <c r="U110" s="25">
        <v>3</v>
      </c>
      <c r="V110" s="25">
        <v>2</v>
      </c>
      <c r="W110" s="25">
        <v>2</v>
      </c>
      <c r="X110" s="21">
        <f t="shared" si="0"/>
        <v>28</v>
      </c>
      <c r="Y110" s="27">
        <f t="shared" si="1"/>
        <v>66.666666666666657</v>
      </c>
      <c r="Z110" s="22" t="str">
        <f t="shared" si="2"/>
        <v>Satisfactorio</v>
      </c>
    </row>
    <row r="111" spans="1:26" ht="15.75" customHeight="1">
      <c r="A111" s="35">
        <v>20780426</v>
      </c>
      <c r="B111" s="35">
        <v>6</v>
      </c>
      <c r="C111" s="35" t="s">
        <v>454</v>
      </c>
      <c r="D111" s="36" t="s">
        <v>455</v>
      </c>
      <c r="E111" s="36" t="s">
        <v>456</v>
      </c>
      <c r="F111" s="36" t="s">
        <v>457</v>
      </c>
      <c r="G111" s="89" t="s">
        <v>76</v>
      </c>
      <c r="H111" s="50" t="s">
        <v>77</v>
      </c>
      <c r="I111" s="51"/>
      <c r="J111" s="52"/>
      <c r="K111" s="26">
        <v>1</v>
      </c>
      <c r="L111" s="25">
        <v>2</v>
      </c>
      <c r="M111" s="25">
        <v>1</v>
      </c>
      <c r="N111" s="25">
        <v>2</v>
      </c>
      <c r="O111" s="25">
        <v>2</v>
      </c>
      <c r="P111" s="25">
        <v>0</v>
      </c>
      <c r="Q111" s="25">
        <v>2</v>
      </c>
      <c r="R111" s="25">
        <v>1</v>
      </c>
      <c r="S111" s="25">
        <v>2</v>
      </c>
      <c r="T111" s="25">
        <v>1</v>
      </c>
      <c r="U111" s="25">
        <v>1</v>
      </c>
      <c r="V111" s="25">
        <v>1</v>
      </c>
      <c r="W111" s="25">
        <v>1</v>
      </c>
      <c r="X111" s="21">
        <f t="shared" si="0"/>
        <v>17</v>
      </c>
      <c r="Y111" s="27">
        <f t="shared" si="1"/>
        <v>40.476190476190474</v>
      </c>
      <c r="Z111" s="22" t="str">
        <f t="shared" si="2"/>
        <v>Insuficiente</v>
      </c>
    </row>
    <row r="112" spans="1:26" ht="15.75" customHeight="1">
      <c r="A112" s="35">
        <v>21243468</v>
      </c>
      <c r="B112" s="35" t="s">
        <v>135</v>
      </c>
      <c r="C112" s="35" t="s">
        <v>458</v>
      </c>
      <c r="D112" s="36" t="s">
        <v>176</v>
      </c>
      <c r="E112" s="36" t="s">
        <v>459</v>
      </c>
      <c r="F112" s="36" t="s">
        <v>460</v>
      </c>
      <c r="G112" s="89" t="s">
        <v>76</v>
      </c>
      <c r="H112" s="50" t="s">
        <v>77</v>
      </c>
      <c r="I112" s="51"/>
      <c r="J112" s="52"/>
      <c r="K112" s="26">
        <v>2</v>
      </c>
      <c r="L112" s="25">
        <v>3</v>
      </c>
      <c r="M112" s="25">
        <v>3</v>
      </c>
      <c r="N112" s="25">
        <v>2</v>
      </c>
      <c r="O112" s="25">
        <v>1</v>
      </c>
      <c r="P112" s="25">
        <v>1</v>
      </c>
      <c r="Q112" s="25">
        <v>2</v>
      </c>
      <c r="R112" s="25">
        <v>1</v>
      </c>
      <c r="S112" s="25">
        <v>1</v>
      </c>
      <c r="T112" s="25">
        <v>0</v>
      </c>
      <c r="U112" s="25">
        <v>0</v>
      </c>
      <c r="V112" s="25">
        <v>1</v>
      </c>
      <c r="W112" s="25">
        <v>0</v>
      </c>
      <c r="X112" s="21">
        <f t="shared" si="0"/>
        <v>17</v>
      </c>
      <c r="Y112" s="27">
        <f t="shared" si="1"/>
        <v>40.476190476190474</v>
      </c>
      <c r="Z112" s="22" t="str">
        <f t="shared" si="2"/>
        <v>Insuficiente</v>
      </c>
    </row>
    <row r="113" spans="1:26" ht="15.75" customHeight="1">
      <c r="A113" s="35">
        <v>21753049</v>
      </c>
      <c r="B113" s="35">
        <v>0</v>
      </c>
      <c r="C113" s="35" t="s">
        <v>461</v>
      </c>
      <c r="D113" s="36" t="s">
        <v>462</v>
      </c>
      <c r="E113" s="36" t="s">
        <v>463</v>
      </c>
      <c r="F113" s="36" t="s">
        <v>464</v>
      </c>
      <c r="G113" s="89" t="s">
        <v>76</v>
      </c>
      <c r="H113" s="50" t="s">
        <v>77</v>
      </c>
      <c r="I113" s="51"/>
      <c r="J113" s="52"/>
      <c r="K113" s="26">
        <v>2</v>
      </c>
      <c r="L113" s="25">
        <v>2</v>
      </c>
      <c r="M113" s="25">
        <v>1</v>
      </c>
      <c r="N113" s="25">
        <v>1</v>
      </c>
      <c r="O113" s="25">
        <v>1</v>
      </c>
      <c r="P113" s="25">
        <v>1</v>
      </c>
      <c r="Q113" s="25">
        <v>0</v>
      </c>
      <c r="R113" s="25">
        <v>1</v>
      </c>
      <c r="S113" s="25">
        <v>1</v>
      </c>
      <c r="T113" s="25">
        <v>0</v>
      </c>
      <c r="U113" s="25">
        <v>0</v>
      </c>
      <c r="V113" s="25">
        <v>0</v>
      </c>
      <c r="W113" s="25">
        <v>0</v>
      </c>
      <c r="X113" s="21">
        <f t="shared" si="0"/>
        <v>10</v>
      </c>
      <c r="Y113" s="27">
        <f t="shared" si="1"/>
        <v>23.809523809523807</v>
      </c>
      <c r="Z113" s="22" t="str">
        <f t="shared" si="2"/>
        <v>Deficiente</v>
      </c>
    </row>
    <row r="114" spans="1:26" ht="15.75" customHeight="1">
      <c r="A114" s="35">
        <v>21604096</v>
      </c>
      <c r="B114" s="35">
        <v>1</v>
      </c>
      <c r="C114" s="35" t="s">
        <v>465</v>
      </c>
      <c r="D114" s="36" t="s">
        <v>466</v>
      </c>
      <c r="E114" s="36" t="s">
        <v>467</v>
      </c>
      <c r="F114" s="36" t="s">
        <v>468</v>
      </c>
      <c r="G114" s="89" t="s">
        <v>76</v>
      </c>
      <c r="H114" s="50" t="s">
        <v>77</v>
      </c>
      <c r="I114" s="51"/>
      <c r="J114" s="52"/>
      <c r="K114" s="26">
        <v>2</v>
      </c>
      <c r="L114" s="25">
        <v>3</v>
      </c>
      <c r="M114" s="25">
        <v>2</v>
      </c>
      <c r="N114" s="25">
        <v>2</v>
      </c>
      <c r="O114" s="25">
        <v>1</v>
      </c>
      <c r="P114" s="25">
        <v>2</v>
      </c>
      <c r="Q114" s="25">
        <v>2</v>
      </c>
      <c r="R114" s="25">
        <v>0</v>
      </c>
      <c r="S114" s="25">
        <v>1</v>
      </c>
      <c r="T114" s="25">
        <v>0</v>
      </c>
      <c r="U114" s="25">
        <v>0</v>
      </c>
      <c r="V114" s="25">
        <v>1</v>
      </c>
      <c r="W114" s="25">
        <v>0</v>
      </c>
      <c r="X114" s="21">
        <f t="shared" si="0"/>
        <v>16</v>
      </c>
      <c r="Y114" s="27">
        <f t="shared" si="1"/>
        <v>38.095238095238095</v>
      </c>
      <c r="Z114" s="22" t="str">
        <f t="shared" si="2"/>
        <v>Deficiente</v>
      </c>
    </row>
    <row r="115" spans="1:26" ht="15.75" customHeight="1">
      <c r="A115" s="28">
        <v>21759631</v>
      </c>
      <c r="B115" s="28">
        <v>9</v>
      </c>
      <c r="C115" s="35" t="s">
        <v>469</v>
      </c>
      <c r="D115" s="29" t="s">
        <v>466</v>
      </c>
      <c r="E115" s="29" t="s">
        <v>470</v>
      </c>
      <c r="F115" s="29" t="s">
        <v>471</v>
      </c>
      <c r="G115" s="90"/>
      <c r="H115" s="47" t="s">
        <v>110</v>
      </c>
      <c r="I115" s="48"/>
      <c r="J115" s="49"/>
      <c r="K115" s="32"/>
      <c r="L115" s="33"/>
      <c r="M115" s="33"/>
      <c r="N115" s="33"/>
      <c r="O115" s="33"/>
      <c r="P115" s="33"/>
      <c r="Q115" s="33"/>
      <c r="R115" s="33"/>
      <c r="S115" s="33"/>
      <c r="T115" s="33"/>
      <c r="U115" s="33"/>
      <c r="V115" s="33"/>
      <c r="W115" s="33"/>
      <c r="X115" s="33">
        <f t="shared" si="0"/>
        <v>0</v>
      </c>
      <c r="Y115" s="34">
        <f t="shared" si="1"/>
        <v>0</v>
      </c>
      <c r="Z115" s="22" t="str">
        <f t="shared" si="2"/>
        <v>Deficiente</v>
      </c>
    </row>
    <row r="116" spans="1:26" ht="15.75" customHeight="1">
      <c r="A116" s="28">
        <v>21637267</v>
      </c>
      <c r="B116" s="28">
        <v>0</v>
      </c>
      <c r="C116" s="35" t="s">
        <v>472</v>
      </c>
      <c r="D116" s="29" t="s">
        <v>473</v>
      </c>
      <c r="E116" s="29" t="s">
        <v>323</v>
      </c>
      <c r="F116" s="29" t="s">
        <v>474</v>
      </c>
      <c r="G116" s="90"/>
      <c r="H116" s="47" t="s">
        <v>110</v>
      </c>
      <c r="I116" s="48"/>
      <c r="J116" s="49"/>
      <c r="K116" s="32"/>
      <c r="L116" s="33"/>
      <c r="M116" s="33"/>
      <c r="N116" s="33"/>
      <c r="O116" s="33"/>
      <c r="P116" s="33"/>
      <c r="Q116" s="33"/>
      <c r="R116" s="33"/>
      <c r="S116" s="33"/>
      <c r="T116" s="33"/>
      <c r="U116" s="33"/>
      <c r="V116" s="33"/>
      <c r="W116" s="33"/>
      <c r="X116" s="33">
        <f t="shared" si="0"/>
        <v>0</v>
      </c>
      <c r="Y116" s="34">
        <f t="shared" si="1"/>
        <v>0</v>
      </c>
      <c r="Z116" s="22" t="str">
        <f t="shared" si="2"/>
        <v>Deficiente</v>
      </c>
    </row>
    <row r="117" spans="1:26" ht="15.75" customHeight="1">
      <c r="A117" s="28">
        <v>21823290</v>
      </c>
      <c r="B117" s="28">
        <v>6</v>
      </c>
      <c r="C117" s="35" t="s">
        <v>475</v>
      </c>
      <c r="D117" s="29" t="s">
        <v>473</v>
      </c>
      <c r="E117" s="29" t="s">
        <v>476</v>
      </c>
      <c r="F117" s="29" t="s">
        <v>298</v>
      </c>
      <c r="G117" s="90"/>
      <c r="H117" s="47" t="s">
        <v>110</v>
      </c>
      <c r="I117" s="48"/>
      <c r="J117" s="49"/>
      <c r="K117" s="32"/>
      <c r="L117" s="33"/>
      <c r="M117" s="33"/>
      <c r="N117" s="33"/>
      <c r="O117" s="33"/>
      <c r="P117" s="33"/>
      <c r="Q117" s="33"/>
      <c r="R117" s="33"/>
      <c r="S117" s="33"/>
      <c r="T117" s="33"/>
      <c r="U117" s="33"/>
      <c r="V117" s="33"/>
      <c r="W117" s="33"/>
      <c r="X117" s="33">
        <f t="shared" si="0"/>
        <v>0</v>
      </c>
      <c r="Y117" s="34">
        <f t="shared" si="1"/>
        <v>0</v>
      </c>
      <c r="Z117" s="22" t="str">
        <f t="shared" si="2"/>
        <v>Deficiente</v>
      </c>
    </row>
    <row r="118" spans="1:26" ht="15.75" customHeight="1">
      <c r="A118" s="28">
        <v>21445921</v>
      </c>
      <c r="B118" s="28">
        <v>3</v>
      </c>
      <c r="C118" s="35" t="s">
        <v>477</v>
      </c>
      <c r="D118" s="29" t="s">
        <v>478</v>
      </c>
      <c r="E118" s="29" t="s">
        <v>479</v>
      </c>
      <c r="F118" s="29" t="s">
        <v>480</v>
      </c>
      <c r="G118" s="90"/>
      <c r="H118" s="47" t="s">
        <v>110</v>
      </c>
      <c r="I118" s="48"/>
      <c r="J118" s="49"/>
      <c r="K118" s="32"/>
      <c r="L118" s="33"/>
      <c r="M118" s="33"/>
      <c r="N118" s="33"/>
      <c r="O118" s="33"/>
      <c r="P118" s="33"/>
      <c r="Q118" s="33"/>
      <c r="R118" s="33"/>
      <c r="S118" s="33"/>
      <c r="T118" s="33"/>
      <c r="U118" s="33"/>
      <c r="V118" s="33"/>
      <c r="W118" s="33"/>
      <c r="X118" s="33">
        <f t="shared" si="0"/>
        <v>0</v>
      </c>
      <c r="Y118" s="34">
        <f t="shared" si="1"/>
        <v>0</v>
      </c>
      <c r="Z118" s="22" t="str">
        <f t="shared" si="2"/>
        <v>Deficiente</v>
      </c>
    </row>
    <row r="119" spans="1:26" ht="15.75" customHeight="1">
      <c r="A119" s="28">
        <v>27020561</v>
      </c>
      <c r="B119" s="28">
        <v>5</v>
      </c>
      <c r="C119" s="35" t="s">
        <v>481</v>
      </c>
      <c r="D119" s="29" t="s">
        <v>482</v>
      </c>
      <c r="E119" s="29" t="s">
        <v>483</v>
      </c>
      <c r="F119" s="29" t="s">
        <v>484</v>
      </c>
      <c r="G119" s="90"/>
      <c r="H119" s="47" t="s">
        <v>110</v>
      </c>
      <c r="I119" s="48"/>
      <c r="J119" s="49"/>
      <c r="K119" s="32"/>
      <c r="L119" s="33"/>
      <c r="M119" s="33"/>
      <c r="N119" s="33"/>
      <c r="O119" s="33"/>
      <c r="P119" s="33"/>
      <c r="Q119" s="33"/>
      <c r="R119" s="33"/>
      <c r="S119" s="33"/>
      <c r="T119" s="33"/>
      <c r="U119" s="33"/>
      <c r="V119" s="33"/>
      <c r="W119" s="33"/>
      <c r="X119" s="33">
        <f t="shared" si="0"/>
        <v>0</v>
      </c>
      <c r="Y119" s="34">
        <f t="shared" si="1"/>
        <v>0</v>
      </c>
      <c r="Z119" s="22" t="str">
        <f t="shared" si="2"/>
        <v>Deficiente</v>
      </c>
    </row>
    <row r="120" spans="1:26" ht="15.75" customHeight="1">
      <c r="A120" s="28">
        <v>21688226</v>
      </c>
      <c r="B120" s="28">
        <v>1</v>
      </c>
      <c r="C120" s="35" t="s">
        <v>485</v>
      </c>
      <c r="D120" s="29" t="s">
        <v>258</v>
      </c>
      <c r="E120" s="29" t="s">
        <v>449</v>
      </c>
      <c r="F120" s="29" t="s">
        <v>486</v>
      </c>
      <c r="G120" s="90"/>
      <c r="H120" s="47" t="s">
        <v>110</v>
      </c>
      <c r="I120" s="48"/>
      <c r="J120" s="49"/>
      <c r="K120" s="32"/>
      <c r="L120" s="33"/>
      <c r="M120" s="33"/>
      <c r="N120" s="33"/>
      <c r="O120" s="33"/>
      <c r="P120" s="33"/>
      <c r="Q120" s="33"/>
      <c r="R120" s="33"/>
      <c r="S120" s="33"/>
      <c r="T120" s="33"/>
      <c r="U120" s="33"/>
      <c r="V120" s="33"/>
      <c r="W120" s="33"/>
      <c r="X120" s="33">
        <f t="shared" si="0"/>
        <v>0</v>
      </c>
      <c r="Y120" s="34">
        <f t="shared" si="1"/>
        <v>0</v>
      </c>
      <c r="Z120" s="22" t="str">
        <f t="shared" si="2"/>
        <v>Deficiente</v>
      </c>
    </row>
    <row r="121" spans="1:26" ht="15.75" customHeight="1">
      <c r="C121" s="35" t="s">
        <v>487</v>
      </c>
      <c r="D121" s="87" t="s">
        <v>488</v>
      </c>
      <c r="F121" s="87" t="s">
        <v>489</v>
      </c>
      <c r="G121" s="89" t="s">
        <v>490</v>
      </c>
      <c r="H121" s="50" t="s">
        <v>77</v>
      </c>
      <c r="I121" s="51"/>
      <c r="J121" s="52"/>
      <c r="K121" s="26">
        <v>3</v>
      </c>
      <c r="L121" s="25">
        <v>3</v>
      </c>
      <c r="M121" s="25">
        <v>3</v>
      </c>
      <c r="N121" s="25">
        <v>1</v>
      </c>
      <c r="O121" s="25">
        <v>1</v>
      </c>
      <c r="P121" s="25">
        <v>1</v>
      </c>
      <c r="Q121" s="25">
        <v>1</v>
      </c>
      <c r="R121" s="25">
        <v>0</v>
      </c>
      <c r="S121" s="25">
        <v>1</v>
      </c>
      <c r="T121" s="25">
        <v>1</v>
      </c>
      <c r="U121" s="25">
        <v>0</v>
      </c>
      <c r="V121" s="25">
        <v>0</v>
      </c>
      <c r="W121" s="25">
        <v>0</v>
      </c>
      <c r="X121" s="21">
        <f t="shared" si="0"/>
        <v>15</v>
      </c>
      <c r="Y121" s="27">
        <f t="shared" si="1"/>
        <v>35.714285714285715</v>
      </c>
      <c r="Z121" s="22" t="str">
        <f t="shared" si="2"/>
        <v>Deficiente</v>
      </c>
    </row>
    <row r="122" spans="1:26" ht="15.75" customHeight="1">
      <c r="J122" s="87" t="s">
        <v>491</v>
      </c>
      <c r="K122" s="54">
        <f t="shared" ref="K122:W122" si="3">SUM(K5:K121)/(3*COUNT(K5:K121))*100</f>
        <v>67.156862745098039</v>
      </c>
      <c r="L122" s="54">
        <f t="shared" si="3"/>
        <v>70.098039215686271</v>
      </c>
      <c r="M122" s="54">
        <f t="shared" si="3"/>
        <v>59.803921568627452</v>
      </c>
      <c r="N122" s="54">
        <f t="shared" si="3"/>
        <v>56.372549019607845</v>
      </c>
      <c r="O122" s="54">
        <f t="shared" si="3"/>
        <v>65.686274509803923</v>
      </c>
      <c r="P122" s="54">
        <f t="shared" si="3"/>
        <v>46.568627450980394</v>
      </c>
      <c r="Q122" s="54">
        <f t="shared" si="3"/>
        <v>67.64705882352942</v>
      </c>
      <c r="R122" s="54">
        <f t="shared" si="3"/>
        <v>51.470588235294116</v>
      </c>
      <c r="S122" s="54">
        <f t="shared" si="3"/>
        <v>48.03921568627451</v>
      </c>
      <c r="T122" s="54">
        <f t="shared" si="3"/>
        <v>38.805970149253731</v>
      </c>
      <c r="U122" s="54">
        <f t="shared" si="3"/>
        <v>33.82352941176471</v>
      </c>
      <c r="V122" s="54">
        <f t="shared" si="3"/>
        <v>43.627450980392155</v>
      </c>
      <c r="W122" s="54">
        <f t="shared" si="3"/>
        <v>28.431372549019606</v>
      </c>
      <c r="X122" s="54">
        <f t="shared" ref="X122:Y122" si="4">AVERAGEIF(X5:X121, "&gt;0", X5:X121)</f>
        <v>20.308823529411764</v>
      </c>
      <c r="Y122" s="54">
        <f t="shared" si="4"/>
        <v>48.354341736694678</v>
      </c>
      <c r="Z122" s="22" t="str">
        <f t="shared" si="2"/>
        <v>Insuficiente</v>
      </c>
    </row>
  </sheetData>
  <mergeCells count="5">
    <mergeCell ref="A1:J2"/>
    <mergeCell ref="K1:M2"/>
    <mergeCell ref="N1:Q2"/>
    <mergeCell ref="R1:W2"/>
    <mergeCell ref="X1:Z2"/>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ErrorMessage="1" xr:uid="{00000000-0002-0000-0200-000000000000}">
          <x14:formula1>
            <xm:f>'Validación datos NO BORRAR'!$F$4:$F$6</xm:f>
          </x14:formula1>
          <xm:sqref>I4</xm:sqref>
        </x14:dataValidation>
        <x14:dataValidation type="list" allowBlank="1" showErrorMessage="1" xr:uid="{00000000-0002-0000-0200-000001000000}">
          <x14:formula1>
            <xm:f>'Validación datos NO BORRAR'!$E$4:$E$9</xm:f>
          </x14:formula1>
          <xm:sqref>G4:G121</xm:sqref>
        </x14:dataValidation>
        <x14:dataValidation type="list" allowBlank="1" showErrorMessage="1" xr:uid="{00000000-0002-0000-0200-000002000000}">
          <x14:formula1>
            <xm:f>'Validación datos NO BORRAR'!$G$4:$G$6</xm:f>
          </x14:formula1>
          <xm:sqref>J4:J121</xm:sqref>
        </x14:dataValidation>
        <x14:dataValidation type="list" allowBlank="1" showErrorMessage="1" xr:uid="{00000000-0002-0000-0200-000003000000}">
          <x14:formula1>
            <xm:f>'Validación datos NO BORRAR'!$F$4:$F$7</xm:f>
          </x14:formula1>
          <xm:sqref>H4:H121</xm:sqref>
        </x14:dataValidation>
        <x14:dataValidation type="list" allowBlank="1" showErrorMessage="1" xr:uid="{00000000-0002-0000-0200-000004000000}">
          <x14:formula1>
            <xm:f>'Validación datos NO BORRAR'!$H$4:$H$7</xm:f>
          </x14:formula1>
          <xm:sqref>K4:W121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0"/>
  <sheetViews>
    <sheetView topLeftCell="F1" workbookViewId="0">
      <selection activeCell="C2" sqref="C2"/>
    </sheetView>
  </sheetViews>
  <sheetFormatPr defaultColWidth="12.5703125" defaultRowHeight="15" customHeight="1"/>
  <cols>
    <col min="1" max="1" width="18.85546875" customWidth="1"/>
    <col min="2" max="3" width="28.140625" customWidth="1"/>
    <col min="4" max="4" width="10.5703125" customWidth="1"/>
    <col min="5" max="5" width="15.5703125" customWidth="1"/>
    <col min="6" max="6" width="14.140625" customWidth="1"/>
    <col min="7" max="8" width="10.5703125" customWidth="1"/>
    <col min="9" max="9" width="12.28515625" customWidth="1"/>
    <col min="10" max="10" width="15.42578125" customWidth="1"/>
    <col min="11" max="16" width="10.5703125" customWidth="1"/>
    <col min="17" max="17" width="12.7109375" customWidth="1"/>
    <col min="18" max="18" width="14.28515625" customWidth="1"/>
    <col min="19" max="19" width="12.7109375" customWidth="1"/>
    <col min="20" max="25" width="10.5703125" customWidth="1"/>
  </cols>
  <sheetData>
    <row r="1" spans="1:19" ht="15" customHeight="1">
      <c r="D1" s="110" t="s">
        <v>492</v>
      </c>
      <c r="E1" s="111"/>
      <c r="F1" s="112"/>
      <c r="G1" s="116" t="s">
        <v>493</v>
      </c>
      <c r="H1" s="153"/>
      <c r="I1" s="153"/>
      <c r="J1" s="154"/>
      <c r="K1" s="117" t="s">
        <v>494</v>
      </c>
      <c r="L1" s="153"/>
      <c r="M1" s="153"/>
      <c r="N1" s="153"/>
      <c r="O1" s="153"/>
      <c r="P1" s="154"/>
      <c r="Q1" s="109" t="s">
        <v>495</v>
      </c>
      <c r="R1" s="153"/>
      <c r="S1" s="154"/>
    </row>
    <row r="2" spans="1:19" ht="197.25" customHeight="1">
      <c r="D2" s="113"/>
      <c r="E2" s="114"/>
      <c r="F2" s="115"/>
      <c r="G2" s="158"/>
      <c r="H2" s="159"/>
      <c r="I2" s="159"/>
      <c r="J2" s="160"/>
      <c r="K2" s="158"/>
      <c r="L2" s="159"/>
      <c r="M2" s="159"/>
      <c r="N2" s="159"/>
      <c r="O2" s="159"/>
      <c r="P2" s="160"/>
      <c r="Q2" s="158"/>
      <c r="R2" s="140"/>
      <c r="S2" s="160"/>
    </row>
    <row r="3" spans="1:19" ht="105.75" customHeight="1">
      <c r="A3" s="55" t="s">
        <v>496</v>
      </c>
      <c r="B3" s="56" t="s">
        <v>497</v>
      </c>
      <c r="C3" s="56" t="s">
        <v>498</v>
      </c>
      <c r="D3" s="57" t="s">
        <v>499</v>
      </c>
      <c r="E3" s="57" t="s">
        <v>500</v>
      </c>
      <c r="F3" s="57" t="s">
        <v>501</v>
      </c>
      <c r="G3" s="58" t="s">
        <v>59</v>
      </c>
      <c r="H3" s="58" t="s">
        <v>60</v>
      </c>
      <c r="I3" s="58" t="s">
        <v>61</v>
      </c>
      <c r="J3" s="59" t="s">
        <v>62</v>
      </c>
      <c r="K3" s="60" t="s">
        <v>63</v>
      </c>
      <c r="L3" s="60" t="s">
        <v>64</v>
      </c>
      <c r="M3" s="60" t="s">
        <v>65</v>
      </c>
      <c r="N3" s="60" t="s">
        <v>66</v>
      </c>
      <c r="O3" s="60" t="s">
        <v>67</v>
      </c>
      <c r="P3" s="60" t="s">
        <v>68</v>
      </c>
      <c r="Q3" s="61" t="s">
        <v>69</v>
      </c>
      <c r="R3" s="61" t="s">
        <v>502</v>
      </c>
      <c r="S3" s="61" t="s">
        <v>71</v>
      </c>
    </row>
    <row r="4" spans="1:19">
      <c r="A4" s="62">
        <v>113</v>
      </c>
      <c r="B4" s="62">
        <v>68</v>
      </c>
      <c r="C4" s="63">
        <f>B4 / A4 * 100</f>
        <v>60.176991150442483</v>
      </c>
      <c r="D4" s="62">
        <v>67.2</v>
      </c>
      <c r="E4" s="62">
        <v>70.099999999999994</v>
      </c>
      <c r="F4" s="62">
        <v>59.8</v>
      </c>
      <c r="G4" s="62">
        <v>56.4</v>
      </c>
      <c r="H4" s="62">
        <v>65.7</v>
      </c>
      <c r="I4" s="62">
        <v>46.6</v>
      </c>
      <c r="J4" s="62">
        <v>67.599999999999994</v>
      </c>
      <c r="K4" s="62">
        <v>51.5</v>
      </c>
      <c r="L4" s="62">
        <v>48</v>
      </c>
      <c r="M4" s="62">
        <v>38.799999999999997</v>
      </c>
      <c r="N4" s="62">
        <v>33.799999999999997</v>
      </c>
      <c r="O4" s="62">
        <v>43.6</v>
      </c>
      <c r="P4" s="62">
        <v>28.4</v>
      </c>
      <c r="Q4" s="62">
        <v>20.3</v>
      </c>
      <c r="R4" s="62">
        <v>48.4</v>
      </c>
      <c r="S4" s="62" t="s">
        <v>503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1:F2"/>
    <mergeCell ref="G1:J2"/>
    <mergeCell ref="K1:P2"/>
    <mergeCell ref="Q1:S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E1:T1000"/>
  <sheetViews>
    <sheetView workbookViewId="0"/>
  </sheetViews>
  <sheetFormatPr defaultColWidth="12.5703125" defaultRowHeight="15" customHeight="1"/>
  <cols>
    <col min="1" max="4" width="10.5703125" customWidth="1"/>
    <col min="5" max="5" width="71" customWidth="1"/>
    <col min="6" max="6" width="20.140625" customWidth="1"/>
    <col min="7" max="7" width="31.7109375" customWidth="1"/>
    <col min="8" max="8" width="16.28515625" customWidth="1"/>
    <col min="9" max="10" width="10.5703125" customWidth="1"/>
    <col min="11" max="11" width="13.42578125" customWidth="1"/>
    <col min="12" max="12" width="15.28515625" customWidth="1"/>
    <col min="13" max="13" width="16.28515625" customWidth="1"/>
    <col min="14" max="14" width="13.85546875" customWidth="1"/>
    <col min="15" max="15" width="14.42578125" customWidth="1"/>
    <col min="16" max="16" width="16" customWidth="1"/>
    <col min="17" max="17" width="17.140625" customWidth="1"/>
    <col min="18" max="18" width="15.5703125" customWidth="1"/>
    <col min="19" max="19" width="16" customWidth="1"/>
    <col min="20" max="20" width="15" customWidth="1"/>
    <col min="21" max="25" width="10.5703125" customWidth="1"/>
  </cols>
  <sheetData>
    <row r="1" spans="5:20">
      <c r="H1" s="111" t="s">
        <v>504</v>
      </c>
      <c r="I1" s="153"/>
      <c r="J1" s="153"/>
      <c r="K1" s="116" t="s">
        <v>505</v>
      </c>
      <c r="L1" s="153"/>
      <c r="M1" s="153"/>
      <c r="N1" s="154"/>
      <c r="O1" s="118" t="s">
        <v>506</v>
      </c>
      <c r="P1" s="153"/>
      <c r="Q1" s="153"/>
      <c r="R1" s="153"/>
      <c r="S1" s="153"/>
      <c r="T1" s="154"/>
    </row>
    <row r="2" spans="5:20" ht="64.5" customHeight="1">
      <c r="H2" s="119"/>
      <c r="I2" s="149"/>
      <c r="J2" s="148"/>
      <c r="K2" s="119"/>
      <c r="L2" s="149"/>
      <c r="M2" s="149"/>
      <c r="N2" s="148"/>
      <c r="O2" s="119"/>
      <c r="P2" s="149"/>
      <c r="Q2" s="149"/>
      <c r="R2" s="149"/>
      <c r="S2" s="149"/>
      <c r="T2" s="148"/>
    </row>
    <row r="3" spans="5:20" ht="90">
      <c r="E3" s="64" t="s">
        <v>507</v>
      </c>
      <c r="F3" s="65" t="s">
        <v>53</v>
      </c>
      <c r="G3" s="65" t="s">
        <v>508</v>
      </c>
      <c r="H3" s="81" t="s">
        <v>56</v>
      </c>
      <c r="I3" s="82" t="s">
        <v>57</v>
      </c>
      <c r="J3" s="82" t="s">
        <v>58</v>
      </c>
      <c r="K3" s="83" t="s">
        <v>59</v>
      </c>
      <c r="L3" s="84" t="s">
        <v>60</v>
      </c>
      <c r="M3" s="84" t="s">
        <v>61</v>
      </c>
      <c r="N3" s="85" t="s">
        <v>62</v>
      </c>
      <c r="O3" s="66" t="s">
        <v>63</v>
      </c>
      <c r="P3" s="66" t="s">
        <v>64</v>
      </c>
      <c r="Q3" s="66" t="s">
        <v>65</v>
      </c>
      <c r="R3" s="66" t="s">
        <v>66</v>
      </c>
      <c r="S3" s="66" t="s">
        <v>67</v>
      </c>
      <c r="T3" s="66" t="s">
        <v>68</v>
      </c>
    </row>
    <row r="4" spans="5:20">
      <c r="E4" s="52" t="s">
        <v>76</v>
      </c>
      <c r="F4" s="44" t="s">
        <v>77</v>
      </c>
      <c r="G4" s="52" t="s">
        <v>509</v>
      </c>
      <c r="H4" s="67">
        <v>0</v>
      </c>
      <c r="I4" s="52">
        <v>0</v>
      </c>
      <c r="J4" s="52">
        <v>0</v>
      </c>
      <c r="K4" s="52">
        <v>0</v>
      </c>
      <c r="L4" s="52">
        <v>0</v>
      </c>
      <c r="M4" s="52">
        <v>0</v>
      </c>
      <c r="N4" s="52">
        <v>0</v>
      </c>
      <c r="O4" s="52">
        <v>0</v>
      </c>
      <c r="P4" s="52">
        <v>0</v>
      </c>
      <c r="Q4" s="52">
        <v>0</v>
      </c>
      <c r="R4" s="52">
        <v>0</v>
      </c>
      <c r="S4" s="52">
        <v>0</v>
      </c>
      <c r="T4" s="52">
        <v>0</v>
      </c>
    </row>
    <row r="5" spans="5:20">
      <c r="E5" s="52" t="s">
        <v>510</v>
      </c>
      <c r="F5" s="44" t="s">
        <v>110</v>
      </c>
      <c r="G5" s="52" t="s">
        <v>511</v>
      </c>
      <c r="H5" s="67">
        <v>1</v>
      </c>
      <c r="I5" s="52">
        <v>1</v>
      </c>
      <c r="J5" s="52">
        <v>1</v>
      </c>
      <c r="K5" s="52">
        <v>1</v>
      </c>
      <c r="L5" s="52">
        <v>1</v>
      </c>
      <c r="M5" s="52">
        <v>1</v>
      </c>
      <c r="N5" s="52">
        <v>1</v>
      </c>
      <c r="O5" s="52">
        <v>1</v>
      </c>
      <c r="P5" s="52">
        <v>1</v>
      </c>
      <c r="Q5" s="52">
        <v>1</v>
      </c>
      <c r="R5" s="52">
        <v>1</v>
      </c>
      <c r="S5" s="52">
        <v>1</v>
      </c>
      <c r="T5" s="52">
        <v>1</v>
      </c>
    </row>
    <row r="6" spans="5:20">
      <c r="E6" s="52" t="s">
        <v>490</v>
      </c>
      <c r="F6" s="44" t="s">
        <v>512</v>
      </c>
      <c r="G6" s="52" t="s">
        <v>78</v>
      </c>
      <c r="H6" s="67">
        <v>2</v>
      </c>
      <c r="I6" s="52">
        <v>2</v>
      </c>
      <c r="J6" s="52">
        <v>2</v>
      </c>
      <c r="K6" s="52">
        <v>2</v>
      </c>
      <c r="L6" s="52">
        <v>2</v>
      </c>
      <c r="M6" s="52">
        <v>2</v>
      </c>
      <c r="N6" s="52">
        <v>2</v>
      </c>
      <c r="O6" s="52">
        <v>2</v>
      </c>
      <c r="P6" s="52">
        <v>2</v>
      </c>
      <c r="Q6" s="52">
        <v>2</v>
      </c>
      <c r="R6" s="52">
        <v>2</v>
      </c>
      <c r="S6" s="52">
        <v>2</v>
      </c>
      <c r="T6" s="52">
        <v>2</v>
      </c>
    </row>
    <row r="7" spans="5:20">
      <c r="E7" s="52" t="s">
        <v>513</v>
      </c>
      <c r="F7" s="52" t="s">
        <v>78</v>
      </c>
      <c r="G7" s="52"/>
      <c r="H7" s="67">
        <v>3</v>
      </c>
      <c r="I7" s="52">
        <v>3</v>
      </c>
      <c r="J7" s="52">
        <v>3</v>
      </c>
      <c r="K7" s="52">
        <v>3</v>
      </c>
      <c r="L7" s="52">
        <v>3</v>
      </c>
      <c r="M7" s="52">
        <v>3</v>
      </c>
      <c r="N7" s="52">
        <v>3</v>
      </c>
      <c r="O7" s="52">
        <v>3</v>
      </c>
      <c r="P7" s="52">
        <v>3</v>
      </c>
      <c r="Q7" s="52">
        <v>3</v>
      </c>
      <c r="R7" s="52">
        <v>3</v>
      </c>
      <c r="S7" s="52">
        <v>3</v>
      </c>
      <c r="T7" s="52">
        <v>3</v>
      </c>
    </row>
    <row r="8" spans="5:20">
      <c r="E8" s="52" t="s">
        <v>91</v>
      </c>
      <c r="F8" s="52"/>
      <c r="G8" s="52"/>
      <c r="H8" s="67"/>
      <c r="I8" s="52"/>
      <c r="J8" s="52"/>
      <c r="K8" s="52"/>
      <c r="L8" s="52"/>
      <c r="M8" s="52"/>
      <c r="N8" s="52"/>
      <c r="O8" s="52"/>
      <c r="P8" s="52"/>
      <c r="Q8" s="52"/>
      <c r="R8" s="52"/>
      <c r="S8" s="52"/>
      <c r="T8" s="52"/>
    </row>
    <row r="9" spans="5:20">
      <c r="E9" s="52" t="s">
        <v>514</v>
      </c>
      <c r="F9" s="52"/>
      <c r="G9" s="52"/>
      <c r="H9" s="67"/>
      <c r="I9" s="52"/>
      <c r="J9" s="52"/>
      <c r="K9" s="52"/>
      <c r="L9" s="52"/>
      <c r="M9" s="52"/>
      <c r="N9" s="52"/>
      <c r="O9" s="52"/>
      <c r="P9" s="52"/>
      <c r="Q9" s="52"/>
      <c r="R9" s="52"/>
      <c r="S9" s="52"/>
      <c r="T9" s="52"/>
    </row>
    <row r="10" spans="5:20">
      <c r="E10" s="52"/>
      <c r="F10" s="52"/>
      <c r="G10" s="52"/>
      <c r="H10" s="67"/>
      <c r="I10" s="52"/>
      <c r="J10" s="52"/>
      <c r="K10" s="52"/>
      <c r="L10" s="52"/>
      <c r="M10" s="52"/>
      <c r="N10" s="52"/>
      <c r="O10" s="52"/>
      <c r="P10" s="52"/>
      <c r="Q10" s="52"/>
      <c r="R10" s="52"/>
      <c r="S10" s="52"/>
      <c r="T10" s="52"/>
    </row>
    <row r="11" spans="5:20">
      <c r="E11" s="52"/>
      <c r="F11" s="52"/>
      <c r="G11" s="52"/>
      <c r="H11" s="67"/>
      <c r="I11" s="52"/>
      <c r="J11" s="52"/>
      <c r="K11" s="52"/>
      <c r="L11" s="52"/>
      <c r="M11" s="52"/>
      <c r="N11" s="52"/>
      <c r="O11" s="52"/>
      <c r="P11" s="52"/>
      <c r="Q11" s="52"/>
      <c r="R11" s="52"/>
      <c r="S11" s="52"/>
      <c r="T11" s="52"/>
    </row>
    <row r="12" spans="5:20">
      <c r="E12" s="52"/>
      <c r="F12" s="52"/>
      <c r="G12" s="52"/>
      <c r="H12" s="67"/>
      <c r="I12" s="52"/>
      <c r="J12" s="52"/>
      <c r="K12" s="52"/>
      <c r="L12" s="52"/>
      <c r="M12" s="52"/>
      <c r="N12" s="52"/>
      <c r="O12" s="52"/>
      <c r="P12" s="52"/>
      <c r="Q12" s="52"/>
      <c r="R12" s="52"/>
      <c r="S12" s="52"/>
      <c r="T12" s="52"/>
    </row>
    <row r="13" spans="5:20">
      <c r="E13" s="52"/>
      <c r="F13" s="52"/>
      <c r="G13" s="52"/>
      <c r="H13" s="67"/>
      <c r="I13" s="52"/>
      <c r="J13" s="52"/>
      <c r="K13" s="52"/>
      <c r="L13" s="52"/>
      <c r="M13" s="52"/>
      <c r="N13" s="52"/>
      <c r="O13" s="52"/>
      <c r="P13" s="52"/>
      <c r="Q13" s="52"/>
      <c r="R13" s="52"/>
      <c r="S13" s="52"/>
      <c r="T13" s="52"/>
    </row>
    <row r="14" spans="5:20">
      <c r="E14" s="52"/>
      <c r="F14" s="52"/>
      <c r="G14" s="52"/>
      <c r="H14" s="67"/>
      <c r="I14" s="52"/>
      <c r="J14" s="52"/>
      <c r="K14" s="52"/>
      <c r="L14" s="52"/>
      <c r="M14" s="52"/>
      <c r="N14" s="52"/>
      <c r="O14" s="52"/>
      <c r="P14" s="52"/>
      <c r="Q14" s="52"/>
      <c r="R14" s="52"/>
      <c r="S14" s="52"/>
      <c r="T14" s="52"/>
    </row>
    <row r="15" spans="5:20">
      <c r="E15" s="52"/>
      <c r="F15" s="52"/>
      <c r="G15" s="52"/>
      <c r="H15" s="67"/>
      <c r="I15" s="52"/>
      <c r="J15" s="52"/>
      <c r="K15" s="52"/>
      <c r="L15" s="52"/>
      <c r="M15" s="52"/>
      <c r="N15" s="52"/>
      <c r="O15" s="52"/>
      <c r="P15" s="52"/>
      <c r="Q15" s="52"/>
      <c r="R15" s="52"/>
      <c r="S15" s="52"/>
      <c r="T15" s="52"/>
    </row>
    <row r="16" spans="5:20">
      <c r="E16" s="52"/>
      <c r="F16" s="52"/>
      <c r="G16" s="52"/>
      <c r="H16" s="67"/>
      <c r="I16" s="52"/>
      <c r="J16" s="52"/>
      <c r="K16" s="52"/>
      <c r="L16" s="52"/>
      <c r="M16" s="52"/>
      <c r="N16" s="52"/>
      <c r="O16" s="52"/>
      <c r="P16" s="52"/>
      <c r="Q16" s="52"/>
      <c r="R16" s="52"/>
      <c r="S16" s="52"/>
      <c r="T16" s="52"/>
    </row>
    <row r="17" spans="5:20">
      <c r="E17" s="52"/>
      <c r="F17" s="52"/>
      <c r="G17" s="52"/>
      <c r="H17" s="67"/>
      <c r="I17" s="52"/>
      <c r="J17" s="52"/>
      <c r="K17" s="52"/>
      <c r="L17" s="52"/>
      <c r="M17" s="52"/>
      <c r="N17" s="52"/>
      <c r="O17" s="52"/>
      <c r="P17" s="52"/>
      <c r="Q17" s="52"/>
      <c r="R17" s="52"/>
      <c r="S17" s="52"/>
      <c r="T17" s="52"/>
    </row>
    <row r="21" spans="5:20" ht="15.75" customHeight="1"/>
    <row r="22" spans="5:20" ht="15.75" customHeight="1"/>
    <row r="23" spans="5:20" ht="15.75" customHeight="1"/>
    <row r="24" spans="5:20" ht="15.75" customHeight="1"/>
    <row r="25" spans="5:20" ht="15.75" customHeight="1"/>
    <row r="26" spans="5:20" ht="15.75" customHeight="1"/>
    <row r="27" spans="5:20" ht="15.75" customHeight="1"/>
    <row r="28" spans="5:20" ht="15.75" customHeight="1"/>
    <row r="29" spans="5:20" ht="15.75" customHeight="1"/>
    <row r="30" spans="5:20" ht="15.75" customHeight="1"/>
    <row r="31" spans="5:20" ht="15.75" customHeight="1"/>
    <row r="32" spans="5: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H1:J1"/>
    <mergeCell ref="K1:N1"/>
    <mergeCell ref="O1:T1"/>
    <mergeCell ref="H2:J2"/>
    <mergeCell ref="K2:N2"/>
    <mergeCell ref="O2:T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0BDE4-1587-47DB-B887-E7DBB3AAE1DC}">
  <dimension ref="B1:L13"/>
  <sheetViews>
    <sheetView tabSelected="1" workbookViewId="0">
      <selection activeCell="D13" sqref="D13:K13"/>
    </sheetView>
  </sheetViews>
  <sheetFormatPr defaultColWidth="11.42578125" defaultRowHeight="15"/>
  <cols>
    <col min="1" max="1" width="4.28515625" style="69" customWidth="1"/>
    <col min="2" max="2" width="5.28515625" style="69" customWidth="1"/>
    <col min="3" max="3" width="17.7109375" style="69" customWidth="1"/>
    <col min="4" max="10" width="11.42578125" style="69"/>
    <col min="11" max="11" width="23.140625" style="69" customWidth="1"/>
    <col min="12" max="12" width="62.140625" style="69" customWidth="1"/>
    <col min="13" max="16384" width="11.42578125" style="69"/>
  </cols>
  <sheetData>
    <row r="1" spans="2:12" ht="48.75" customHeight="1">
      <c r="B1" s="121"/>
      <c r="C1" s="121"/>
      <c r="D1" s="121"/>
      <c r="E1" s="121"/>
      <c r="F1" s="121"/>
      <c r="G1" s="121"/>
      <c r="H1" s="121"/>
      <c r="I1" s="121"/>
      <c r="J1" s="121"/>
      <c r="K1" s="121"/>
      <c r="L1" s="121"/>
    </row>
    <row r="2" spans="2:12" ht="13.5" customHeight="1">
      <c r="B2" s="122" t="s">
        <v>515</v>
      </c>
      <c r="C2" s="122"/>
      <c r="D2" s="122"/>
      <c r="E2" s="122"/>
      <c r="F2" s="122"/>
      <c r="G2" s="122"/>
      <c r="H2" s="122"/>
      <c r="I2" s="122"/>
      <c r="J2" s="122"/>
      <c r="K2" s="122"/>
      <c r="L2" s="122"/>
    </row>
    <row r="3" spans="2:12" ht="15" customHeight="1">
      <c r="B3" s="122" t="s">
        <v>516</v>
      </c>
      <c r="C3" s="122"/>
      <c r="D3" s="122"/>
      <c r="E3" s="122"/>
      <c r="F3" s="122"/>
      <c r="G3" s="122"/>
      <c r="H3" s="122"/>
      <c r="I3" s="122"/>
      <c r="J3" s="122"/>
      <c r="K3" s="122"/>
      <c r="L3" s="122"/>
    </row>
    <row r="4" spans="2:12" ht="15" customHeight="1">
      <c r="B4" s="123" t="s">
        <v>517</v>
      </c>
      <c r="C4" s="123"/>
      <c r="D4" s="123"/>
      <c r="E4" s="123"/>
      <c r="F4" s="123"/>
      <c r="G4" s="123"/>
      <c r="H4" s="123"/>
      <c r="I4" s="123"/>
      <c r="J4" s="123"/>
      <c r="K4" s="123"/>
      <c r="L4" s="123"/>
    </row>
    <row r="5" spans="2:12" ht="13.5" customHeight="1">
      <c r="B5" s="124"/>
      <c r="C5" s="124"/>
      <c r="D5" s="124"/>
      <c r="E5" s="124"/>
      <c r="F5" s="124"/>
      <c r="G5" s="124"/>
      <c r="H5" s="124"/>
      <c r="I5" s="124"/>
      <c r="J5" s="124"/>
      <c r="K5" s="124"/>
      <c r="L5" s="124"/>
    </row>
    <row r="6" spans="2:12" ht="13.5" customHeight="1">
      <c r="B6" s="120" t="s">
        <v>518</v>
      </c>
      <c r="C6" s="120"/>
      <c r="D6" s="120"/>
      <c r="E6" s="120"/>
      <c r="F6" s="120"/>
      <c r="G6" s="120"/>
      <c r="H6" s="120"/>
      <c r="I6" s="120"/>
      <c r="J6" s="120"/>
      <c r="K6" s="120"/>
      <c r="L6" s="120"/>
    </row>
    <row r="7" spans="2:12">
      <c r="B7" s="128"/>
      <c r="C7" s="128"/>
      <c r="D7" s="128"/>
      <c r="E7" s="128"/>
      <c r="F7" s="128"/>
      <c r="G7" s="128"/>
      <c r="H7" s="128"/>
      <c r="I7" s="128"/>
      <c r="J7" s="128"/>
      <c r="K7" s="128"/>
      <c r="L7" s="128"/>
    </row>
    <row r="8" spans="2:12">
      <c r="B8" s="129" t="s">
        <v>519</v>
      </c>
      <c r="C8" s="129"/>
      <c r="D8" s="129"/>
      <c r="E8" s="129"/>
      <c r="F8" s="129"/>
      <c r="G8" s="129"/>
      <c r="H8" s="129"/>
      <c r="I8" s="129"/>
      <c r="J8" s="129"/>
      <c r="K8" s="129"/>
      <c r="L8" s="129"/>
    </row>
    <row r="9" spans="2:12" ht="55.5" customHeight="1">
      <c r="B9" s="130" t="s">
        <v>520</v>
      </c>
      <c r="C9" s="130"/>
      <c r="D9" s="130"/>
      <c r="E9" s="130"/>
      <c r="F9" s="130"/>
      <c r="G9" s="130"/>
      <c r="H9" s="130"/>
      <c r="I9" s="130"/>
      <c r="J9" s="130"/>
      <c r="K9" s="130"/>
      <c r="L9" s="130"/>
    </row>
    <row r="10" spans="2:12">
      <c r="B10" s="70" t="s">
        <v>521</v>
      </c>
      <c r="C10" s="70" t="s">
        <v>522</v>
      </c>
      <c r="D10" s="131" t="s">
        <v>523</v>
      </c>
      <c r="E10" s="132"/>
      <c r="F10" s="132"/>
      <c r="G10" s="132"/>
      <c r="H10" s="132"/>
      <c r="I10" s="132"/>
      <c r="J10" s="132"/>
      <c r="K10" s="133"/>
      <c r="L10" s="70" t="s">
        <v>524</v>
      </c>
    </row>
    <row r="11" spans="2:12" ht="213.75" customHeight="1">
      <c r="B11" s="70" t="s">
        <v>525</v>
      </c>
      <c r="C11" s="71" t="s">
        <v>526</v>
      </c>
      <c r="D11" s="134" t="s">
        <v>527</v>
      </c>
      <c r="E11" s="126"/>
      <c r="F11" s="126"/>
      <c r="G11" s="126"/>
      <c r="H11" s="126"/>
      <c r="I11" s="126"/>
      <c r="J11" s="126"/>
      <c r="K11" s="127"/>
      <c r="L11" s="72" t="s">
        <v>528</v>
      </c>
    </row>
    <row r="12" spans="2:12" ht="235.5" customHeight="1">
      <c r="B12" s="70" t="s">
        <v>529</v>
      </c>
      <c r="C12" s="71" t="s">
        <v>530</v>
      </c>
      <c r="D12" s="125" t="s">
        <v>531</v>
      </c>
      <c r="E12" s="126"/>
      <c r="F12" s="126"/>
      <c r="G12" s="126"/>
      <c r="H12" s="126"/>
      <c r="I12" s="126"/>
      <c r="J12" s="126"/>
      <c r="K12" s="127"/>
      <c r="L12" s="72" t="s">
        <v>532</v>
      </c>
    </row>
    <row r="13" spans="2:12" ht="195.75" customHeight="1">
      <c r="B13" s="70" t="s">
        <v>533</v>
      </c>
      <c r="C13" s="71" t="s">
        <v>534</v>
      </c>
      <c r="D13" s="125" t="s">
        <v>535</v>
      </c>
      <c r="E13" s="126"/>
      <c r="F13" s="126"/>
      <c r="G13" s="126"/>
      <c r="H13" s="126"/>
      <c r="I13" s="126"/>
      <c r="J13" s="126"/>
      <c r="K13" s="127"/>
      <c r="L13" s="72" t="s">
        <v>536</v>
      </c>
    </row>
  </sheetData>
  <mergeCells count="13">
    <mergeCell ref="D13:K13"/>
    <mergeCell ref="B7:L7"/>
    <mergeCell ref="B8:L8"/>
    <mergeCell ref="B9:L9"/>
    <mergeCell ref="D10:K10"/>
    <mergeCell ref="D11:K11"/>
    <mergeCell ref="D12:K12"/>
    <mergeCell ref="B6:L6"/>
    <mergeCell ref="B1:L1"/>
    <mergeCell ref="B2:L2"/>
    <mergeCell ref="B3:L3"/>
    <mergeCell ref="B4:L4"/>
    <mergeCell ref="B5: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defaultColWidth="12.5703125" defaultRowHeight="15" customHeight="1"/>
  <cols>
    <col min="1" max="1" width="17.5703125" customWidth="1"/>
    <col min="2" max="26" width="10.5703125" customWidth="1"/>
  </cols>
  <sheetData>
    <row r="1" spans="1:3" ht="15.75">
      <c r="A1" s="68" t="s">
        <v>537</v>
      </c>
      <c r="C1" s="1" t="s">
        <v>538</v>
      </c>
    </row>
    <row r="2" spans="1:3" ht="15.75">
      <c r="A2" s="68" t="s">
        <v>539</v>
      </c>
      <c r="C2" s="1" t="s">
        <v>540</v>
      </c>
    </row>
    <row r="3" spans="1:3" ht="15.75">
      <c r="A3" s="68" t="s">
        <v>541</v>
      </c>
    </row>
    <row r="4" spans="1:3" ht="15.75">
      <c r="A4" s="68" t="s">
        <v>542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PAMELA ROXANA LARA MORALES</cp:lastModifiedBy>
  <cp:revision/>
  <dcterms:created xsi:type="dcterms:W3CDTF">2024-06-12T20:22:02Z</dcterms:created>
  <dcterms:modified xsi:type="dcterms:W3CDTF">2025-09-04T19:47:53Z</dcterms:modified>
  <cp:category/>
  <cp:contentStatus/>
</cp:coreProperties>
</file>