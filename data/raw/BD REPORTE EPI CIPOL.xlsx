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C:\Users\valen\Dropbox\UAH 2025\EPI 2025\Formatos excel result por carrera\FACSO\"/>
    </mc:Choice>
  </mc:AlternateContent>
  <xr:revisionPtr revIDLastSave="637" documentId="13_ncr:1_{A200A98B-4E8A-4600-AFEC-5690E348B5C6}" xr6:coauthVersionLast="47" xr6:coauthVersionMax="47" xr10:uidLastSave="{1FB06EDE-4B89-483D-90E1-2D92A9D25BB5}"/>
  <bookViews>
    <workbookView xWindow="28680" yWindow="-120" windowWidth="29040" windowHeight="15720" firstSheet="3"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Individuales'!$A$4:$R$4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2" l="1"/>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4" i="2"/>
  <c r="Q4" i="2" s="1"/>
  <c r="R4" i="2"/>
  <c r="R5" i="2"/>
  <c r="R6" i="2"/>
  <c r="R7" i="2"/>
  <c r="R11" i="2"/>
  <c r="R23" i="2"/>
  <c r="R34" i="2"/>
  <c r="R35" i="2"/>
  <c r="R51" i="2"/>
  <c r="R8" i="2"/>
  <c r="R9" i="2"/>
  <c r="R10" i="2"/>
  <c r="R12" i="2"/>
  <c r="R13" i="2"/>
  <c r="R14" i="2"/>
  <c r="R15" i="2"/>
  <c r="R16" i="2"/>
  <c r="R17" i="2"/>
  <c r="R18" i="2"/>
  <c r="R19" i="2"/>
  <c r="R20" i="2"/>
  <c r="R21" i="2"/>
  <c r="R22" i="2"/>
  <c r="R24" i="2"/>
  <c r="R25" i="2"/>
  <c r="R26" i="2"/>
  <c r="R27" i="2"/>
  <c r="R28" i="2"/>
  <c r="R29" i="2"/>
  <c r="R30" i="2"/>
  <c r="R31" i="2"/>
  <c r="R32" i="2"/>
  <c r="R33" i="2"/>
  <c r="R36" i="2"/>
  <c r="R37" i="2"/>
  <c r="R38" i="2"/>
  <c r="R39" i="2"/>
  <c r="R40" i="2"/>
  <c r="R41" i="2"/>
  <c r="R42" i="2"/>
  <c r="R43" i="2"/>
  <c r="R44" i="2"/>
  <c r="R45" i="2"/>
  <c r="R46" i="2"/>
  <c r="R47" i="2"/>
  <c r="R48" i="2"/>
  <c r="R49" i="2"/>
  <c r="R50" i="2"/>
  <c r="R52" i="2"/>
  <c r="R53" i="2"/>
  <c r="R5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tc={C57E3C0B-78DC-40A4-A278-393175F13ACF}</author>
  </authors>
  <commentList>
    <comment ref="O3" authorId="0" shapeId="0" xr:uid="{C57E3C0B-78DC-40A4-A278-393175F13ACF}">
      <text>
        <t>[Threaded comment]
Your version of Excel allows you to read this threaded comment; however, any edits to it will get removed if the file is opened in a newer version of Excel. Learn more: https://go.microsoft.com/fwlink/?linkid=870924
Comment:
    De acuerdo al documento PDF “Rúbrica EPI Ciencia Política y RRII” esta sería una quinta dimensión a considerar, no separada por el cuadro visualmente.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tc={FDD3AFC1-13A9-4B92-9A08-BD1A97136542}</author>
  </authors>
  <commentList>
    <comment ref="H2" authorId="0" shapeId="0" xr:uid="{FDD3AFC1-13A9-4B92-9A08-BD1A97136542}">
      <text>
        <t>[Threaded comment]
Your version of Excel allows you to read this threaded comment; however, any edits to it will get removed if the file is opened in a newer version of Excel. Learn more: https://go.microsoft.com/fwlink/?linkid=870924
Comment:
    De acuerdo al documento PDF “Rúbrica EPI Ciencia Política y RRII” esta sería una quinta dimensión a considerar, no separada por el cuadro visualmente.</t>
      </text>
    </comment>
  </commentList>
</comments>
</file>

<file path=xl/sharedStrings.xml><?xml version="1.0" encoding="utf-8"?>
<sst xmlns="http://schemas.openxmlformats.org/spreadsheetml/2006/main" count="391" uniqueCount="306">
  <si>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</si>
  <si>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</si>
  <si>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</si>
  <si>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</si>
  <si>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</si>
  <si>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</si>
  <si>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</si>
  <si>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</si>
  <si>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</si>
  <si>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</si>
  <si>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</si>
  <si>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</si>
  <si>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</si>
  <si>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</si>
  <si>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</si>
  <si>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</si>
  <si>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</si>
  <si>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</si>
  <si>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</si>
  <si>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</si>
  <si>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</si>
  <si>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</si>
  <si>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</si>
  <si>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</si>
  <si>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</si>
  <si>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</si>
  <si>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</si>
  <si>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</si>
  <si>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</si>
  <si>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</si>
  <si>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</si>
  <si>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</si>
  <si>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</si>
  <si>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</si>
  <si>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</si>
  <si>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</si>
  <si>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</si>
  <si>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</si>
  <si>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</si>
  <si>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</si>
  <si>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</si>
  <si>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</si>
  <si>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</si>
  <si>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 xml:space="preserve">Actividad problema 1
</t>
    </r>
    <r>
      <rPr>
        <sz val="11"/>
        <color theme="1"/>
        <rFont val="Aptos Narrow"/>
        <family val="2"/>
        <scheme val="minor"/>
      </rPr>
      <t xml:space="preserve">
</t>
    </r>
    <r>
      <rPr>
        <sz val="12"/>
        <color theme="1"/>
        <rFont val="Aptos Narrow"/>
        <family val="2"/>
        <scheme val="minor"/>
      </rPr>
      <t xml:space="preserve">No observado-no responde: 0 puntos
</t>
    </r>
    <r>
      <rPr>
        <i/>
        <sz val="11"/>
        <color theme="1"/>
        <rFont val="Aptos Narrow"/>
        <family val="2"/>
        <scheme val="minor"/>
      </rPr>
      <t xml:space="preserve">Nivel Bajo 1: 1 punto                                
Nivel Medio bajo: 2 puntos
Nivel Medio-alto: 3 puntos
Nivel Satisfactorio : 4 puntos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</si>
  <si>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</si>
  <si>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</si>
  <si>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</si>
  <si>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</si>
  <si>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</si>
  <si>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</si>
  <si>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</si>
  <si>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</si>
  <si>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</si>
  <si>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</si>
  <si>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Es capaz de reconocer un problema disciplinar (C.P. o RR.II.), empleando herramientas metodológicas.</t>
  </si>
  <si>
    <t>Es capaz de distinguir las estructuras teóricas básicas (C.P. o RR.II), empleando conceptos y categorías en una problemática disciplinar.</t>
  </si>
  <si>
    <t>Es capaz de elaborar un esquema de investigación.</t>
  </si>
  <si>
    <t>Es capaz de extraer las ideas fundamentales de un texto, ordenándolas en sentido lógico y utilizando las normas de citación correspondientes.</t>
  </si>
  <si>
    <t>PUNTAJE TOTAL ESTUDIANTE</t>
  </si>
  <si>
    <t>PORCENTAJE DE LOGRO</t>
  </si>
  <si>
    <t>CATEGORÍA RESULTADO GLOBAL ESTUDIANTE</t>
  </si>
  <si>
    <t xml:space="preserve">Promedio </t>
  </si>
  <si>
    <t>KEVIN TOMAS DIAZ NUÑEZ</t>
  </si>
  <si>
    <t>DIAZ</t>
  </si>
  <si>
    <t>NUÑEZ</t>
  </si>
  <si>
    <t>KEVIN TOMAS</t>
  </si>
  <si>
    <t xml:space="preserve">Rendida </t>
  </si>
  <si>
    <t>ALEXIS FELIPE SALVADOR CAMPAÑA BRAVO</t>
  </si>
  <si>
    <t>CAMPAÑA</t>
  </si>
  <si>
    <t>BRAVO</t>
  </si>
  <si>
    <t>ALEXIS FELIPE SALVADOR</t>
  </si>
  <si>
    <t>PATRICIO CARLOS MARTÍNEZ GÓMEZ</t>
  </si>
  <si>
    <t>MARTÍNEZ</t>
  </si>
  <si>
    <t>GÓMEZ</t>
  </si>
  <si>
    <t>PATRICIO CARLOS</t>
  </si>
  <si>
    <t>JOSE IGNACIO ANMELLA GOMEZ</t>
  </si>
  <si>
    <t>ANMELLA</t>
  </si>
  <si>
    <t>GOMEZ</t>
  </si>
  <si>
    <t>JOSE IGNACIO</t>
  </si>
  <si>
    <t>JOAQUÍN IGNACIO CARMONA RODRÍGUEZ</t>
  </si>
  <si>
    <t>CARMONA</t>
  </si>
  <si>
    <t>RODRÍGUEZ</t>
  </si>
  <si>
    <t>JOAQUÍN IGNACIO</t>
  </si>
  <si>
    <t>JAIME ERNESTO MUÑOZ ORTEGA</t>
  </si>
  <si>
    <t>MUÑOZ</t>
  </si>
  <si>
    <t>ORTEGA</t>
  </si>
  <si>
    <t>JAIME ERNESTO</t>
  </si>
  <si>
    <t>PAOLA VALENTINA ESCOBAR MUÑOZ</t>
  </si>
  <si>
    <t>ESCOBAR</t>
  </si>
  <si>
    <t>PAOLA VALENTINA</t>
  </si>
  <si>
    <t>VÍCTOR ARMANDO FERNÁNDEZ SALAS</t>
  </si>
  <si>
    <t>FERNÁNDEZ</t>
  </si>
  <si>
    <t>SALAS</t>
  </si>
  <si>
    <t>VÍCTOR ARMANDO</t>
  </si>
  <si>
    <t>Interrupción voluntaria (no rinde EPI 2025)</t>
  </si>
  <si>
    <t>No rendida</t>
  </si>
  <si>
    <t>Justifica</t>
  </si>
  <si>
    <t>Estudiante suspende 1 semestre 2025</t>
  </si>
  <si>
    <t>RENATA ISIDORA POBLETE GAJARDO</t>
  </si>
  <si>
    <t>POBLETE</t>
  </si>
  <si>
    <t>GAJARDO</t>
  </si>
  <si>
    <t>RENATA ISIDORA</t>
  </si>
  <si>
    <t>FRANCISCA MURIEL MONTES LABBÉ</t>
  </si>
  <si>
    <t>MONTES</t>
  </si>
  <si>
    <t>LABBÉ</t>
  </si>
  <si>
    <t>FRANCISCA MURIEL</t>
  </si>
  <si>
    <t>VALERIA RÍOS CARTER</t>
  </si>
  <si>
    <t>RÍOS</t>
  </si>
  <si>
    <t>CARTER</t>
  </si>
  <si>
    <t>VALERIA</t>
  </si>
  <si>
    <t>JAVIERA BELÉN ÁLVAREZ POZO</t>
  </si>
  <si>
    <t>ÁLVAREZ</t>
  </si>
  <si>
    <t>POZO</t>
  </si>
  <si>
    <t>JAVIERA BELÉN</t>
  </si>
  <si>
    <t>SOFÍA ANTONIA ESPÍNDOLA COBS</t>
  </si>
  <si>
    <t>ESPÍNDOLA</t>
  </si>
  <si>
    <t>COBS</t>
  </si>
  <si>
    <t>SOFÍA ANTONIA</t>
  </si>
  <si>
    <t>CAMILO ANTONIO ARAYA NÚÑEZ</t>
  </si>
  <si>
    <t>ARAYA</t>
  </si>
  <si>
    <t>NÚÑEZ</t>
  </si>
  <si>
    <t>CAMILO ANTONIO</t>
  </si>
  <si>
    <t>LUCAS ALONSO RAVANAL CALDERÓN</t>
  </si>
  <si>
    <t>RAVANAL</t>
  </si>
  <si>
    <t>CALDERÓN</t>
  </si>
  <si>
    <t>LUCAS ALONSO</t>
  </si>
  <si>
    <t>MARTINA ISIDORA MAULÉN NARVÁEZ</t>
  </si>
  <si>
    <t>MAULÉN</t>
  </si>
  <si>
    <t>NARVÁEZ</t>
  </si>
  <si>
    <t>MARTINA ISIDORA</t>
  </si>
  <si>
    <t>CRISTIAN DANIEL VARGAS MARTÍNEZ</t>
  </si>
  <si>
    <t>VARGAS</t>
  </si>
  <si>
    <t>CRISTIAN DANIEL</t>
  </si>
  <si>
    <t>CATALINA PAZ ALARCÓN BROWN</t>
  </si>
  <si>
    <t>ALARCÓN</t>
  </si>
  <si>
    <t>BROWN</t>
  </si>
  <si>
    <t>CATALINA PAZ</t>
  </si>
  <si>
    <t>SOFÍA CATALINA HERNÁNDEZ RIQUELME</t>
  </si>
  <si>
    <t>HERNÁNDEZ</t>
  </si>
  <si>
    <t>RIQUELME</t>
  </si>
  <si>
    <t>SOFÍA CATALINA</t>
  </si>
  <si>
    <t>ANDRÉS ANTONIO HERNÁNDEZ NÚÑEZ</t>
  </si>
  <si>
    <t>ANDRÉS ANTONIO</t>
  </si>
  <si>
    <t>No aplica</t>
  </si>
  <si>
    <t xml:space="preserve">Estudiante desactivado por inactividad </t>
  </si>
  <si>
    <t>VICENTE ALFREDO VIDAL JIMÉNEZ</t>
  </si>
  <si>
    <t>VIDAL</t>
  </si>
  <si>
    <t>JIMÉNEZ</t>
  </si>
  <si>
    <t>VICENTE ALFREDO</t>
  </si>
  <si>
    <t>CAMILA NOEMÍ ARIAS VILLAGRÁN</t>
  </si>
  <si>
    <t>ARIAS</t>
  </si>
  <si>
    <t>VILLAGRÁN</t>
  </si>
  <si>
    <t>CAMILA NOEMÍ</t>
  </si>
  <si>
    <t>MARÍA DOMINGA ALBORNOZ TORRES</t>
  </si>
  <si>
    <t>ALBORNOZ</t>
  </si>
  <si>
    <t>TORRES</t>
  </si>
  <si>
    <t>MARÍA DOMINGA</t>
  </si>
  <si>
    <t>ALAN ADÁN KRAMP LAZO</t>
  </si>
  <si>
    <t>KRAMP</t>
  </si>
  <si>
    <t>LAZO</t>
  </si>
  <si>
    <t>ALAN ADÁN</t>
  </si>
  <si>
    <t>JAMES BENJAMÍN VELASCO SALINAS</t>
  </si>
  <si>
    <t>VELASCO</t>
  </si>
  <si>
    <t>SALINAS</t>
  </si>
  <si>
    <t>JAMES BENJAMÍN</t>
  </si>
  <si>
    <t>ANTONIA FERNANDA GALLEGUILLOS CORREA</t>
  </si>
  <si>
    <t>GALLEGUILLOS</t>
  </si>
  <si>
    <t>CORREA</t>
  </si>
  <si>
    <t>ANTONIA FERNANDA</t>
  </si>
  <si>
    <t>DOMINIQUE ARELI SALAS PÉREZ</t>
  </si>
  <si>
    <t>PÉREZ</t>
  </si>
  <si>
    <t>DOMINIQUE ARELI</t>
  </si>
  <si>
    <t>EMMA SANEM BUSTAMANTE LOBOS</t>
  </si>
  <si>
    <t>BUSTAMANTE</t>
  </si>
  <si>
    <t>LOBOS</t>
  </si>
  <si>
    <t>EMMA SANEM</t>
  </si>
  <si>
    <t>ANAÍS ISABU DÍAZ MALUENDA</t>
  </si>
  <si>
    <t>DÍAZ</t>
  </si>
  <si>
    <t>MALUENDA</t>
  </si>
  <si>
    <t>ANAÍS ISABU</t>
  </si>
  <si>
    <t>AMARANTA PENELOPE VILLARROEL LANDETA</t>
  </si>
  <si>
    <t>VILLARROEL</t>
  </si>
  <si>
    <t>LANDETA</t>
  </si>
  <si>
    <t>AMARANTA PENELOPE</t>
  </si>
  <si>
    <t>MAXIMILIANO HERNÁN MORALES GONZÁLEZ</t>
  </si>
  <si>
    <t>MORALES</t>
  </si>
  <si>
    <t>GONZÁLEZ</t>
  </si>
  <si>
    <t>MAXIMILIANO HERNÁN</t>
  </si>
  <si>
    <t>SCHELSEA LEMONI JESSY ANAHI TORO FÁBREGA</t>
  </si>
  <si>
    <t>TORO</t>
  </si>
  <si>
    <t>FÁBREGA</t>
  </si>
  <si>
    <t>SCHELSEA LEMONI JESSY ANAHI</t>
  </si>
  <si>
    <t>THEO ADRIANO CAZAÑAS NEIRA</t>
  </si>
  <si>
    <t>CAZAÑAS</t>
  </si>
  <si>
    <t>NEIRA</t>
  </si>
  <si>
    <t>THEO ADRIANO</t>
  </si>
  <si>
    <t>VALENTINA EVELYN VALDÉS VIDAL</t>
  </si>
  <si>
    <t>VALDÉS</t>
  </si>
  <si>
    <t>VALENTINA EVELYN</t>
  </si>
  <si>
    <t>CAMILO JESUS REYES PÉREZ</t>
  </si>
  <si>
    <t>REYES</t>
  </si>
  <si>
    <t>CAMILO JESUS</t>
  </si>
  <si>
    <t>ANTONIA ANAIS SOLIS CHELME</t>
  </si>
  <si>
    <t>SOLIS</t>
  </si>
  <si>
    <t>CHELME</t>
  </si>
  <si>
    <t>ANTONIA ANAIS</t>
  </si>
  <si>
    <t>BIANCA IGNACIA GÓMEZ RAMÍREZ</t>
  </si>
  <si>
    <t>RAMÍREZ</t>
  </si>
  <si>
    <t>BIANCA IGNACIA</t>
  </si>
  <si>
    <t>SOFÍA BELÉN VERGARA GONZÁLEZ</t>
  </si>
  <si>
    <t>VERGARA</t>
  </si>
  <si>
    <t>SOFÍA BELÉN</t>
  </si>
  <si>
    <t>ARANTZA JESÚS OLIVARES DÍAZ</t>
  </si>
  <si>
    <t>OLIVARES</t>
  </si>
  <si>
    <t>ARANTZA JESÚS</t>
  </si>
  <si>
    <t>OMAR ALEXIS ROZAS GONZÁLEZ</t>
  </si>
  <si>
    <t>ROZAS</t>
  </si>
  <si>
    <t>OMAR ALEXIS</t>
  </si>
  <si>
    <t>MARTÍN AMARO FAÚNDEZ BUSTAMANTE</t>
  </si>
  <si>
    <t>FAÚNDEZ</t>
  </si>
  <si>
    <t>MARTÍN AMARO</t>
  </si>
  <si>
    <t>DIEGO ALONSO GONZÁLEZ DONOSO</t>
  </si>
  <si>
    <t>DONOSO</t>
  </si>
  <si>
    <t>DIEGO ALONSO</t>
  </si>
  <si>
    <t>JOSUE IGNACIO CUBILLOS MORALES</t>
  </si>
  <si>
    <t>CUBILLOS</t>
  </si>
  <si>
    <t>JOSUE IGNACIO</t>
  </si>
  <si>
    <t>FELIPE IGNACIO PAYERO TOBAR</t>
  </si>
  <si>
    <t>PAYERO</t>
  </si>
  <si>
    <t>TOBAR</t>
  </si>
  <si>
    <t>FELIPE IGNACIO</t>
  </si>
  <si>
    <t>CATALINA ANAÍS DEL CANTO ESPINOZA</t>
  </si>
  <si>
    <t>DEL CANTO</t>
  </si>
  <si>
    <t>ESPINOZA</t>
  </si>
  <si>
    <t>CATALINA ANAÍS</t>
  </si>
  <si>
    <t>CONSTANZA JAVIERA DUARTE TOLEDO</t>
  </si>
  <si>
    <t>DUARTE</t>
  </si>
  <si>
    <t>TOLEDO</t>
  </si>
  <si>
    <t>CONSTANZA JAVIERA</t>
  </si>
  <si>
    <t>ISIDORA TRINIDAD HENRÍQUEZ LLEBUL</t>
  </si>
  <si>
    <t>HENRÍQUEZ</t>
  </si>
  <si>
    <t>LLEBUL</t>
  </si>
  <si>
    <t>ISIDORA TRINIDAD</t>
  </si>
  <si>
    <t>PAUL ANDREW MAC-LEAN ILLANES</t>
  </si>
  <si>
    <t>MAC-LEAN</t>
  </si>
  <si>
    <t>ILLANES</t>
  </si>
  <si>
    <t>PAUL ANDREW</t>
  </si>
  <si>
    <t>No justifica</t>
  </si>
  <si>
    <t>CATALINA ANDREA LÓPEZ CARVALLO</t>
  </si>
  <si>
    <t>LÓPEZ</t>
  </si>
  <si>
    <t>CARVALLO</t>
  </si>
  <si>
    <t>CATALINA ANDREA</t>
  </si>
  <si>
    <t>K</t>
  </si>
  <si>
    <t>PATRICIO ALONSO ZÚÑIGA VIVEROS</t>
  </si>
  <si>
    <t>ZÚÑIGA</t>
  </si>
  <si>
    <t>VIVEROS</t>
  </si>
  <si>
    <t>PATRICIO ALONSO</t>
  </si>
  <si>
    <t>MARIA VICTORIA GALLARDO RIVAS</t>
  </si>
  <si>
    <t>GALLARDO</t>
  </si>
  <si>
    <t>RIVAS</t>
  </si>
  <si>
    <t>MARIA VICTORIA</t>
  </si>
  <si>
    <r>
      <rPr>
        <b/>
        <u/>
        <sz val="12"/>
        <color theme="1"/>
        <rFont val="Aptos Narrow"/>
        <family val="2"/>
        <scheme val="minor"/>
      </rPr>
      <t>Actividad problema 1</t>
    </r>
    <r>
      <rPr>
        <i/>
        <sz val="11"/>
        <color theme="1"/>
        <rFont val="Aptos Narrow"/>
        <family val="2"/>
        <scheme val="minor"/>
      </rPr>
      <t xml:space="preserve">
</t>
    </r>
  </si>
  <si>
    <t>Resultados Generales Cohorte</t>
  </si>
  <si>
    <t xml:space="preserve"> N Estudiantes habilitados para rendir</t>
  </si>
  <si>
    <t xml:space="preserve"> N Estudiantes que rindieron</t>
  </si>
  <si>
    <t xml:space="preserve">Porcentaje de cobertura EPI </t>
  </si>
  <si>
    <t xml:space="preserve">PUNTAJE TOTAL </t>
  </si>
  <si>
    <t>PORCENTAJE DE LOGRO EPI 2025</t>
  </si>
  <si>
    <t xml:space="preserve">CATEGORÍA RESULTADO GLOBAL </t>
  </si>
  <si>
    <t>Estado de Habilitación para rendir</t>
  </si>
  <si>
    <t>JUSTIFICATIVO DE NO RENDICIÓN</t>
  </si>
  <si>
    <t xml:space="preserve">  Puntaje según categoría</t>
  </si>
  <si>
    <t>Avance curricular suficiente o adecuado para evaluar ciclo básico</t>
  </si>
  <si>
    <t>Avance curricular insuficiente para evaluar ciclo básico (no rinde EPI 2025)</t>
  </si>
  <si>
    <t>EPI pendiente periodo anterior</t>
  </si>
  <si>
    <t>Rendida no válida</t>
  </si>
  <si>
    <t>Expulsión</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</si>
  <si>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</si>
  <si>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</si>
  <si>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</si>
  <si>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</si>
  <si>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</si>
  <si>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</si>
  <si>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</si>
  <si>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</si>
  <si>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</si>
  <si>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</si>
  <si>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</si>
  <si>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</si>
  <si>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</si>
  <si>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1. Realización de focus group con estudiantesque rindieron evaluación para analizar factores incidentes en resultados obtenidos (percepción sobre instructivo, nivel de dificultad de dimensiones y preguntas, insumos, y condiciones de evaluación). 2. Incorporación en cursos de linea formativas (RRII, Instituciones y Metodologia) actividades formativas que vinculadas a reforzar competencias de perfil intermedio   </t>
  </si>
  <si>
    <t xml:space="preserve">1. Pauta focus group (realización agosto) 2. Programaciones (inclusión de actividades alineadas con PI) </t>
  </si>
  <si>
    <t xml:space="preserve">II. </t>
  </si>
  <si>
    <t>MEDIANO PLAZO</t>
  </si>
  <si>
    <t>1. Jornada con equipo curricular para contrastar resultados de Epi en relación con resultados académicos obtenidos cursos ciclos básico. Levantamiento nudos críticos y plan de accion. 2. Ajustes de metodologías y evaluaciones en programaciones cursos de ciclo profundización (con Plan 2015 vigente)</t>
  </si>
  <si>
    <t xml:space="preserve">1. Acta comité curricular (enero 26) 2. Programaciones 1S 2026 cursos lineas formativas </t>
  </si>
  <si>
    <t xml:space="preserve">III. </t>
  </si>
  <si>
    <t>LARGO PLAZO</t>
  </si>
  <si>
    <t>Modificación  perfil intermedio dado cambio Plan de estudio 2024</t>
  </si>
  <si>
    <t>Documentos asociados a cambios perfil intermedio</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</si>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</sst>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sz val="11"/>
      <color rgb="FF4EA72E"/>
      <name val="Aptos Narrow"/>
      <family val="2"/>
      <scheme val="minor"/>
    </font>
    <font>
      <sz val="10"/>
      <color rgb="FF4EA72E"/>
      <name val="Calibri"/>
      <family val="2"/>
    </font>
    <font>
      <sz val="11"/>
      <color rgb="FF000000"/>
      <name val="Aptos Narrow"/>
      <family val="2"/>
      <scheme val="minor"/>
    </font>
    <font>
      <sz val="10"/>
      <color rgb="FFFF0000"/>
      <name val="Calibri"/>
      <family val="2"/>
    </font>
    <font>
      <sz val="11"/>
      <color rgb="FF0070C0"/>
      <name val="Aptos Narrow"/>
      <scheme val="minor"/>
    </font>
    <font>
      <sz val="11"/>
      <color rgb="FF0070C0"/>
      <name val="Aptos Narrow"/>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right style="thin">
        <color indexed="64"/>
      </right>
      <top style="medium">
        <color indexed="64"/>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158">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6" xfId="0" applyFont="1" applyBorder="1" applyAlignment="1">
      <alignment wrapText="1"/>
    </xf>
    <xf numFmtId="0" fontId="0" fillId="0" borderId="33" xfId="0" applyBorder="1"/>
    <xf numFmtId="0" fontId="0" fillId="0" borderId="33" xfId="0" applyBorder="1" applyAlignment="1">
      <alignment wrapText="1"/>
    </xf>
    <xf numFmtId="0" fontId="0" fillId="0" borderId="16" xfId="0" applyBorder="1" applyAlignment="1">
      <alignment horizontal="center"/>
    </xf>
    <xf numFmtId="0" fontId="0" fillId="0" borderId="27" xfId="0" applyBorder="1" applyAlignment="1">
      <alignment horizontal="center" vertical="center" wrapText="1"/>
    </xf>
    <xf numFmtId="0" fontId="2" fillId="0" borderId="39" xfId="0" applyFont="1" applyBorder="1" applyAlignment="1">
      <alignment horizontal="center" vertical="center" wrapText="1"/>
    </xf>
    <xf numFmtId="0" fontId="1" fillId="0" borderId="38" xfId="0" applyFont="1" applyBorder="1"/>
    <xf numFmtId="0" fontId="1" fillId="0" borderId="21" xfId="0" applyFont="1" applyBorder="1"/>
    <xf numFmtId="0" fontId="2" fillId="6" borderId="43"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2" borderId="42" xfId="0" applyFill="1" applyBorder="1" applyAlignment="1">
      <alignment horizontal="center" vertical="center" wrapText="1"/>
    </xf>
    <xf numFmtId="0" fontId="0" fillId="2" borderId="41" xfId="0" applyFill="1" applyBorder="1" applyAlignment="1">
      <alignment horizontal="center" vertical="center" wrapText="1"/>
    </xf>
    <xf numFmtId="0" fontId="0" fillId="2" borderId="18" xfId="0" applyFill="1" applyBorder="1" applyAlignment="1">
      <alignment horizontal="center" vertical="center" wrapText="1"/>
    </xf>
    <xf numFmtId="1" fontId="11" fillId="0" borderId="1" xfId="0" applyNumberFormat="1" applyFont="1" applyBorder="1" applyAlignment="1">
      <alignment horizontal="center" vertical="top" wrapText="1"/>
    </xf>
    <xf numFmtId="0" fontId="6" fillId="0" borderId="39" xfId="0" applyFont="1" applyBorder="1" applyAlignment="1">
      <alignment horizontal="center"/>
    </xf>
    <xf numFmtId="0" fontId="2" fillId="6" borderId="45" xfId="0" applyFont="1" applyFill="1" applyBorder="1" applyAlignment="1">
      <alignment horizontal="center" vertical="center" wrapText="1"/>
    </xf>
    <xf numFmtId="0" fontId="0" fillId="0" borderId="27" xfId="0" applyBorder="1" applyAlignment="1">
      <alignment horizontal="center" vertical="center"/>
    </xf>
    <xf numFmtId="0" fontId="0" fillId="0" borderId="16" xfId="0" applyBorder="1" applyAlignment="1">
      <alignment horizontal="center" vertical="center" wrapText="1"/>
    </xf>
    <xf numFmtId="0" fontId="0" fillId="0" borderId="0" xfId="0" applyAlignment="1">
      <alignment horizontal="left" vertical="center"/>
    </xf>
    <xf numFmtId="0" fontId="4" fillId="7" borderId="16" xfId="0" applyFont="1" applyFill="1" applyBorder="1" applyAlignment="1">
      <alignment horizontal="center" vertical="center"/>
    </xf>
    <xf numFmtId="0" fontId="4" fillId="7" borderId="16" xfId="0" applyFont="1" applyFill="1" applyBorder="1" applyAlignment="1">
      <alignment horizontal="left" vertical="center"/>
    </xf>
    <xf numFmtId="0" fontId="1" fillId="0" borderId="39" xfId="0" applyFont="1" applyBorder="1" applyAlignment="1">
      <alignment horizontal="center"/>
    </xf>
    <xf numFmtId="0" fontId="1" fillId="0" borderId="2" xfId="0" applyFont="1" applyBorder="1" applyAlignment="1">
      <alignment horizontal="center"/>
    </xf>
    <xf numFmtId="0" fontId="1" fillId="0" borderId="34" xfId="0" applyFont="1" applyBorder="1" applyAlignment="1">
      <alignment horizontal="center" wrapText="1"/>
    </xf>
    <xf numFmtId="0" fontId="1" fillId="0" borderId="1" xfId="0" applyFont="1" applyBorder="1" applyAlignment="1">
      <alignment horizontal="center" wrapText="1"/>
    </xf>
    <xf numFmtId="0" fontId="16" fillId="0" borderId="16" xfId="0" applyFont="1" applyBorder="1" applyAlignment="1">
      <alignment wrapText="1"/>
    </xf>
    <xf numFmtId="0" fontId="16" fillId="0" borderId="34" xfId="0" applyFont="1" applyBorder="1" applyAlignment="1">
      <alignment horizontal="center" wrapText="1"/>
    </xf>
    <xf numFmtId="1" fontId="17" fillId="0" borderId="1" xfId="0" applyNumberFormat="1" applyFont="1" applyBorder="1" applyAlignment="1">
      <alignment horizontal="center" vertical="top" wrapText="1"/>
    </xf>
    <xf numFmtId="0" fontId="16" fillId="0" borderId="1" xfId="0" applyFont="1" applyBorder="1" applyAlignment="1">
      <alignment horizontal="center" wrapText="1"/>
    </xf>
    <xf numFmtId="0" fontId="16" fillId="0" borderId="16" xfId="0" applyFont="1" applyBorder="1"/>
    <xf numFmtId="0" fontId="16" fillId="0" borderId="37" xfId="0" applyFont="1" applyBorder="1"/>
    <xf numFmtId="0" fontId="16" fillId="0" borderId="34" xfId="0" applyFont="1" applyBorder="1" applyAlignment="1">
      <alignment horizontal="center"/>
    </xf>
    <xf numFmtId="0" fontId="16" fillId="0" borderId="1" xfId="0" applyFont="1" applyBorder="1" applyAlignment="1">
      <alignment horizontal="center"/>
    </xf>
    <xf numFmtId="0" fontId="2" fillId="0" borderId="38" xfId="0" applyFont="1" applyBorder="1" applyAlignment="1">
      <alignment horizontal="center" vertical="center" wrapText="1"/>
    </xf>
    <xf numFmtId="0" fontId="16" fillId="0" borderId="33" xfId="0" applyFont="1" applyBorder="1"/>
    <xf numFmtId="0" fontId="2" fillId="0" borderId="47" xfId="0" applyFont="1" applyBorder="1" applyAlignment="1">
      <alignment horizontal="center" wrapText="1"/>
    </xf>
    <xf numFmtId="0" fontId="0" fillId="0" borderId="48" xfId="0" applyBorder="1" applyAlignment="1">
      <alignment horizontal="center"/>
    </xf>
    <xf numFmtId="0" fontId="16" fillId="0" borderId="33" xfId="0" applyFont="1" applyBorder="1" applyAlignment="1">
      <alignment wrapText="1"/>
    </xf>
    <xf numFmtId="0" fontId="18" fillId="0" borderId="48" xfId="0" applyFont="1" applyBorder="1" applyAlignment="1">
      <alignment horizontal="center"/>
    </xf>
    <xf numFmtId="0" fontId="16" fillId="7" borderId="16" xfId="0" applyFont="1" applyFill="1" applyBorder="1" applyAlignment="1">
      <alignment wrapText="1"/>
    </xf>
    <xf numFmtId="0" fontId="16" fillId="7" borderId="34" xfId="0" applyFont="1" applyFill="1" applyBorder="1" applyAlignment="1">
      <alignment horizontal="center" wrapText="1"/>
    </xf>
    <xf numFmtId="0" fontId="16" fillId="7" borderId="1" xfId="0" applyFont="1" applyFill="1" applyBorder="1" applyAlignment="1">
      <alignment horizontal="center" wrapText="1"/>
    </xf>
    <xf numFmtId="0" fontId="1" fillId="0" borderId="1" xfId="0" applyFont="1" applyBorder="1" applyAlignment="1">
      <alignment horizontal="center"/>
    </xf>
    <xf numFmtId="9" fontId="1" fillId="0" borderId="1" xfId="1" applyFont="1" applyBorder="1" applyAlignment="1">
      <alignment horizontal="center"/>
    </xf>
    <xf numFmtId="0" fontId="1" fillId="0" borderId="21" xfId="0" applyFont="1" applyBorder="1" applyAlignment="1">
      <alignment horizontal="center"/>
    </xf>
    <xf numFmtId="14" fontId="16" fillId="0" borderId="40" xfId="0" applyNumberFormat="1" applyFont="1" applyBorder="1" applyAlignment="1">
      <alignment horizontal="center"/>
    </xf>
    <xf numFmtId="0" fontId="1" fillId="0" borderId="16" xfId="0" applyFont="1" applyBorder="1" applyAlignment="1">
      <alignment horizontal="center" wrapText="1"/>
    </xf>
    <xf numFmtId="14" fontId="1" fillId="0" borderId="36" xfId="0" applyNumberFormat="1" applyFont="1" applyBorder="1" applyAlignment="1">
      <alignment horizontal="center" wrapText="1"/>
    </xf>
    <xf numFmtId="0" fontId="16" fillId="0" borderId="16" xfId="0" applyFont="1" applyBorder="1" applyAlignment="1">
      <alignment horizontal="center" wrapText="1"/>
    </xf>
    <xf numFmtId="14" fontId="16" fillId="0" borderId="36" xfId="0" applyNumberFormat="1" applyFont="1" applyBorder="1" applyAlignment="1">
      <alignment horizontal="center" wrapText="1"/>
    </xf>
    <xf numFmtId="0" fontId="16" fillId="7" borderId="37" xfId="0" applyFont="1" applyFill="1" applyBorder="1" applyAlignment="1">
      <alignment horizontal="center" wrapText="1"/>
    </xf>
    <xf numFmtId="0" fontId="16" fillId="0" borderId="16" xfId="0" applyFont="1" applyBorder="1" applyAlignment="1">
      <alignment horizontal="center"/>
    </xf>
    <xf numFmtId="0" fontId="0" fillId="0" borderId="33" xfId="0" applyBorder="1" applyAlignment="1">
      <alignment horizontal="center" wrapText="1"/>
    </xf>
    <xf numFmtId="0" fontId="16" fillId="7" borderId="37" xfId="0" applyFont="1" applyFill="1" applyBorder="1" applyAlignment="1">
      <alignment wrapText="1"/>
    </xf>
    <xf numFmtId="0" fontId="0" fillId="7" borderId="48" xfId="0" applyFill="1" applyBorder="1" applyAlignment="1">
      <alignment horizontal="center"/>
    </xf>
    <xf numFmtId="0" fontId="16" fillId="8" borderId="16" xfId="0" applyFont="1" applyFill="1" applyBorder="1" applyAlignment="1">
      <alignment wrapText="1"/>
    </xf>
    <xf numFmtId="164" fontId="0" fillId="0" borderId="48" xfId="0" applyNumberFormat="1" applyBorder="1" applyAlignment="1">
      <alignment horizontal="center"/>
    </xf>
    <xf numFmtId="1" fontId="19" fillId="0" borderId="1" xfId="0" applyNumberFormat="1" applyFont="1" applyBorder="1" applyAlignment="1">
      <alignment horizontal="center" vertical="top" wrapText="1"/>
    </xf>
    <xf numFmtId="0" fontId="21" fillId="0" borderId="16" xfId="0" applyFont="1" applyBorder="1" applyAlignment="1">
      <alignment horizontal="left" vertical="center" wrapText="1"/>
    </xf>
    <xf numFmtId="9" fontId="0" fillId="0" borderId="0" xfId="0" applyNumberFormat="1" applyAlignment="1">
      <alignment horizontal="center"/>
    </xf>
    <xf numFmtId="0" fontId="18" fillId="0" borderId="33" xfId="0" applyFont="1" applyBorder="1"/>
    <xf numFmtId="0" fontId="18" fillId="0" borderId="33" xfId="0" applyFont="1" applyBorder="1" applyAlignment="1">
      <alignment horizontal="left"/>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1"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46" xfId="0" applyFill="1" applyBorder="1" applyAlignment="1">
      <alignment horizontal="center" vertical="center" wrapText="1"/>
    </xf>
    <xf numFmtId="0" fontId="15"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21" fillId="0" borderId="16" xfId="0" applyFont="1" applyBorder="1" applyAlignment="1">
      <alignment horizontal="left" vertical="center" wrapText="1"/>
    </xf>
    <xf numFmtId="0" fontId="0" fillId="0" borderId="40" xfId="0" applyBorder="1" applyAlignment="1">
      <alignment horizontal="left" vertical="center"/>
    </xf>
    <xf numFmtId="0" fontId="4" fillId="7" borderId="16" xfId="0" applyFont="1" applyFill="1" applyBorder="1" applyAlignment="1">
      <alignment horizontal="center" vertical="center"/>
    </xf>
    <xf numFmtId="0" fontId="0" fillId="0" borderId="16" xfId="0" applyBorder="1" applyAlignment="1">
      <alignment horizontal="left" vertical="center" wrapText="1"/>
    </xf>
    <xf numFmtId="0" fontId="20" fillId="0" borderId="49" xfId="0" applyFont="1" applyBorder="1" applyAlignment="1">
      <alignment horizontal="left" vertical="center" wrapText="1"/>
    </xf>
    <xf numFmtId="0" fontId="21" fillId="0" borderId="36" xfId="0" applyFont="1" applyBorder="1" applyAlignment="1">
      <alignment horizontal="left" vertical="center" wrapText="1"/>
    </xf>
    <xf numFmtId="0" fontId="21" fillId="0" borderId="50" xfId="0" applyFont="1" applyBorder="1" applyAlignment="1">
      <alignment horizontal="left" vertical="center" wrapText="1"/>
    </xf>
    <xf numFmtId="0" fontId="21" fillId="0" borderId="49"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Medium9"/>
  <colors>
    <mruColors>
      <color rgb="FF4EA7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16</xdr:col>
      <xdr:colOff>0</xdr:colOff>
      <xdr:row>1</xdr:row>
      <xdr:rowOff>0</xdr:rowOff>
    </xdr:from>
    <xdr:to>
      <xdr:col>28</xdr:col>
      <xdr:colOff>344224</xdr:colOff>
      <xdr:row>35</xdr:row>
      <xdr:rowOff>134273</xdr:rowOff>
    </xdr:to>
    <xdr:pic>
      <xdr:nvPicPr>
        <xdr:cNvPr id="10" name="Imagen 9">
          <a:extLst>
            <a:ext uri="{FF2B5EF4-FFF2-40B4-BE49-F238E27FC236}">
              <a16:creationId xmlns:a16="http://schemas.microsoft.com/office/drawing/2014/main" id="{1CB7FC82-44D7-A092-21D6-E3E510BBB8AC}"/>
            </a:ext>
          </a:extLst>
        </xdr:cNvPr>
        <xdr:cNvPicPr>
          <a:picLocks noChangeAspect="1"/>
        </xdr:cNvPicPr>
      </xdr:nvPicPr>
      <xdr:blipFill>
        <a:blip xmlns:r="http://schemas.openxmlformats.org/officeDocument/2006/relationships" r:embed="rId3"/>
        <a:stretch>
          <a:fillRect/>
        </a:stretch>
      </xdr:blipFill>
      <xdr:spPr>
        <a:xfrm>
          <a:off x="12192000" y="190500"/>
          <a:ext cx="9488224" cy="6611273"/>
        </a:xfrm>
        <a:prstGeom prst="rect">
          <a:avLst/>
        </a:prstGeom>
      </xdr:spPr>
    </xdr:pic>
    <xdr:clientData/>
  </xdr:twoCellAnchor>
  <xdr:twoCellAnchor editAs="oneCell">
    <xdr:from>
      <xdr:col>16</xdr:col>
      <xdr:colOff>276225</xdr:colOff>
      <xdr:row>35</xdr:row>
      <xdr:rowOff>123825</xdr:rowOff>
    </xdr:from>
    <xdr:to>
      <xdr:col>27</xdr:col>
      <xdr:colOff>687027</xdr:colOff>
      <xdr:row>63</xdr:row>
      <xdr:rowOff>19780</xdr:rowOff>
    </xdr:to>
    <xdr:pic>
      <xdr:nvPicPr>
        <xdr:cNvPr id="11" name="Imagen 10">
          <a:extLst>
            <a:ext uri="{FF2B5EF4-FFF2-40B4-BE49-F238E27FC236}">
              <a16:creationId xmlns:a16="http://schemas.microsoft.com/office/drawing/2014/main" id="{5880614D-A249-5672-CFF3-B82AC0255834}"/>
            </a:ext>
          </a:extLst>
        </xdr:cNvPr>
        <xdr:cNvPicPr>
          <a:picLocks noChangeAspect="1"/>
        </xdr:cNvPicPr>
      </xdr:nvPicPr>
      <xdr:blipFill>
        <a:blip xmlns:r="http://schemas.openxmlformats.org/officeDocument/2006/relationships" r:embed="rId4"/>
        <a:stretch>
          <a:fillRect/>
        </a:stretch>
      </xdr:blipFill>
      <xdr:spPr>
        <a:xfrm>
          <a:off x="12468225" y="6791325"/>
          <a:ext cx="8792802" cy="5229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150495</xdr:colOff>
      <xdr:row>0</xdr:row>
      <xdr:rowOff>1005840</xdr:rowOff>
    </xdr:to>
    <xdr:pic>
      <xdr:nvPicPr>
        <xdr:cNvPr id="2" name="Imagen 1" descr="C:\Users\Tere\Desktop\UAH_Marzo2020\DD\ImagenesDD\Logos\Docencia-01.jpg">
          <a:extLst>
            <a:ext uri="{FF2B5EF4-FFF2-40B4-BE49-F238E27FC236}">
              <a16:creationId xmlns:a16="http://schemas.microsoft.com/office/drawing/2014/main" id="{79CF6B3E-FD8A-40FD-8161-3705091B64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5440" y="0"/>
          <a:ext cx="2087880" cy="56007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RAPHAEL VERGARA BAEZA" id="{7750BB42-1CA8-49FA-9A46-573E0896236A}" userId="S::ravergarab@uahurtado.cl::c401b92b-1eab-4c0c-af6d-2ac0cb8742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3" dT="2025-06-16T20:46:57.01" personId="{7750BB42-1CA8-49FA-9A46-573E0896236A}" id="{C57E3C0B-78DC-40A4-A278-393175F13ACF}">
    <text>De acuerdo al documento PDF “Rúbrica EPI Ciencia Política y RRII” esta sería una quinta dimensión a considerar, no separada por el cuadro visualmente.</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5-06-16T20:46:57.01" personId="{7750BB42-1CA8-49FA-9A46-573E0896236A}" id="{FDD3AFC1-13A9-4B92-9A08-BD1A97136542}">
    <text>De acuerdo al documento PDF “Rúbrica EPI Ciencia Política y RRII” esta sería una quinta dimensión a considerar, no separada por el cuadro visualmente.</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H13" sqref="H13"/>
    </sheetView>
  </sheetViews>
  <sheetFormatPr defaultColWidth="11.42578125" defaultRowHeight="14.4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 thickBot="1"/>
    <row r="4" spans="1:8" ht="15" thickBot="1">
      <c r="C4" s="99" t="s">
        <v>2</v>
      </c>
      <c r="D4" s="100"/>
      <c r="E4" s="100"/>
      <c r="F4" s="100"/>
      <c r="G4" s="101"/>
    </row>
    <row r="5" spans="1:8">
      <c r="C5" s="4" t="s">
        <v>3</v>
      </c>
      <c r="D5" s="4" t="s">
        <v>4</v>
      </c>
      <c r="E5" s="5" t="s">
        <v>5</v>
      </c>
      <c r="F5" s="4" t="s">
        <v>6</v>
      </c>
      <c r="G5" s="6" t="s">
        <v>7</v>
      </c>
    </row>
    <row r="6" spans="1:8" ht="15" thickBot="1">
      <c r="C6" s="7" t="s">
        <v>8</v>
      </c>
      <c r="D6" s="7" t="s">
        <v>9</v>
      </c>
      <c r="E6" s="8" t="s">
        <v>10</v>
      </c>
      <c r="F6" s="7" t="s">
        <v>11</v>
      </c>
      <c r="G6" s="9" t="s">
        <v>12</v>
      </c>
    </row>
    <row r="7" spans="1:8" ht="43.9" thickBot="1">
      <c r="C7" s="10" t="s">
        <v>13</v>
      </c>
      <c r="D7" s="11" t="s">
        <v>14</v>
      </c>
      <c r="E7" s="11" t="s">
        <v>15</v>
      </c>
      <c r="F7" s="11" t="s">
        <v>16</v>
      </c>
      <c r="G7" s="12" t="s">
        <v>17</v>
      </c>
    </row>
    <row r="8" spans="1:8">
      <c r="C8" s="13"/>
      <c r="D8" s="13"/>
      <c r="E8" s="13"/>
      <c r="F8" s="13"/>
      <c r="G8" s="14"/>
    </row>
    <row r="9" spans="1:8">
      <c r="A9" t="s">
        <v>18</v>
      </c>
      <c r="B9" s="15" t="s">
        <v>19</v>
      </c>
    </row>
    <row r="10" spans="1:8">
      <c r="B10" s="102" t="s">
        <v>20</v>
      </c>
      <c r="C10" s="103"/>
      <c r="D10" s="103"/>
      <c r="E10" s="103"/>
      <c r="F10" s="103"/>
      <c r="G10" s="103"/>
    </row>
    <row r="11" spans="1:8">
      <c r="B11" s="103"/>
      <c r="C11" s="103"/>
      <c r="D11" s="103"/>
      <c r="E11" s="103"/>
      <c r="F11" s="103"/>
      <c r="G11" s="103"/>
    </row>
    <row r="12" spans="1:8">
      <c r="B12" s="103"/>
      <c r="C12" s="103"/>
      <c r="D12" s="103"/>
      <c r="E12" s="103"/>
      <c r="F12" s="103"/>
      <c r="G12" s="103"/>
    </row>
    <row r="14" spans="1:8" ht="15" thickBot="1"/>
    <row r="15" spans="1:8" ht="15" thickBot="1">
      <c r="C15" s="99" t="s">
        <v>21</v>
      </c>
      <c r="D15" s="100"/>
      <c r="E15" s="100"/>
      <c r="F15" s="100"/>
      <c r="G15" s="101"/>
    </row>
    <row r="16" spans="1:8" ht="15" thickBot="1">
      <c r="B16" s="16"/>
      <c r="C16" s="17" t="s">
        <v>3</v>
      </c>
      <c r="D16" s="18" t="s">
        <v>4</v>
      </c>
      <c r="E16" s="19" t="s">
        <v>5</v>
      </c>
      <c r="F16" s="104" t="s">
        <v>22</v>
      </c>
      <c r="G16" s="105"/>
      <c r="H16" s="20"/>
    </row>
    <row r="17" spans="2:8" ht="15" thickBot="1">
      <c r="B17" s="21" t="s">
        <v>23</v>
      </c>
      <c r="C17" s="22" t="s">
        <v>24</v>
      </c>
      <c r="D17" s="23" t="s">
        <v>25</v>
      </c>
      <c r="E17" s="24" t="s">
        <v>26</v>
      </c>
      <c r="F17" s="106" t="s">
        <v>27</v>
      </c>
      <c r="G17" s="107"/>
      <c r="H17" s="20"/>
    </row>
    <row r="18" spans="2:8" ht="130.15" thickBot="1">
      <c r="B18" s="108" t="s">
        <v>28</v>
      </c>
      <c r="C18" s="25" t="s">
        <v>29</v>
      </c>
      <c r="D18" s="25" t="s">
        <v>30</v>
      </c>
      <c r="E18" s="25" t="s">
        <v>31</v>
      </c>
      <c r="F18" s="111" t="s">
        <v>32</v>
      </c>
      <c r="G18" s="112"/>
      <c r="H18" s="26" t="s">
        <v>33</v>
      </c>
    </row>
    <row r="19" spans="2:8">
      <c r="B19" s="109"/>
      <c r="C19" s="113" t="s">
        <v>34</v>
      </c>
      <c r="D19" s="113"/>
      <c r="E19" s="113" t="s">
        <v>35</v>
      </c>
      <c r="F19" s="113"/>
      <c r="G19" s="114"/>
      <c r="H19" s="20"/>
    </row>
    <row r="20" spans="2:8">
      <c r="B20" s="110"/>
      <c r="C20" s="115" t="s">
        <v>36</v>
      </c>
      <c r="D20" s="115"/>
      <c r="E20" s="115"/>
      <c r="F20" s="115"/>
      <c r="G20" s="116"/>
      <c r="H20" s="20"/>
    </row>
    <row r="21" spans="2:8" ht="15" customHeight="1">
      <c r="B21" s="117" t="s">
        <v>37</v>
      </c>
      <c r="C21" s="120" t="s">
        <v>38</v>
      </c>
      <c r="D21" s="121" t="s">
        <v>39</v>
      </c>
      <c r="E21" s="121" t="s">
        <v>40</v>
      </c>
      <c r="F21" s="124" t="s">
        <v>41</v>
      </c>
      <c r="G21" s="98"/>
    </row>
    <row r="22" spans="2:8">
      <c r="B22" s="118"/>
      <c r="C22" s="118"/>
      <c r="D22" s="118"/>
      <c r="E22" s="122"/>
      <c r="F22" s="125"/>
      <c r="G22" s="98"/>
    </row>
    <row r="23" spans="2:8">
      <c r="B23" s="118"/>
      <c r="C23" s="118"/>
      <c r="D23" s="118"/>
      <c r="E23" s="122"/>
      <c r="F23" s="125"/>
      <c r="G23" s="98"/>
    </row>
    <row r="24" spans="2:8">
      <c r="B24" s="118"/>
      <c r="C24" s="118"/>
      <c r="D24" s="118"/>
      <c r="E24" s="122"/>
      <c r="F24" s="125"/>
      <c r="G24" s="98"/>
    </row>
    <row r="25" spans="2:8">
      <c r="B25" s="118"/>
      <c r="C25" s="118"/>
      <c r="D25" s="118"/>
      <c r="E25" s="122"/>
      <c r="F25" s="125"/>
      <c r="G25" s="98"/>
    </row>
    <row r="26" spans="2:8">
      <c r="B26" s="118"/>
      <c r="C26" s="118"/>
      <c r="D26" s="118"/>
      <c r="E26" s="122"/>
      <c r="F26" s="125"/>
      <c r="G26" s="98"/>
    </row>
    <row r="27" spans="2:8">
      <c r="B27" s="118"/>
      <c r="C27" s="118"/>
      <c r="D27" s="118"/>
      <c r="E27" s="122"/>
      <c r="F27" s="125"/>
      <c r="G27" s="98"/>
    </row>
    <row r="28" spans="2:8">
      <c r="B28" s="118"/>
      <c r="C28" s="118"/>
      <c r="D28" s="118"/>
      <c r="E28" s="122"/>
      <c r="F28" s="125"/>
      <c r="G28" s="98"/>
    </row>
    <row r="29" spans="2:8">
      <c r="B29" s="118"/>
      <c r="C29" s="118"/>
      <c r="D29" s="118"/>
      <c r="E29" s="122"/>
      <c r="F29" s="125"/>
      <c r="G29" s="98"/>
    </row>
    <row r="30" spans="2:8">
      <c r="B30" s="118"/>
      <c r="C30" s="118"/>
      <c r="D30" s="118"/>
      <c r="E30" s="122"/>
      <c r="F30" s="125"/>
      <c r="G30" s="98"/>
    </row>
    <row r="31" spans="2:8">
      <c r="B31" s="118"/>
      <c r="C31" s="118"/>
      <c r="D31" s="118"/>
      <c r="E31" s="122"/>
      <c r="F31" s="125"/>
      <c r="G31" s="98"/>
    </row>
    <row r="32" spans="2:8">
      <c r="B32" s="118"/>
      <c r="C32" s="118"/>
      <c r="D32" s="118"/>
      <c r="E32" s="122"/>
      <c r="F32" s="125"/>
      <c r="G32" s="98"/>
    </row>
    <row r="33" spans="2:7">
      <c r="B33" s="118"/>
      <c r="C33" s="118"/>
      <c r="D33" s="118"/>
      <c r="E33" s="122"/>
      <c r="F33" s="125"/>
      <c r="G33" s="98"/>
    </row>
    <row r="34" spans="2:7">
      <c r="B34" s="119"/>
      <c r="C34" s="119"/>
      <c r="D34" s="119"/>
      <c r="E34" s="123"/>
      <c r="F34" s="125"/>
      <c r="G34" s="98"/>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D13" workbookViewId="0">
      <selection activeCell="AD44" sqref="AD44"/>
    </sheetView>
  </sheetViews>
  <sheetFormatPr defaultColWidth="11.42578125"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T211"/>
  <sheetViews>
    <sheetView tabSelected="1" topLeftCell="A20" workbookViewId="0">
      <selection activeCell="E33" sqref="E33"/>
    </sheetView>
  </sheetViews>
  <sheetFormatPr defaultColWidth="9.140625" defaultRowHeight="15" customHeight="1"/>
  <cols>
    <col min="1" max="1" width="20" customWidth="1"/>
    <col min="2" max="2" width="11.42578125" customWidth="1"/>
    <col min="3" max="3" width="41.42578125" customWidth="1"/>
    <col min="4" max="4" width="20.85546875" customWidth="1"/>
    <col min="5" max="5" width="23" customWidth="1"/>
    <col min="6" max="6" width="31.85546875" customWidth="1"/>
    <col min="7" max="7" width="46" customWidth="1"/>
    <col min="8" max="10" width="14.28515625" customWidth="1"/>
    <col min="11" max="11" width="24.85546875" customWidth="1"/>
    <col min="12" max="12" width="25.7109375" customWidth="1"/>
    <col min="13" max="13" width="18.85546875" customWidth="1"/>
    <col min="14" max="14" width="23" customWidth="1"/>
    <col min="15" max="15" width="4.85546875" customWidth="1"/>
    <col min="16" max="17" width="14.28515625" customWidth="1"/>
    <col min="18" max="18" width="22.7109375" customWidth="1"/>
    <col min="19" max="19" width="12.5703125" customWidth="1"/>
    <col min="20" max="20" width="33.85546875" customWidth="1"/>
  </cols>
  <sheetData>
    <row r="1" spans="1:20" s="3" customFormat="1" ht="93" customHeight="1">
      <c r="A1" s="132" t="s">
        <v>42</v>
      </c>
      <c r="B1" s="133"/>
      <c r="C1" s="133"/>
      <c r="D1" s="133"/>
      <c r="E1" s="133"/>
      <c r="F1" s="133"/>
      <c r="G1" s="133"/>
      <c r="H1" s="133"/>
      <c r="I1" s="133"/>
      <c r="J1" s="134"/>
      <c r="K1" s="138" t="s">
        <v>43</v>
      </c>
      <c r="L1" s="139"/>
      <c r="M1" s="139"/>
      <c r="N1" s="139"/>
      <c r="O1" s="139"/>
      <c r="P1" s="126" t="s">
        <v>44</v>
      </c>
      <c r="Q1" s="127"/>
      <c r="R1" s="128"/>
    </row>
    <row r="2" spans="1:20" s="3" customFormat="1" ht="93" customHeight="1">
      <c r="A2" s="135"/>
      <c r="B2" s="136"/>
      <c r="C2" s="136"/>
      <c r="D2" s="136"/>
      <c r="E2" s="136"/>
      <c r="F2" s="136"/>
      <c r="G2" s="136"/>
      <c r="H2" s="136"/>
      <c r="I2" s="136"/>
      <c r="J2" s="137"/>
      <c r="K2" s="140"/>
      <c r="L2" s="141"/>
      <c r="M2" s="141"/>
      <c r="N2" s="141"/>
      <c r="O2" s="141"/>
      <c r="P2" s="129"/>
      <c r="Q2" s="130"/>
      <c r="R2" s="131"/>
    </row>
    <row r="3" spans="1:20" s="1" customFormat="1" ht="87">
      <c r="A3" s="51" t="s">
        <v>45</v>
      </c>
      <c r="B3" s="42" t="s">
        <v>46</v>
      </c>
      <c r="C3" s="42"/>
      <c r="D3" s="42" t="s">
        <v>47</v>
      </c>
      <c r="E3" s="42" t="s">
        <v>48</v>
      </c>
      <c r="F3" s="42" t="s">
        <v>49</v>
      </c>
      <c r="G3" s="42" t="s">
        <v>50</v>
      </c>
      <c r="H3" s="42" t="s">
        <v>51</v>
      </c>
      <c r="I3" s="42" t="s">
        <v>52</v>
      </c>
      <c r="J3" s="43" t="s">
        <v>53</v>
      </c>
      <c r="K3" s="46" t="s">
        <v>54</v>
      </c>
      <c r="L3" s="47" t="s">
        <v>55</v>
      </c>
      <c r="M3" s="48" t="s">
        <v>56</v>
      </c>
      <c r="N3" s="48" t="s">
        <v>57</v>
      </c>
      <c r="O3" s="48"/>
      <c r="P3" s="39" t="s">
        <v>58</v>
      </c>
      <c r="Q3" s="33" t="s">
        <v>59</v>
      </c>
      <c r="R3" s="69" t="s">
        <v>60</v>
      </c>
      <c r="S3" s="71" t="s">
        <v>61</v>
      </c>
    </row>
    <row r="4" spans="1:20">
      <c r="A4" s="37">
        <v>19850361</v>
      </c>
      <c r="B4" s="50">
        <v>4</v>
      </c>
      <c r="C4" s="50" t="s">
        <v>62</v>
      </c>
      <c r="D4" s="63" t="s">
        <v>63</v>
      </c>
      <c r="E4" s="63" t="s">
        <v>64</v>
      </c>
      <c r="F4" s="63" t="s">
        <v>65</v>
      </c>
      <c r="G4" s="40"/>
      <c r="H4" s="80" t="s">
        <v>66</v>
      </c>
      <c r="I4" s="81">
        <v>45775</v>
      </c>
      <c r="J4" s="41"/>
      <c r="K4" s="57">
        <v>2</v>
      </c>
      <c r="L4" s="58">
        <v>1</v>
      </c>
      <c r="M4" s="58">
        <v>1</v>
      </c>
      <c r="N4" s="58">
        <v>1</v>
      </c>
      <c r="O4" s="58"/>
      <c r="P4" s="78">
        <f>SUM(K4:N4)</f>
        <v>5</v>
      </c>
      <c r="Q4" s="79">
        <f>(P4*1)/16</f>
        <v>0.3125</v>
      </c>
      <c r="R4" s="96" t="str">
        <f>IF(H4="Rendida ",IF('Resultados Individuales'!Q4&lt;49.5%,"Por Mejorar",IF('Resultados Individuales'!Q4&lt;64.5%,"Base",IF('Resultados Individuales'!Q4&lt;84.5%,"Satisfactorio","Óptimo"))),"No rendida o no válida")</f>
        <v>Por Mejorar</v>
      </c>
      <c r="S4" s="72">
        <v>4.5999999999999996</v>
      </c>
    </row>
    <row r="5" spans="1:20">
      <c r="A5" s="37">
        <v>20396277</v>
      </c>
      <c r="B5" s="50">
        <v>0</v>
      </c>
      <c r="C5" s="50" t="s">
        <v>67</v>
      </c>
      <c r="D5" s="63" t="s">
        <v>68</v>
      </c>
      <c r="E5" s="63" t="s">
        <v>69</v>
      </c>
      <c r="F5" s="63" t="s">
        <v>70</v>
      </c>
      <c r="G5" s="31"/>
      <c r="H5" s="82" t="s">
        <v>66</v>
      </c>
      <c r="I5" s="83">
        <v>45758</v>
      </c>
      <c r="J5" s="34"/>
      <c r="K5" s="59">
        <v>2</v>
      </c>
      <c r="L5" s="60">
        <v>2</v>
      </c>
      <c r="M5" s="60">
        <v>1</v>
      </c>
      <c r="N5" s="60">
        <v>3</v>
      </c>
      <c r="O5" s="60"/>
      <c r="P5" s="78">
        <f t="shared" ref="P5:P55" si="0">SUM(K5:N5)</f>
        <v>8</v>
      </c>
      <c r="Q5" s="79">
        <f t="shared" ref="Q5:Q55" si="1">(P5*1)/16</f>
        <v>0.5</v>
      </c>
      <c r="R5" s="96" t="str">
        <f>IF(H5="Rendida ",IF('Resultados Individuales'!Q5&lt;49.5%,"Por Mejorar",IF('Resultados Individuales'!Q5&lt;64.5%,"Base",IF('Resultados Individuales'!Q5&lt;84.5%,"Satisfactorio","Óptimo"))),"No rendida o no válida")</f>
        <v>Base</v>
      </c>
      <c r="S5" s="72">
        <v>4.9000000000000004</v>
      </c>
    </row>
    <row r="6" spans="1:20">
      <c r="A6" s="37">
        <v>20604367</v>
      </c>
      <c r="B6" s="50">
        <v>9</v>
      </c>
      <c r="C6" s="50" t="s">
        <v>71</v>
      </c>
      <c r="D6" s="63" t="s">
        <v>72</v>
      </c>
      <c r="E6" s="63" t="s">
        <v>73</v>
      </c>
      <c r="F6" s="63" t="s">
        <v>74</v>
      </c>
      <c r="G6" s="31"/>
      <c r="H6" s="84" t="s">
        <v>66</v>
      </c>
      <c r="I6" s="83">
        <v>45758</v>
      </c>
      <c r="J6" s="34"/>
      <c r="K6" s="59">
        <v>2</v>
      </c>
      <c r="L6" s="60">
        <v>1</v>
      </c>
      <c r="M6" s="60">
        <v>1</v>
      </c>
      <c r="N6" s="60">
        <v>2</v>
      </c>
      <c r="O6" s="60"/>
      <c r="P6" s="78">
        <f t="shared" si="0"/>
        <v>6</v>
      </c>
      <c r="Q6" s="79">
        <f t="shared" si="1"/>
        <v>0.375</v>
      </c>
      <c r="R6" s="96" t="str">
        <f>IF(H6="Rendida ",IF('Resultados Individuales'!Q6&lt;49.5%,"Por Mejorar",IF('Resultados Individuales'!Q6&lt;64.5%,"Base",IF('Resultados Individuales'!Q6&lt;84.5%,"Satisfactorio","Óptimo"))),"No rendida o no válida")</f>
        <v>Por Mejorar</v>
      </c>
      <c r="S6" s="72">
        <v>5.3</v>
      </c>
    </row>
    <row r="7" spans="1:20">
      <c r="A7" s="37">
        <v>20817354</v>
      </c>
      <c r="B7" s="50">
        <v>5</v>
      </c>
      <c r="C7" s="50" t="s">
        <v>75</v>
      </c>
      <c r="D7" s="63" t="s">
        <v>76</v>
      </c>
      <c r="E7" s="63" t="s">
        <v>77</v>
      </c>
      <c r="F7" s="63" t="s">
        <v>78</v>
      </c>
      <c r="G7" s="36"/>
      <c r="H7" s="84" t="s">
        <v>66</v>
      </c>
      <c r="I7" s="85">
        <v>45758</v>
      </c>
      <c r="J7" s="61"/>
      <c r="K7" s="62">
        <v>2</v>
      </c>
      <c r="L7" s="64">
        <v>1</v>
      </c>
      <c r="M7" s="64">
        <v>1</v>
      </c>
      <c r="N7" s="64">
        <v>1</v>
      </c>
      <c r="O7" s="64"/>
      <c r="P7" s="78">
        <f t="shared" si="0"/>
        <v>5</v>
      </c>
      <c r="Q7" s="79">
        <f t="shared" si="1"/>
        <v>0.3125</v>
      </c>
      <c r="R7" s="96" t="str">
        <f>IF(H7="Rendida ",IF('Resultados Individuales'!Q7&lt;49.5%,"Por Mejorar",IF('Resultados Individuales'!Q7&lt;64.5%,"Base",IF('Resultados Individuales'!Q7&lt;84.5%,"Satisfactorio","Óptimo"))),"No rendida o no válida")</f>
        <v>Por Mejorar</v>
      </c>
      <c r="S7" s="72">
        <v>4.7</v>
      </c>
    </row>
    <row r="8" spans="1:20">
      <c r="A8" s="37">
        <v>20877000</v>
      </c>
      <c r="B8" s="50">
        <v>4</v>
      </c>
      <c r="C8" s="50" t="s">
        <v>79</v>
      </c>
      <c r="D8" s="63" t="s">
        <v>80</v>
      </c>
      <c r="E8" s="63" t="s">
        <v>81</v>
      </c>
      <c r="F8" s="63" t="s">
        <v>82</v>
      </c>
      <c r="G8" s="36"/>
      <c r="H8" s="84" t="s">
        <v>66</v>
      </c>
      <c r="I8" s="85">
        <v>45758</v>
      </c>
      <c r="J8" s="61"/>
      <c r="K8" s="62">
        <v>2</v>
      </c>
      <c r="L8" s="64">
        <v>2</v>
      </c>
      <c r="M8" s="64">
        <v>2</v>
      </c>
      <c r="N8" s="64">
        <v>3</v>
      </c>
      <c r="O8" s="64"/>
      <c r="P8" s="78">
        <f t="shared" si="0"/>
        <v>9</v>
      </c>
      <c r="Q8" s="79">
        <f t="shared" si="1"/>
        <v>0.5625</v>
      </c>
      <c r="R8" s="96" t="str">
        <f>IF(H8="Rendida ",IF('Resultados Individuales'!Q8&lt;49.5%,"Por Mejorar",IF('Resultados Individuales'!Q8&lt;64.5%,"Base",IF('Resultados Individuales'!Q8&lt;84.5%,"Satisfactorio","Óptimo"))),"No rendida o no válida")</f>
        <v>Base</v>
      </c>
      <c r="S8" s="72">
        <v>4.5999999999999996</v>
      </c>
    </row>
    <row r="9" spans="1:20">
      <c r="A9" s="37">
        <v>20878583</v>
      </c>
      <c r="B9" s="50">
        <v>4</v>
      </c>
      <c r="C9" s="50" t="s">
        <v>83</v>
      </c>
      <c r="D9" s="63" t="s">
        <v>84</v>
      </c>
      <c r="E9" s="63" t="s">
        <v>85</v>
      </c>
      <c r="F9" s="63" t="s">
        <v>86</v>
      </c>
      <c r="G9" s="36"/>
      <c r="H9" s="84" t="s">
        <v>66</v>
      </c>
      <c r="I9" s="85">
        <v>45758</v>
      </c>
      <c r="J9" s="61"/>
      <c r="K9" s="62">
        <v>2</v>
      </c>
      <c r="L9" s="64">
        <v>1</v>
      </c>
      <c r="M9" s="64">
        <v>1</v>
      </c>
      <c r="N9" s="64">
        <v>2</v>
      </c>
      <c r="O9" s="64"/>
      <c r="P9" s="78">
        <f t="shared" si="0"/>
        <v>6</v>
      </c>
      <c r="Q9" s="79">
        <f t="shared" si="1"/>
        <v>0.375</v>
      </c>
      <c r="R9" s="96" t="str">
        <f>IF(H9="Rendida ",IF('Resultados Individuales'!Q9&lt;49.5%,"Por Mejorar",IF('Resultados Individuales'!Q9&lt;64.5%,"Base",IF('Resultados Individuales'!Q9&lt;84.5%,"Satisfactorio","Óptimo"))),"No rendida o no válida")</f>
        <v>Por Mejorar</v>
      </c>
      <c r="S9" s="72">
        <v>5.8</v>
      </c>
    </row>
    <row r="10" spans="1:20">
      <c r="A10" s="37">
        <v>20944492</v>
      </c>
      <c r="B10" s="50">
        <v>5</v>
      </c>
      <c r="C10" s="50" t="s">
        <v>87</v>
      </c>
      <c r="D10" s="63" t="s">
        <v>88</v>
      </c>
      <c r="E10" s="63" t="s">
        <v>84</v>
      </c>
      <c r="F10" s="63" t="s">
        <v>89</v>
      </c>
      <c r="G10" s="36"/>
      <c r="H10" s="84" t="s">
        <v>66</v>
      </c>
      <c r="I10" s="85">
        <v>45758</v>
      </c>
      <c r="J10" s="61"/>
      <c r="K10" s="62">
        <v>2</v>
      </c>
      <c r="L10" s="64">
        <v>1</v>
      </c>
      <c r="M10" s="64">
        <v>2</v>
      </c>
      <c r="N10" s="64">
        <v>2</v>
      </c>
      <c r="O10" s="64"/>
      <c r="P10" s="78">
        <f t="shared" si="0"/>
        <v>7</v>
      </c>
      <c r="Q10" s="79">
        <f t="shared" si="1"/>
        <v>0.4375</v>
      </c>
      <c r="R10" s="96" t="str">
        <f>IF(H10="Rendida ",IF('Resultados Individuales'!Q10&lt;49.5%,"Por Mejorar",IF('Resultados Individuales'!Q10&lt;64.5%,"Base",IF('Resultados Individuales'!Q10&lt;84.5%,"Satisfactorio","Óptimo"))),"No rendida o no válida")</f>
        <v>Por Mejorar</v>
      </c>
      <c r="S10" s="72">
        <v>5.2</v>
      </c>
    </row>
    <row r="11" spans="1:20">
      <c r="A11" s="37">
        <v>20953894</v>
      </c>
      <c r="B11" s="50">
        <v>6</v>
      </c>
      <c r="C11" s="50" t="s">
        <v>90</v>
      </c>
      <c r="D11" s="63" t="s">
        <v>91</v>
      </c>
      <c r="E11" s="63" t="s">
        <v>92</v>
      </c>
      <c r="F11" s="63" t="s">
        <v>93</v>
      </c>
      <c r="G11" s="73" t="s">
        <v>94</v>
      </c>
      <c r="H11" s="84" t="s">
        <v>95</v>
      </c>
      <c r="I11" s="86"/>
      <c r="J11" s="91" t="s">
        <v>96</v>
      </c>
      <c r="K11" s="76"/>
      <c r="L11" s="77"/>
      <c r="M11" s="77"/>
      <c r="N11" s="77"/>
      <c r="O11" s="77"/>
      <c r="P11" s="78">
        <f t="shared" si="0"/>
        <v>0</v>
      </c>
      <c r="Q11" s="79">
        <f t="shared" si="1"/>
        <v>0</v>
      </c>
      <c r="R11" s="96" t="str">
        <f>IF(H11="Rendida ",IF('Resultados Individuales'!Q11&lt;49.5%,"Por Mejorar",IF('Resultados Individuales'!Q11&lt;64.5%,"Base",IF('Resultados Individuales'!Q11&lt;84.5%,"Satisfactorio","Óptimo"))),"No rendida o no válida")</f>
        <v>No rendida o no válida</v>
      </c>
      <c r="S11" s="74">
        <v>4.9000000000000004</v>
      </c>
      <c r="T11" t="s">
        <v>97</v>
      </c>
    </row>
    <row r="12" spans="1:20">
      <c r="A12" s="37">
        <v>21082575</v>
      </c>
      <c r="B12" s="50">
        <v>4</v>
      </c>
      <c r="C12" s="50" t="s">
        <v>98</v>
      </c>
      <c r="D12" s="63" t="s">
        <v>99</v>
      </c>
      <c r="E12" s="63" t="s">
        <v>100</v>
      </c>
      <c r="F12" s="63" t="s">
        <v>101</v>
      </c>
      <c r="G12" s="36"/>
      <c r="H12" s="84" t="s">
        <v>66</v>
      </c>
      <c r="I12" s="85">
        <v>45758</v>
      </c>
      <c r="J12" s="61"/>
      <c r="K12" s="62">
        <v>2</v>
      </c>
      <c r="L12" s="64">
        <v>2</v>
      </c>
      <c r="M12" s="64">
        <v>2</v>
      </c>
      <c r="N12" s="64">
        <v>2</v>
      </c>
      <c r="O12" s="64"/>
      <c r="P12" s="78">
        <f t="shared" si="0"/>
        <v>8</v>
      </c>
      <c r="Q12" s="79">
        <f t="shared" si="1"/>
        <v>0.5</v>
      </c>
      <c r="R12" s="96" t="str">
        <f>IF(H12="Rendida ",IF('Resultados Individuales'!Q12&lt;49.5%,"Por Mejorar",IF('Resultados Individuales'!Q12&lt;64.5%,"Base",IF('Resultados Individuales'!Q12&lt;84.5%,"Satisfactorio","Óptimo"))),"No rendida o no válida")</f>
        <v>Base</v>
      </c>
      <c r="S12" s="72">
        <v>5.2</v>
      </c>
    </row>
    <row r="13" spans="1:20">
      <c r="A13" s="37">
        <v>21153093</v>
      </c>
      <c r="B13" s="50">
        <v>6</v>
      </c>
      <c r="C13" s="50" t="s">
        <v>102</v>
      </c>
      <c r="D13" s="63" t="s">
        <v>103</v>
      </c>
      <c r="E13" s="63" t="s">
        <v>104</v>
      </c>
      <c r="F13" s="63" t="s">
        <v>105</v>
      </c>
      <c r="G13" s="36"/>
      <c r="H13" s="84" t="s">
        <v>66</v>
      </c>
      <c r="I13" s="85">
        <v>45758</v>
      </c>
      <c r="J13" s="61"/>
      <c r="K13" s="62">
        <v>1</v>
      </c>
      <c r="L13" s="64">
        <v>2</v>
      </c>
      <c r="M13" s="64">
        <v>1</v>
      </c>
      <c r="N13" s="64">
        <v>2</v>
      </c>
      <c r="O13" s="64"/>
      <c r="P13" s="78">
        <f t="shared" si="0"/>
        <v>6</v>
      </c>
      <c r="Q13" s="79">
        <f t="shared" si="1"/>
        <v>0.375</v>
      </c>
      <c r="R13" s="96" t="str">
        <f>IF(H13="Rendida ",IF('Resultados Individuales'!Q13&lt;49.5%,"Por Mejorar",IF('Resultados Individuales'!Q13&lt;64.5%,"Base",IF('Resultados Individuales'!Q13&lt;84.5%,"Satisfactorio","Óptimo"))),"No rendida o no válida")</f>
        <v>Por Mejorar</v>
      </c>
      <c r="S13" s="72">
        <v>5.0999999999999996</v>
      </c>
    </row>
    <row r="14" spans="1:20">
      <c r="A14" s="37">
        <v>21227952</v>
      </c>
      <c r="B14" s="50">
        <v>8</v>
      </c>
      <c r="C14" s="50" t="s">
        <v>106</v>
      </c>
      <c r="D14" s="63" t="s">
        <v>107</v>
      </c>
      <c r="E14" s="63" t="s">
        <v>108</v>
      </c>
      <c r="F14" s="63" t="s">
        <v>109</v>
      </c>
      <c r="G14" s="36"/>
      <c r="H14" s="84" t="s">
        <v>66</v>
      </c>
      <c r="I14" s="85">
        <v>45758</v>
      </c>
      <c r="J14" s="61"/>
      <c r="K14" s="62">
        <v>1</v>
      </c>
      <c r="L14" s="64">
        <v>1</v>
      </c>
      <c r="M14" s="64">
        <v>2</v>
      </c>
      <c r="N14" s="64">
        <v>1</v>
      </c>
      <c r="O14" s="64"/>
      <c r="P14" s="78">
        <f t="shared" si="0"/>
        <v>5</v>
      </c>
      <c r="Q14" s="79">
        <f t="shared" si="1"/>
        <v>0.3125</v>
      </c>
      <c r="R14" s="96" t="str">
        <f>IF(H14="Rendida ",IF('Resultados Individuales'!Q14&lt;49.5%,"Por Mejorar",IF('Resultados Individuales'!Q14&lt;64.5%,"Base",IF('Resultados Individuales'!Q14&lt;84.5%,"Satisfactorio","Óptimo"))),"No rendida o no válida")</f>
        <v>Por Mejorar</v>
      </c>
      <c r="S14" s="72">
        <v>4.9000000000000004</v>
      </c>
    </row>
    <row r="15" spans="1:20">
      <c r="A15" s="37">
        <v>21242502</v>
      </c>
      <c r="B15" s="50">
        <v>8</v>
      </c>
      <c r="C15" s="50" t="s">
        <v>110</v>
      </c>
      <c r="D15" s="63" t="s">
        <v>111</v>
      </c>
      <c r="E15" s="63" t="s">
        <v>112</v>
      </c>
      <c r="F15" s="63" t="s">
        <v>113</v>
      </c>
      <c r="G15" s="36"/>
      <c r="H15" s="84" t="s">
        <v>66</v>
      </c>
      <c r="I15" s="85">
        <v>45758</v>
      </c>
      <c r="J15" s="61"/>
      <c r="K15" s="62">
        <v>2</v>
      </c>
      <c r="L15" s="64">
        <v>2</v>
      </c>
      <c r="M15" s="64">
        <v>2</v>
      </c>
      <c r="N15" s="64">
        <v>2</v>
      </c>
      <c r="O15" s="64"/>
      <c r="P15" s="78">
        <f t="shared" si="0"/>
        <v>8</v>
      </c>
      <c r="Q15" s="79">
        <f t="shared" si="1"/>
        <v>0.5</v>
      </c>
      <c r="R15" s="96" t="str">
        <f>IF(H15="Rendida ",IF('Resultados Individuales'!Q15&lt;49.5%,"Por Mejorar",IF('Resultados Individuales'!Q15&lt;64.5%,"Base",IF('Resultados Individuales'!Q15&lt;84.5%,"Satisfactorio","Óptimo"))),"No rendida o no válida")</f>
        <v>Base</v>
      </c>
      <c r="S15" s="72">
        <v>4.9000000000000004</v>
      </c>
    </row>
    <row r="16" spans="1:20">
      <c r="A16" s="37">
        <v>21251191</v>
      </c>
      <c r="B16" s="50">
        <v>9</v>
      </c>
      <c r="C16" s="50" t="s">
        <v>114</v>
      </c>
      <c r="D16" s="63" t="s">
        <v>115</v>
      </c>
      <c r="E16" s="63" t="s">
        <v>116</v>
      </c>
      <c r="F16" s="63" t="s">
        <v>117</v>
      </c>
      <c r="G16" s="36"/>
      <c r="H16" s="84" t="s">
        <v>66</v>
      </c>
      <c r="I16" s="85">
        <v>45758</v>
      </c>
      <c r="J16" s="61"/>
      <c r="K16" s="62">
        <v>4</v>
      </c>
      <c r="L16" s="64">
        <v>3</v>
      </c>
      <c r="M16" s="64">
        <v>3</v>
      </c>
      <c r="N16" s="64">
        <v>1</v>
      </c>
      <c r="O16" s="64"/>
      <c r="P16" s="78">
        <f t="shared" si="0"/>
        <v>11</v>
      </c>
      <c r="Q16" s="79">
        <f t="shared" si="1"/>
        <v>0.6875</v>
      </c>
      <c r="R16" s="96" t="str">
        <f>IF(H16="Rendida ",IF('Resultados Individuales'!Q16&lt;49.5%,"Por Mejorar",IF('Resultados Individuales'!Q16&lt;64.5%,"Base",IF('Resultados Individuales'!Q16&lt;84.5%,"Satisfactorio","Óptimo"))),"No rendida o no válida")</f>
        <v>Satisfactorio</v>
      </c>
      <c r="S16" s="72">
        <v>5.0999999999999996</v>
      </c>
    </row>
    <row r="17" spans="1:20">
      <c r="A17" s="37">
        <v>21264354</v>
      </c>
      <c r="B17" s="50">
        <v>8</v>
      </c>
      <c r="C17" s="50" t="s">
        <v>118</v>
      </c>
      <c r="D17" s="63" t="s">
        <v>119</v>
      </c>
      <c r="E17" s="63" t="s">
        <v>120</v>
      </c>
      <c r="F17" s="63" t="s">
        <v>121</v>
      </c>
      <c r="G17" s="35"/>
      <c r="H17" s="87" t="s">
        <v>66</v>
      </c>
      <c r="I17" s="85">
        <v>45758</v>
      </c>
      <c r="J17" s="65"/>
      <c r="K17" s="67">
        <v>1</v>
      </c>
      <c r="L17" s="68">
        <v>1</v>
      </c>
      <c r="M17" s="68">
        <v>2</v>
      </c>
      <c r="N17" s="68">
        <v>1</v>
      </c>
      <c r="O17" s="68"/>
      <c r="P17" s="78">
        <f t="shared" si="0"/>
        <v>5</v>
      </c>
      <c r="Q17" s="79">
        <f t="shared" si="1"/>
        <v>0.3125</v>
      </c>
      <c r="R17" s="96" t="str">
        <f>IF(H17="Rendida ",IF('Resultados Individuales'!Q17&lt;49.5%,"Por Mejorar",IF('Resultados Individuales'!Q17&lt;64.5%,"Base",IF('Resultados Individuales'!Q17&lt;84.5%,"Satisfactorio","Óptimo"))),"No rendida o no válida")</f>
        <v>Por Mejorar</v>
      </c>
      <c r="S17" s="72">
        <v>5.7</v>
      </c>
    </row>
    <row r="18" spans="1:20">
      <c r="A18" s="37">
        <v>21265706</v>
      </c>
      <c r="B18" s="50">
        <v>9</v>
      </c>
      <c r="C18" s="50" t="s">
        <v>122</v>
      </c>
      <c r="D18" s="63" t="s">
        <v>123</v>
      </c>
      <c r="E18" s="63" t="s">
        <v>124</v>
      </c>
      <c r="F18" s="63" t="s">
        <v>125</v>
      </c>
      <c r="G18" s="36"/>
      <c r="H18" s="84" t="s">
        <v>66</v>
      </c>
      <c r="I18" s="85">
        <v>45758</v>
      </c>
      <c r="J18" s="61"/>
      <c r="K18" s="62">
        <v>2</v>
      </c>
      <c r="L18" s="64">
        <v>3</v>
      </c>
      <c r="M18" s="64">
        <v>3</v>
      </c>
      <c r="N18" s="64">
        <v>3</v>
      </c>
      <c r="O18" s="64"/>
      <c r="P18" s="78">
        <f t="shared" si="0"/>
        <v>11</v>
      </c>
      <c r="Q18" s="79">
        <f t="shared" si="1"/>
        <v>0.6875</v>
      </c>
      <c r="R18" s="96" t="str">
        <f>IF(H18="Rendida ",IF('Resultados Individuales'!Q18&lt;49.5%,"Por Mejorar",IF('Resultados Individuales'!Q18&lt;64.5%,"Base",IF('Resultados Individuales'!Q18&lt;84.5%,"Satisfactorio","Óptimo"))),"No rendida o no válida")</f>
        <v>Satisfactorio</v>
      </c>
      <c r="S18" s="72">
        <v>5.6</v>
      </c>
    </row>
    <row r="19" spans="1:20">
      <c r="A19" s="37">
        <v>21275562</v>
      </c>
      <c r="B19" s="50">
        <v>1</v>
      </c>
      <c r="C19" s="50" t="s">
        <v>126</v>
      </c>
      <c r="D19" s="63" t="s">
        <v>127</v>
      </c>
      <c r="E19" s="63" t="s">
        <v>128</v>
      </c>
      <c r="F19" s="63" t="s">
        <v>129</v>
      </c>
      <c r="G19" s="36"/>
      <c r="H19" s="84" t="s">
        <v>66</v>
      </c>
      <c r="I19" s="85">
        <v>45758</v>
      </c>
      <c r="J19" s="84"/>
      <c r="K19" s="62">
        <v>3</v>
      </c>
      <c r="L19" s="64">
        <v>4</v>
      </c>
      <c r="M19" s="64">
        <v>4</v>
      </c>
      <c r="N19" s="64">
        <v>4</v>
      </c>
      <c r="O19" s="64"/>
      <c r="P19" s="78">
        <f t="shared" si="0"/>
        <v>15</v>
      </c>
      <c r="Q19" s="79">
        <f t="shared" si="1"/>
        <v>0.9375</v>
      </c>
      <c r="R19" s="97" t="str">
        <f>IF(H19="Rendida ",IF('Resultados Individuales'!Q19&lt;49.5%,"Por Mejorar",IF('Resultados Individuales'!Q19&lt;64.5%,"Base",IF('Resultados Individuales'!Q19&lt;84.5%,"Satisfactorio","Óptimo"))),"No rendida o no válida")</f>
        <v>Óptimo</v>
      </c>
      <c r="S19" s="72">
        <v>5.5</v>
      </c>
    </row>
    <row r="20" spans="1:20">
      <c r="A20" s="37">
        <v>21289514</v>
      </c>
      <c r="B20" s="50">
        <v>8</v>
      </c>
      <c r="C20" s="50" t="s">
        <v>130</v>
      </c>
      <c r="D20" s="63" t="s">
        <v>131</v>
      </c>
      <c r="E20" s="63" t="s">
        <v>72</v>
      </c>
      <c r="F20" s="63" t="s">
        <v>132</v>
      </c>
      <c r="G20" s="88"/>
      <c r="H20" s="84" t="s">
        <v>66</v>
      </c>
      <c r="I20" s="85">
        <v>45758</v>
      </c>
      <c r="J20" s="84"/>
      <c r="K20" s="62">
        <v>3</v>
      </c>
      <c r="L20" s="64">
        <v>2</v>
      </c>
      <c r="M20" s="64">
        <v>2</v>
      </c>
      <c r="N20" s="64">
        <v>3</v>
      </c>
      <c r="O20" s="64"/>
      <c r="P20" s="78">
        <f t="shared" si="0"/>
        <v>10</v>
      </c>
      <c r="Q20" s="79">
        <f t="shared" si="1"/>
        <v>0.625</v>
      </c>
      <c r="R20" s="96" t="str">
        <f>IF(H20="Rendida ",IF('Resultados Individuales'!Q20&lt;49.5%,"Por Mejorar",IF('Resultados Individuales'!Q20&lt;64.5%,"Base",IF('Resultados Individuales'!Q20&lt;84.5%,"Satisfactorio","Óptimo"))),"No rendida o no válida")</f>
        <v>Base</v>
      </c>
      <c r="S20" s="72">
        <v>5.8</v>
      </c>
    </row>
    <row r="21" spans="1:20">
      <c r="A21" s="37">
        <v>21300587</v>
      </c>
      <c r="B21" s="50">
        <v>1</v>
      </c>
      <c r="C21" s="50" t="s">
        <v>133</v>
      </c>
      <c r="D21" s="63" t="s">
        <v>134</v>
      </c>
      <c r="E21" s="63" t="s">
        <v>135</v>
      </c>
      <c r="F21" s="63" t="s">
        <v>136</v>
      </c>
      <c r="G21" s="36"/>
      <c r="H21" s="84" t="s">
        <v>66</v>
      </c>
      <c r="I21" s="85">
        <v>45758</v>
      </c>
      <c r="J21" s="84"/>
      <c r="K21" s="62">
        <v>3</v>
      </c>
      <c r="L21" s="64">
        <v>4</v>
      </c>
      <c r="M21" s="64">
        <v>3</v>
      </c>
      <c r="N21" s="64">
        <v>2</v>
      </c>
      <c r="O21" s="64"/>
      <c r="P21" s="78">
        <f t="shared" si="0"/>
        <v>12</v>
      </c>
      <c r="Q21" s="79">
        <f t="shared" si="1"/>
        <v>0.75</v>
      </c>
      <c r="R21" s="96" t="str">
        <f>IF(H21="Rendida ",IF('Resultados Individuales'!Q21&lt;49.5%,"Por Mejorar",IF('Resultados Individuales'!Q21&lt;64.5%,"Base",IF('Resultados Individuales'!Q21&lt;84.5%,"Satisfactorio","Óptimo"))),"No rendida o no válida")</f>
        <v>Satisfactorio</v>
      </c>
      <c r="S21" s="72">
        <v>5.6</v>
      </c>
    </row>
    <row r="22" spans="1:20">
      <c r="A22" s="37">
        <v>21304929</v>
      </c>
      <c r="B22" s="50">
        <v>1</v>
      </c>
      <c r="C22" s="50" t="s">
        <v>137</v>
      </c>
      <c r="D22" s="63" t="s">
        <v>138</v>
      </c>
      <c r="E22" s="63" t="s">
        <v>139</v>
      </c>
      <c r="F22" s="63" t="s">
        <v>140</v>
      </c>
      <c r="G22" s="36"/>
      <c r="H22" s="84" t="s">
        <v>66</v>
      </c>
      <c r="I22" s="85">
        <v>45758</v>
      </c>
      <c r="J22" s="61"/>
      <c r="K22" s="62">
        <v>2</v>
      </c>
      <c r="L22" s="64">
        <v>2</v>
      </c>
      <c r="M22" s="64">
        <v>2</v>
      </c>
      <c r="N22" s="64">
        <v>1</v>
      </c>
      <c r="O22" s="64"/>
      <c r="P22" s="78">
        <f t="shared" si="0"/>
        <v>7</v>
      </c>
      <c r="Q22" s="79">
        <f t="shared" si="1"/>
        <v>0.4375</v>
      </c>
      <c r="R22" s="96" t="str">
        <f>IF(H22="Rendida ",IF('Resultados Individuales'!Q22&lt;49.5%,"Por Mejorar",IF('Resultados Individuales'!Q22&lt;64.5%,"Base",IF('Resultados Individuales'!Q22&lt;84.5%,"Satisfactorio","Óptimo"))),"No rendida o no válida")</f>
        <v>Por Mejorar</v>
      </c>
      <c r="S22" s="72">
        <v>4.5999999999999996</v>
      </c>
    </row>
    <row r="23" spans="1:20">
      <c r="A23" s="37">
        <v>21328435</v>
      </c>
      <c r="B23" s="50">
        <v>5</v>
      </c>
      <c r="C23" s="50" t="s">
        <v>141</v>
      </c>
      <c r="D23" s="63" t="s">
        <v>138</v>
      </c>
      <c r="E23" s="63" t="s">
        <v>120</v>
      </c>
      <c r="F23" s="63" t="s">
        <v>142</v>
      </c>
      <c r="G23" s="73" t="s">
        <v>94</v>
      </c>
      <c r="H23" s="84" t="s">
        <v>143</v>
      </c>
      <c r="I23" s="89"/>
      <c r="J23" s="61" t="s">
        <v>143</v>
      </c>
      <c r="K23" s="76"/>
      <c r="L23" s="77"/>
      <c r="M23" s="77"/>
      <c r="N23" s="77"/>
      <c r="O23" s="77"/>
      <c r="P23" s="78">
        <f t="shared" si="0"/>
        <v>0</v>
      </c>
      <c r="Q23" s="79">
        <f t="shared" si="1"/>
        <v>0</v>
      </c>
      <c r="R23" s="96" t="str">
        <f>IF(H23="Rendida ",IF('Resultados Individuales'!Q23&lt;49.5%,"Por Mejorar",IF('Resultados Individuales'!Q23&lt;64.5%,"Base",IF('Resultados Individuales'!Q23&lt;84.5%,"Satisfactorio","Óptimo"))),"No rendida o no válida")</f>
        <v>No rendida o no válida</v>
      </c>
      <c r="S23" s="90"/>
      <c r="T23" t="s">
        <v>144</v>
      </c>
    </row>
    <row r="24" spans="1:20">
      <c r="A24" s="37">
        <v>21342357</v>
      </c>
      <c r="B24" s="50">
        <v>6</v>
      </c>
      <c r="C24" s="50" t="s">
        <v>145</v>
      </c>
      <c r="D24" s="63" t="s">
        <v>146</v>
      </c>
      <c r="E24" s="63" t="s">
        <v>147</v>
      </c>
      <c r="F24" s="63" t="s">
        <v>148</v>
      </c>
      <c r="G24" s="73"/>
      <c r="H24" s="84" t="s">
        <v>66</v>
      </c>
      <c r="I24" s="85">
        <v>45758</v>
      </c>
      <c r="J24" s="61"/>
      <c r="K24" s="62">
        <v>2</v>
      </c>
      <c r="L24" s="64">
        <v>2</v>
      </c>
      <c r="M24" s="64">
        <v>1</v>
      </c>
      <c r="N24" s="64">
        <v>2</v>
      </c>
      <c r="O24" s="64"/>
      <c r="P24" s="78">
        <f t="shared" si="0"/>
        <v>7</v>
      </c>
      <c r="Q24" s="79">
        <f t="shared" si="1"/>
        <v>0.4375</v>
      </c>
      <c r="R24" s="96" t="str">
        <f>IF(H24="Rendida ",IF('Resultados Individuales'!Q24&lt;49.5%,"Por Mejorar",IF('Resultados Individuales'!Q24&lt;64.5%,"Base",IF('Resultados Individuales'!Q24&lt;84.5%,"Satisfactorio","Óptimo"))),"No rendida o no válida")</f>
        <v>Por Mejorar</v>
      </c>
      <c r="S24" s="72">
        <v>5.8</v>
      </c>
    </row>
    <row r="25" spans="1:20">
      <c r="A25" s="37">
        <v>21350588</v>
      </c>
      <c r="B25" s="50">
        <v>2</v>
      </c>
      <c r="C25" s="50" t="s">
        <v>149</v>
      </c>
      <c r="D25" s="63" t="s">
        <v>150</v>
      </c>
      <c r="E25" s="63" t="s">
        <v>151</v>
      </c>
      <c r="F25" s="63" t="s">
        <v>152</v>
      </c>
      <c r="G25" s="35"/>
      <c r="H25" s="87" t="s">
        <v>66</v>
      </c>
      <c r="I25" s="85">
        <v>45758</v>
      </c>
      <c r="J25" s="87"/>
      <c r="K25" s="67">
        <v>2</v>
      </c>
      <c r="L25" s="68">
        <v>2</v>
      </c>
      <c r="M25" s="68">
        <v>2</v>
      </c>
      <c r="N25" s="68">
        <v>1</v>
      </c>
      <c r="O25" s="68"/>
      <c r="P25" s="78">
        <f t="shared" si="0"/>
        <v>7</v>
      </c>
      <c r="Q25" s="79">
        <f t="shared" si="1"/>
        <v>0.4375</v>
      </c>
      <c r="R25" s="97" t="str">
        <f>IF(H25="Rendida ",IF('Resultados Individuales'!Q25&lt;49.5%,"Por Mejorar",IF('Resultados Individuales'!Q25&lt;64.5%,"Base",IF('Resultados Individuales'!Q25&lt;84.5%,"Satisfactorio","Óptimo"))),"No rendida o no válida")</f>
        <v>Por Mejorar</v>
      </c>
      <c r="S25" s="72">
        <v>5.0999999999999996</v>
      </c>
    </row>
    <row r="26" spans="1:20">
      <c r="A26" s="37">
        <v>21360728</v>
      </c>
      <c r="B26" s="50">
        <v>6</v>
      </c>
      <c r="C26" s="50" t="s">
        <v>153</v>
      </c>
      <c r="D26" s="63" t="s">
        <v>154</v>
      </c>
      <c r="E26" s="63" t="s">
        <v>155</v>
      </c>
      <c r="F26" s="63" t="s">
        <v>156</v>
      </c>
      <c r="G26" s="70"/>
      <c r="H26" s="87" t="s">
        <v>66</v>
      </c>
      <c r="I26" s="85">
        <v>45758</v>
      </c>
      <c r="J26" s="87"/>
      <c r="K26" s="67">
        <v>2</v>
      </c>
      <c r="L26" s="68">
        <v>3</v>
      </c>
      <c r="M26" s="68">
        <v>2</v>
      </c>
      <c r="N26" s="68">
        <v>2</v>
      </c>
      <c r="O26" s="68"/>
      <c r="P26" s="78">
        <f t="shared" si="0"/>
        <v>9</v>
      </c>
      <c r="Q26" s="79">
        <f t="shared" si="1"/>
        <v>0.5625</v>
      </c>
      <c r="R26" s="97" t="str">
        <f>IF(H26="Rendida ",IF('Resultados Individuales'!Q26&lt;49.5%,"Por Mejorar",IF('Resultados Individuales'!Q26&lt;64.5%,"Base",IF('Resultados Individuales'!Q26&lt;84.5%,"Satisfactorio","Óptimo"))),"No rendida o no válida")</f>
        <v>Base</v>
      </c>
      <c r="S26" s="92">
        <v>5</v>
      </c>
    </row>
    <row r="27" spans="1:20">
      <c r="A27" s="37">
        <v>21429663</v>
      </c>
      <c r="B27" s="50">
        <v>2</v>
      </c>
      <c r="C27" s="50" t="s">
        <v>157</v>
      </c>
      <c r="D27" s="63" t="s">
        <v>158</v>
      </c>
      <c r="E27" s="63" t="s">
        <v>159</v>
      </c>
      <c r="F27" s="63" t="s">
        <v>160</v>
      </c>
      <c r="G27" s="73"/>
      <c r="H27" s="87" t="s">
        <v>66</v>
      </c>
      <c r="I27" s="85">
        <v>45758</v>
      </c>
      <c r="J27" s="61"/>
      <c r="K27" s="62">
        <v>2</v>
      </c>
      <c r="L27" s="64">
        <v>3</v>
      </c>
      <c r="M27" s="64">
        <v>2</v>
      </c>
      <c r="N27" s="64">
        <v>1</v>
      </c>
      <c r="O27" s="64"/>
      <c r="P27" s="78">
        <f t="shared" si="0"/>
        <v>8</v>
      </c>
      <c r="Q27" s="79">
        <f t="shared" si="1"/>
        <v>0.5</v>
      </c>
      <c r="R27" s="96" t="str">
        <f>IF(H27="Rendida ",IF('Resultados Individuales'!Q27&lt;49.5%,"Por Mejorar",IF('Resultados Individuales'!Q27&lt;64.5%,"Base",IF('Resultados Individuales'!Q27&lt;84.5%,"Satisfactorio","Óptimo"))),"No rendida o no válida")</f>
        <v>Base</v>
      </c>
      <c r="S27" s="72">
        <v>4.9000000000000004</v>
      </c>
    </row>
    <row r="28" spans="1:20">
      <c r="A28" s="37">
        <v>21436237</v>
      </c>
      <c r="B28" s="50">
        <v>6</v>
      </c>
      <c r="C28" s="50" t="s">
        <v>161</v>
      </c>
      <c r="D28" s="63" t="s">
        <v>162</v>
      </c>
      <c r="E28" s="63" t="s">
        <v>163</v>
      </c>
      <c r="F28" s="63" t="s">
        <v>164</v>
      </c>
      <c r="G28" s="73"/>
      <c r="H28" s="87" t="s">
        <v>66</v>
      </c>
      <c r="I28" s="85">
        <v>45758</v>
      </c>
      <c r="J28" s="61"/>
      <c r="K28" s="62">
        <v>2</v>
      </c>
      <c r="L28" s="64">
        <v>2</v>
      </c>
      <c r="M28" s="64">
        <v>2</v>
      </c>
      <c r="N28" s="64">
        <v>3</v>
      </c>
      <c r="O28" s="64"/>
      <c r="P28" s="78">
        <f t="shared" si="0"/>
        <v>9</v>
      </c>
      <c r="Q28" s="79">
        <f t="shared" si="1"/>
        <v>0.5625</v>
      </c>
      <c r="R28" s="96" t="str">
        <f>IF(H28="Rendida ",IF('Resultados Individuales'!Q28&lt;49.5%,"Por Mejorar",IF('Resultados Individuales'!Q28&lt;64.5%,"Base",IF('Resultados Individuales'!Q28&lt;84.5%,"Satisfactorio","Óptimo"))),"No rendida o no válida")</f>
        <v>Base</v>
      </c>
      <c r="S28" s="72">
        <v>5.5</v>
      </c>
    </row>
    <row r="29" spans="1:20">
      <c r="A29" s="37">
        <v>21450191</v>
      </c>
      <c r="B29" s="50">
        <v>0</v>
      </c>
      <c r="C29" s="50" t="s">
        <v>165</v>
      </c>
      <c r="D29" s="63" t="s">
        <v>166</v>
      </c>
      <c r="E29" s="63" t="s">
        <v>167</v>
      </c>
      <c r="F29" s="63" t="s">
        <v>168</v>
      </c>
      <c r="G29" s="36"/>
      <c r="H29" s="87" t="s">
        <v>66</v>
      </c>
      <c r="I29" s="85">
        <v>45758</v>
      </c>
      <c r="J29" s="61"/>
      <c r="K29" s="62">
        <v>3</v>
      </c>
      <c r="L29" s="64">
        <v>4</v>
      </c>
      <c r="M29" s="64">
        <v>3</v>
      </c>
      <c r="N29" s="64">
        <v>3</v>
      </c>
      <c r="O29" s="64"/>
      <c r="P29" s="78">
        <f t="shared" si="0"/>
        <v>13</v>
      </c>
      <c r="Q29" s="79">
        <f t="shared" si="1"/>
        <v>0.8125</v>
      </c>
      <c r="R29" s="96" t="str">
        <f>IF(H29="Rendida ",IF('Resultados Individuales'!Q29&lt;49.5%,"Por Mejorar",IF('Resultados Individuales'!Q29&lt;64.5%,"Base",IF('Resultados Individuales'!Q29&lt;84.5%,"Satisfactorio","Óptimo"))),"No rendida o no válida")</f>
        <v>Satisfactorio</v>
      </c>
      <c r="S29" s="72">
        <v>4.5</v>
      </c>
    </row>
    <row r="30" spans="1:20">
      <c r="A30" s="37">
        <v>21475698</v>
      </c>
      <c r="B30" s="50">
        <v>6</v>
      </c>
      <c r="C30" s="50" t="s">
        <v>169</v>
      </c>
      <c r="D30" s="63" t="s">
        <v>92</v>
      </c>
      <c r="E30" s="63" t="s">
        <v>170</v>
      </c>
      <c r="F30" s="63" t="s">
        <v>171</v>
      </c>
      <c r="G30" s="36"/>
      <c r="H30" s="87" t="s">
        <v>66</v>
      </c>
      <c r="I30" s="85">
        <v>45758</v>
      </c>
      <c r="J30" s="61"/>
      <c r="K30" s="62">
        <v>3</v>
      </c>
      <c r="L30" s="64">
        <v>2</v>
      </c>
      <c r="M30" s="64">
        <v>2</v>
      </c>
      <c r="N30" s="64">
        <v>1</v>
      </c>
      <c r="O30" s="64"/>
      <c r="P30" s="78">
        <f t="shared" si="0"/>
        <v>8</v>
      </c>
      <c r="Q30" s="79">
        <f t="shared" si="1"/>
        <v>0.5</v>
      </c>
      <c r="R30" s="96" t="str">
        <f>IF(H30="Rendida ",IF('Resultados Individuales'!Q30&lt;49.5%,"Por Mejorar",IF('Resultados Individuales'!Q30&lt;64.5%,"Base",IF('Resultados Individuales'!Q30&lt;84.5%,"Satisfactorio","Óptimo"))),"No rendida o no válida")</f>
        <v>Base</v>
      </c>
      <c r="S30" s="92">
        <v>5</v>
      </c>
    </row>
    <row r="31" spans="1:20">
      <c r="A31" s="37">
        <v>21476009</v>
      </c>
      <c r="B31" s="50">
        <v>6</v>
      </c>
      <c r="C31" s="50" t="s">
        <v>172</v>
      </c>
      <c r="D31" s="63" t="s">
        <v>173</v>
      </c>
      <c r="E31" s="63" t="s">
        <v>174</v>
      </c>
      <c r="F31" s="63" t="s">
        <v>175</v>
      </c>
      <c r="G31" s="36"/>
      <c r="H31" s="87" t="s">
        <v>66</v>
      </c>
      <c r="I31" s="85">
        <v>45758</v>
      </c>
      <c r="J31" s="61"/>
      <c r="K31" s="62">
        <v>2</v>
      </c>
      <c r="L31" s="64">
        <v>1</v>
      </c>
      <c r="M31" s="64">
        <v>1</v>
      </c>
      <c r="N31" s="64">
        <v>1</v>
      </c>
      <c r="O31" s="64"/>
      <c r="P31" s="78">
        <f t="shared" si="0"/>
        <v>5</v>
      </c>
      <c r="Q31" s="79">
        <f t="shared" si="1"/>
        <v>0.3125</v>
      </c>
      <c r="R31" s="96" t="str">
        <f>IF(H31="Rendida ",IF('Resultados Individuales'!Q31&lt;49.5%,"Por Mejorar",IF('Resultados Individuales'!Q31&lt;64.5%,"Base",IF('Resultados Individuales'!Q31&lt;84.5%,"Satisfactorio","Óptimo"))),"No rendida o no válida")</f>
        <v>Por Mejorar</v>
      </c>
      <c r="S31" s="72">
        <v>3.4</v>
      </c>
    </row>
    <row r="32" spans="1:20">
      <c r="A32" s="37">
        <v>21479731</v>
      </c>
      <c r="B32" s="50">
        <v>3</v>
      </c>
      <c r="C32" s="50" t="s">
        <v>176</v>
      </c>
      <c r="D32" s="63" t="s">
        <v>177</v>
      </c>
      <c r="E32" s="63" t="s">
        <v>178</v>
      </c>
      <c r="F32" s="63" t="s">
        <v>179</v>
      </c>
      <c r="G32" s="36"/>
      <c r="H32" s="87" t="s">
        <v>66</v>
      </c>
      <c r="I32" s="85">
        <v>45758</v>
      </c>
      <c r="J32" s="61"/>
      <c r="K32" s="62">
        <v>1</v>
      </c>
      <c r="L32" s="64">
        <v>2</v>
      </c>
      <c r="M32" s="64">
        <v>2</v>
      </c>
      <c r="N32" s="64">
        <v>2</v>
      </c>
      <c r="O32" s="64"/>
      <c r="P32" s="78">
        <f t="shared" si="0"/>
        <v>7</v>
      </c>
      <c r="Q32" s="79">
        <f t="shared" si="1"/>
        <v>0.4375</v>
      </c>
      <c r="R32" s="96" t="str">
        <f>IF(H32="Rendida ",IF('Resultados Individuales'!Q32&lt;49.5%,"Por Mejorar",IF('Resultados Individuales'!Q32&lt;64.5%,"Base",IF('Resultados Individuales'!Q32&lt;84.5%,"Satisfactorio","Óptimo"))),"No rendida o no válida")</f>
        <v>Por Mejorar</v>
      </c>
      <c r="S32" s="72">
        <v>4.5999999999999996</v>
      </c>
    </row>
    <row r="33" spans="1:20">
      <c r="A33" s="37">
        <v>21483662</v>
      </c>
      <c r="B33" s="50">
        <v>9</v>
      </c>
      <c r="C33" s="50" t="s">
        <v>180</v>
      </c>
      <c r="D33" s="63" t="s">
        <v>181</v>
      </c>
      <c r="E33" s="63" t="s">
        <v>182</v>
      </c>
      <c r="F33" s="63" t="s">
        <v>183</v>
      </c>
      <c r="G33" s="36"/>
      <c r="H33" s="87" t="s">
        <v>66</v>
      </c>
      <c r="I33" s="85">
        <v>45758</v>
      </c>
      <c r="J33" s="61"/>
      <c r="K33" s="62">
        <v>1</v>
      </c>
      <c r="L33" s="64">
        <v>1</v>
      </c>
      <c r="M33" s="64">
        <v>1</v>
      </c>
      <c r="N33" s="64">
        <v>1</v>
      </c>
      <c r="O33" s="64"/>
      <c r="P33" s="78">
        <f t="shared" si="0"/>
        <v>4</v>
      </c>
      <c r="Q33" s="79">
        <f t="shared" si="1"/>
        <v>0.25</v>
      </c>
      <c r="R33" s="96" t="str">
        <f>IF(H33="Rendida ",IF('Resultados Individuales'!Q33&lt;49.5%,"Por Mejorar",IF('Resultados Individuales'!Q33&lt;64.5%,"Base",IF('Resultados Individuales'!Q33&lt;84.5%,"Satisfactorio","Óptimo"))),"No rendida o no válida")</f>
        <v>Por Mejorar</v>
      </c>
      <c r="S33" s="72">
        <v>5.2</v>
      </c>
    </row>
    <row r="34" spans="1:20">
      <c r="A34" s="37">
        <v>21498187</v>
      </c>
      <c r="B34" s="50">
        <v>4</v>
      </c>
      <c r="C34" s="50" t="s">
        <v>184</v>
      </c>
      <c r="D34" s="63" t="s">
        <v>185</v>
      </c>
      <c r="E34" s="63" t="s">
        <v>186</v>
      </c>
      <c r="F34" s="63" t="s">
        <v>187</v>
      </c>
      <c r="G34" s="73" t="s">
        <v>94</v>
      </c>
      <c r="H34" s="87" t="s">
        <v>143</v>
      </c>
      <c r="I34" s="89"/>
      <c r="J34" s="61" t="s">
        <v>143</v>
      </c>
      <c r="K34" s="76"/>
      <c r="L34" s="77"/>
      <c r="M34" s="77"/>
      <c r="N34" s="77"/>
      <c r="O34" s="77"/>
      <c r="P34" s="78">
        <f t="shared" si="0"/>
        <v>0</v>
      </c>
      <c r="Q34" s="79">
        <f t="shared" si="1"/>
        <v>0</v>
      </c>
      <c r="R34" s="96" t="str">
        <f>IF(H34="Rendida ",IF('Resultados Individuales'!Q34&lt;49.5%,"Por Mejorar",IF('Resultados Individuales'!Q34&lt;64.5%,"Base",IF('Resultados Individuales'!Q34&lt;84.5%,"Satisfactorio","Óptimo"))),"No rendida o no válida")</f>
        <v>No rendida o no válida</v>
      </c>
      <c r="S34" s="90"/>
      <c r="T34" t="s">
        <v>144</v>
      </c>
    </row>
    <row r="35" spans="1:20">
      <c r="A35" s="37">
        <v>21514916</v>
      </c>
      <c r="B35" s="50">
        <v>1</v>
      </c>
      <c r="C35" s="50" t="s">
        <v>188</v>
      </c>
      <c r="D35" s="63" t="s">
        <v>189</v>
      </c>
      <c r="E35" s="63" t="s">
        <v>190</v>
      </c>
      <c r="F35" s="63" t="s">
        <v>191</v>
      </c>
      <c r="G35" s="73" t="s">
        <v>94</v>
      </c>
      <c r="H35" s="87" t="s">
        <v>143</v>
      </c>
      <c r="I35" s="89"/>
      <c r="J35" s="61" t="s">
        <v>143</v>
      </c>
      <c r="K35" s="76"/>
      <c r="L35" s="77"/>
      <c r="M35" s="77"/>
      <c r="N35" s="77"/>
      <c r="O35" s="77"/>
      <c r="P35" s="78">
        <f t="shared" si="0"/>
        <v>0</v>
      </c>
      <c r="Q35" s="79">
        <f t="shared" si="1"/>
        <v>0</v>
      </c>
      <c r="R35" s="96" t="str">
        <f>IF(H35="Rendida ",IF('Resultados Individuales'!Q35&lt;49.5%,"Por Mejorar",IF('Resultados Individuales'!Q35&lt;64.5%,"Base",IF('Resultados Individuales'!Q35&lt;84.5%,"Satisfactorio","Óptimo"))),"No rendida o no válida")</f>
        <v>No rendida o no válida</v>
      </c>
      <c r="S35" s="90"/>
      <c r="T35" t="s">
        <v>144</v>
      </c>
    </row>
    <row r="36" spans="1:20">
      <c r="A36" s="37">
        <v>21527115</v>
      </c>
      <c r="B36" s="50">
        <v>3</v>
      </c>
      <c r="C36" s="50" t="s">
        <v>192</v>
      </c>
      <c r="D36" s="63" t="s">
        <v>193</v>
      </c>
      <c r="E36" s="63" t="s">
        <v>194</v>
      </c>
      <c r="F36" s="63" t="s">
        <v>195</v>
      </c>
      <c r="G36" s="36"/>
      <c r="H36" s="87" t="s">
        <v>66</v>
      </c>
      <c r="I36" s="85">
        <v>45758</v>
      </c>
      <c r="J36" s="61"/>
      <c r="K36" s="62">
        <v>4</v>
      </c>
      <c r="L36" s="64">
        <v>2</v>
      </c>
      <c r="M36" s="64">
        <v>3</v>
      </c>
      <c r="N36" s="64">
        <v>1</v>
      </c>
      <c r="O36" s="64"/>
      <c r="P36" s="78">
        <f t="shared" si="0"/>
        <v>10</v>
      </c>
      <c r="Q36" s="79">
        <f t="shared" si="1"/>
        <v>0.625</v>
      </c>
      <c r="R36" s="96" t="str">
        <f>IF(H36="Rendida ",IF('Resultados Individuales'!Q36&lt;49.5%,"Por Mejorar",IF('Resultados Individuales'!Q36&lt;64.5%,"Base",IF('Resultados Individuales'!Q36&lt;84.5%,"Satisfactorio","Óptimo"))),"No rendida o no válida")</f>
        <v>Base</v>
      </c>
      <c r="S36" s="72">
        <v>5.6</v>
      </c>
    </row>
    <row r="37" spans="1:20">
      <c r="A37" s="37">
        <v>21529159</v>
      </c>
      <c r="B37" s="50">
        <v>6</v>
      </c>
      <c r="C37" s="50" t="s">
        <v>196</v>
      </c>
      <c r="D37" s="63" t="s">
        <v>197</v>
      </c>
      <c r="E37" s="63" t="s">
        <v>146</v>
      </c>
      <c r="F37" s="63" t="s">
        <v>198</v>
      </c>
      <c r="G37" s="36"/>
      <c r="H37" s="87" t="s">
        <v>66</v>
      </c>
      <c r="I37" s="85">
        <v>45758</v>
      </c>
      <c r="J37" s="61"/>
      <c r="K37" s="62">
        <v>2</v>
      </c>
      <c r="L37" s="64">
        <v>2</v>
      </c>
      <c r="M37" s="64">
        <v>2</v>
      </c>
      <c r="N37" s="64">
        <v>1</v>
      </c>
      <c r="O37" s="64"/>
      <c r="P37" s="78">
        <f t="shared" si="0"/>
        <v>7</v>
      </c>
      <c r="Q37" s="79">
        <f t="shared" si="1"/>
        <v>0.4375</v>
      </c>
      <c r="R37" s="96" t="str">
        <f>IF(H37="Rendida ",IF('Resultados Individuales'!Q37&lt;49.5%,"Por Mejorar",IF('Resultados Individuales'!Q37&lt;64.5%,"Base",IF('Resultados Individuales'!Q37&lt;84.5%,"Satisfactorio","Óptimo"))),"No rendida o no válida")</f>
        <v>Por Mejorar</v>
      </c>
      <c r="S37" s="92">
        <v>5</v>
      </c>
    </row>
    <row r="38" spans="1:20">
      <c r="A38" s="37">
        <v>21550070</v>
      </c>
      <c r="B38" s="50">
        <v>5</v>
      </c>
      <c r="C38" s="50" t="s">
        <v>199</v>
      </c>
      <c r="D38" s="63" t="s">
        <v>200</v>
      </c>
      <c r="E38" s="63" t="s">
        <v>170</v>
      </c>
      <c r="F38" s="63" t="s">
        <v>201</v>
      </c>
      <c r="G38" s="36"/>
      <c r="H38" s="87" t="s">
        <v>66</v>
      </c>
      <c r="I38" s="85">
        <v>45758</v>
      </c>
      <c r="J38" s="61"/>
      <c r="K38" s="62">
        <v>1</v>
      </c>
      <c r="L38" s="64">
        <v>1</v>
      </c>
      <c r="M38" s="64">
        <v>1</v>
      </c>
      <c r="N38" s="64">
        <v>1</v>
      </c>
      <c r="O38" s="64"/>
      <c r="P38" s="78">
        <f t="shared" si="0"/>
        <v>4</v>
      </c>
      <c r="Q38" s="79">
        <f t="shared" si="1"/>
        <v>0.25</v>
      </c>
      <c r="R38" s="96" t="str">
        <f>IF(H38="Rendida ",IF('Resultados Individuales'!Q38&lt;49.5%,"Por Mejorar",IF('Resultados Individuales'!Q38&lt;64.5%,"Base",IF('Resultados Individuales'!Q38&lt;84.5%,"Satisfactorio","Óptimo"))),"No rendida o no válida")</f>
        <v>Por Mejorar</v>
      </c>
      <c r="S38" s="72">
        <v>4.4000000000000004</v>
      </c>
    </row>
    <row r="39" spans="1:20">
      <c r="A39" s="37">
        <v>21576667</v>
      </c>
      <c r="B39" s="50">
        <v>5</v>
      </c>
      <c r="C39" s="50" t="s">
        <v>202</v>
      </c>
      <c r="D39" s="63" t="s">
        <v>203</v>
      </c>
      <c r="E39" s="63" t="s">
        <v>204</v>
      </c>
      <c r="F39" s="63" t="s">
        <v>205</v>
      </c>
      <c r="G39" s="73"/>
      <c r="H39" s="87" t="s">
        <v>66</v>
      </c>
      <c r="I39" s="85">
        <v>45758</v>
      </c>
      <c r="J39" s="61"/>
      <c r="K39" s="62">
        <v>3</v>
      </c>
      <c r="L39" s="64">
        <v>4</v>
      </c>
      <c r="M39" s="64">
        <v>3</v>
      </c>
      <c r="N39" s="64">
        <v>4</v>
      </c>
      <c r="O39" s="64"/>
      <c r="P39" s="78">
        <f t="shared" si="0"/>
        <v>14</v>
      </c>
      <c r="Q39" s="79">
        <f t="shared" si="1"/>
        <v>0.875</v>
      </c>
      <c r="R39" s="96" t="str">
        <f>IF(H39="Rendida ",IF('Resultados Individuales'!Q39&lt;49.5%,"Por Mejorar",IF('Resultados Individuales'!Q39&lt;64.5%,"Base",IF('Resultados Individuales'!Q39&lt;84.5%,"Satisfactorio","Óptimo"))),"No rendida o no válida")</f>
        <v>Óptimo</v>
      </c>
      <c r="S39" s="72">
        <v>4.9000000000000004</v>
      </c>
    </row>
    <row r="40" spans="1:20">
      <c r="A40" s="37">
        <v>21588818</v>
      </c>
      <c r="B40" s="50">
        <v>5</v>
      </c>
      <c r="C40" s="50" t="s">
        <v>206</v>
      </c>
      <c r="D40" s="63" t="s">
        <v>73</v>
      </c>
      <c r="E40" s="63" t="s">
        <v>207</v>
      </c>
      <c r="F40" s="63" t="s">
        <v>208</v>
      </c>
      <c r="G40" s="35"/>
      <c r="H40" s="87" t="s">
        <v>66</v>
      </c>
      <c r="I40" s="85">
        <v>45758</v>
      </c>
      <c r="J40" s="65"/>
      <c r="K40" s="67">
        <v>2</v>
      </c>
      <c r="L40" s="68">
        <v>4</v>
      </c>
      <c r="M40" s="68">
        <v>2</v>
      </c>
      <c r="N40" s="68">
        <v>2</v>
      </c>
      <c r="O40" s="68"/>
      <c r="P40" s="78">
        <f t="shared" si="0"/>
        <v>10</v>
      </c>
      <c r="Q40" s="79">
        <f t="shared" si="1"/>
        <v>0.625</v>
      </c>
      <c r="R40" s="96" t="str">
        <f>IF(H40="Rendida ",IF('Resultados Individuales'!Q40&lt;49.5%,"Por Mejorar",IF('Resultados Individuales'!Q40&lt;64.5%,"Base",IF('Resultados Individuales'!Q40&lt;84.5%,"Satisfactorio","Óptimo"))),"No rendida o no válida")</f>
        <v>Base</v>
      </c>
      <c r="S40" s="72">
        <v>5.6</v>
      </c>
    </row>
    <row r="41" spans="1:20">
      <c r="A41" s="37">
        <v>21598337</v>
      </c>
      <c r="B41" s="50">
        <v>4</v>
      </c>
      <c r="C41" s="50" t="s">
        <v>209</v>
      </c>
      <c r="D41" s="63" t="s">
        <v>210</v>
      </c>
      <c r="E41" s="63" t="s">
        <v>186</v>
      </c>
      <c r="F41" s="63" t="s">
        <v>211</v>
      </c>
      <c r="G41" s="36"/>
      <c r="H41" s="87" t="s">
        <v>66</v>
      </c>
      <c r="I41" s="85">
        <v>45758</v>
      </c>
      <c r="J41" s="61"/>
      <c r="K41" s="62">
        <v>1</v>
      </c>
      <c r="L41" s="64">
        <v>1</v>
      </c>
      <c r="M41" s="64">
        <v>1</v>
      </c>
      <c r="N41" s="64">
        <v>1</v>
      </c>
      <c r="O41" s="64"/>
      <c r="P41" s="78">
        <f t="shared" si="0"/>
        <v>4</v>
      </c>
      <c r="Q41" s="79">
        <f t="shared" si="1"/>
        <v>0.25</v>
      </c>
      <c r="R41" s="96" t="str">
        <f>IF(H41="Rendida ",IF('Resultados Individuales'!Q41&lt;49.5%,"Por Mejorar",IF('Resultados Individuales'!Q41&lt;64.5%,"Base",IF('Resultados Individuales'!Q41&lt;84.5%,"Satisfactorio","Óptimo"))),"No rendida o no válida")</f>
        <v>Por Mejorar</v>
      </c>
      <c r="S41" s="72">
        <v>4.2</v>
      </c>
    </row>
    <row r="42" spans="1:20">
      <c r="A42" s="37">
        <v>21635636</v>
      </c>
      <c r="B42" s="50">
        <v>5</v>
      </c>
      <c r="C42" s="50" t="s">
        <v>212</v>
      </c>
      <c r="D42" s="63" t="s">
        <v>213</v>
      </c>
      <c r="E42" s="63" t="s">
        <v>177</v>
      </c>
      <c r="F42" s="63" t="s">
        <v>214</v>
      </c>
      <c r="G42" s="73"/>
      <c r="H42" s="87" t="s">
        <v>66</v>
      </c>
      <c r="I42" s="85">
        <v>45758</v>
      </c>
      <c r="J42" s="61"/>
      <c r="K42" s="62">
        <v>3</v>
      </c>
      <c r="L42" s="64">
        <v>2</v>
      </c>
      <c r="M42" s="64">
        <v>3</v>
      </c>
      <c r="N42" s="64">
        <v>3</v>
      </c>
      <c r="O42" s="64"/>
      <c r="P42" s="78">
        <f t="shared" si="0"/>
        <v>11</v>
      </c>
      <c r="Q42" s="79">
        <f t="shared" si="1"/>
        <v>0.6875</v>
      </c>
      <c r="R42" s="96" t="str">
        <f>IF(H42="Rendida ",IF('Resultados Individuales'!Q42&lt;49.5%,"Por Mejorar",IF('Resultados Individuales'!Q42&lt;64.5%,"Base",IF('Resultados Individuales'!Q42&lt;84.5%,"Satisfactorio","Óptimo"))),"No rendida o no válida")</f>
        <v>Satisfactorio</v>
      </c>
      <c r="S42" s="92">
        <v>5</v>
      </c>
    </row>
    <row r="43" spans="1:20">
      <c r="A43" s="37">
        <v>21687889</v>
      </c>
      <c r="B43" s="50">
        <v>2</v>
      </c>
      <c r="C43" s="50" t="s">
        <v>215</v>
      </c>
      <c r="D43" s="63" t="s">
        <v>216</v>
      </c>
      <c r="E43" s="63" t="s">
        <v>186</v>
      </c>
      <c r="F43" s="63" t="s">
        <v>217</v>
      </c>
      <c r="G43" s="36"/>
      <c r="H43" s="87" t="s">
        <v>66</v>
      </c>
      <c r="I43" s="85">
        <v>45758</v>
      </c>
      <c r="J43" s="61"/>
      <c r="K43" s="62">
        <v>2</v>
      </c>
      <c r="L43" s="64">
        <v>2</v>
      </c>
      <c r="M43" s="64">
        <v>2</v>
      </c>
      <c r="N43" s="64">
        <v>1</v>
      </c>
      <c r="O43" s="64"/>
      <c r="P43" s="78">
        <f t="shared" si="0"/>
        <v>7</v>
      </c>
      <c r="Q43" s="79">
        <f t="shared" si="1"/>
        <v>0.4375</v>
      </c>
      <c r="R43" s="96" t="str">
        <f>IF(H43="Rendida ",IF('Resultados Individuales'!Q43&lt;49.5%,"Por Mejorar",IF('Resultados Individuales'!Q43&lt;64.5%,"Base",IF('Resultados Individuales'!Q43&lt;84.5%,"Satisfactorio","Óptimo"))),"No rendida o no válida")</f>
        <v>Por Mejorar</v>
      </c>
      <c r="S43" s="72">
        <v>5</v>
      </c>
    </row>
    <row r="44" spans="1:20">
      <c r="A44" s="37">
        <v>21723247</v>
      </c>
      <c r="B44" s="50">
        <v>3</v>
      </c>
      <c r="C44" s="50" t="s">
        <v>218</v>
      </c>
      <c r="D44" s="63" t="s">
        <v>219</v>
      </c>
      <c r="E44" s="63" t="s">
        <v>173</v>
      </c>
      <c r="F44" s="63" t="s">
        <v>220</v>
      </c>
      <c r="G44" s="36"/>
      <c r="H44" s="87" t="s">
        <v>66</v>
      </c>
      <c r="I44" s="85">
        <v>45758</v>
      </c>
      <c r="J44" s="61"/>
      <c r="K44" s="62">
        <v>2</v>
      </c>
      <c r="L44" s="64">
        <v>1</v>
      </c>
      <c r="M44" s="64">
        <v>2</v>
      </c>
      <c r="N44" s="64">
        <v>1</v>
      </c>
      <c r="O44" s="64"/>
      <c r="P44" s="78">
        <f t="shared" si="0"/>
        <v>6</v>
      </c>
      <c r="Q44" s="79">
        <f t="shared" si="1"/>
        <v>0.375</v>
      </c>
      <c r="R44" s="96" t="str">
        <f>IF(H44="Rendida ",IF('Resultados Individuales'!Q44&lt;49.5%,"Por Mejorar",IF('Resultados Individuales'!Q44&lt;64.5%,"Base",IF('Resultados Individuales'!Q44&lt;84.5%,"Satisfactorio","Óptimo"))),"No rendida o no válida")</f>
        <v>Por Mejorar</v>
      </c>
      <c r="S44" s="72">
        <v>5.2</v>
      </c>
    </row>
    <row r="45" spans="1:20">
      <c r="A45" s="37">
        <v>21731073</v>
      </c>
      <c r="B45" s="50">
        <v>3</v>
      </c>
      <c r="C45" s="50" t="s">
        <v>221</v>
      </c>
      <c r="D45" s="63" t="s">
        <v>186</v>
      </c>
      <c r="E45" s="63" t="s">
        <v>222</v>
      </c>
      <c r="F45" s="63" t="s">
        <v>223</v>
      </c>
      <c r="G45" s="36"/>
      <c r="H45" s="87" t="s">
        <v>66</v>
      </c>
      <c r="I45" s="85">
        <v>45758</v>
      </c>
      <c r="J45" s="61"/>
      <c r="K45" s="62">
        <v>1</v>
      </c>
      <c r="L45" s="64">
        <v>2</v>
      </c>
      <c r="M45" s="64">
        <v>1</v>
      </c>
      <c r="N45" s="64">
        <v>2</v>
      </c>
      <c r="O45" s="64"/>
      <c r="P45" s="78">
        <f t="shared" si="0"/>
        <v>6</v>
      </c>
      <c r="Q45" s="79">
        <f t="shared" si="1"/>
        <v>0.375</v>
      </c>
      <c r="R45" s="96" t="str">
        <f>IF(H45="Rendida ",IF('Resultados Individuales'!Q45&lt;49.5%,"Por Mejorar",IF('Resultados Individuales'!Q45&lt;64.5%,"Base",IF('Resultados Individuales'!Q45&lt;84.5%,"Satisfactorio","Óptimo"))),"No rendida o no válida")</f>
        <v>Por Mejorar</v>
      </c>
      <c r="S45" s="72">
        <v>4.5</v>
      </c>
    </row>
    <row r="46" spans="1:20">
      <c r="A46" s="37">
        <v>21733240</v>
      </c>
      <c r="B46" s="50">
        <v>0</v>
      </c>
      <c r="C46" s="50" t="s">
        <v>224</v>
      </c>
      <c r="D46" s="63" t="s">
        <v>225</v>
      </c>
      <c r="E46" s="63" t="s">
        <v>185</v>
      </c>
      <c r="F46" s="63" t="s">
        <v>226</v>
      </c>
      <c r="G46" s="36"/>
      <c r="H46" s="87" t="s">
        <v>66</v>
      </c>
      <c r="I46" s="85">
        <v>45758</v>
      </c>
      <c r="J46" s="61"/>
      <c r="K46" s="62">
        <v>3</v>
      </c>
      <c r="L46" s="64">
        <v>2</v>
      </c>
      <c r="M46" s="64">
        <v>2</v>
      </c>
      <c r="N46" s="64">
        <v>1</v>
      </c>
      <c r="O46" s="64"/>
      <c r="P46" s="78">
        <f t="shared" si="0"/>
        <v>8</v>
      </c>
      <c r="Q46" s="79">
        <f t="shared" si="1"/>
        <v>0.5</v>
      </c>
      <c r="R46" s="96" t="str">
        <f>IF(H46="Rendida ",IF('Resultados Individuales'!Q46&lt;49.5%,"Por Mejorar",IF('Resultados Individuales'!Q46&lt;64.5%,"Base",IF('Resultados Individuales'!Q46&lt;84.5%,"Satisfactorio","Óptimo"))),"No rendida o no válida")</f>
        <v>Base</v>
      </c>
      <c r="S46" s="72">
        <v>5.3</v>
      </c>
    </row>
    <row r="47" spans="1:20">
      <c r="A47" s="37">
        <v>21765093</v>
      </c>
      <c r="B47" s="50">
        <v>3</v>
      </c>
      <c r="C47" s="50" t="s">
        <v>227</v>
      </c>
      <c r="D47" s="63" t="s">
        <v>228</v>
      </c>
      <c r="E47" s="63" t="s">
        <v>229</v>
      </c>
      <c r="F47" s="63" t="s">
        <v>230</v>
      </c>
      <c r="G47" s="36"/>
      <c r="H47" s="87" t="s">
        <v>66</v>
      </c>
      <c r="I47" s="85">
        <v>45758</v>
      </c>
      <c r="J47" s="61"/>
      <c r="K47" s="62">
        <v>2</v>
      </c>
      <c r="L47" s="64">
        <v>3</v>
      </c>
      <c r="M47" s="64">
        <v>2</v>
      </c>
      <c r="N47" s="64">
        <v>3</v>
      </c>
      <c r="O47" s="64"/>
      <c r="P47" s="78">
        <f t="shared" si="0"/>
        <v>10</v>
      </c>
      <c r="Q47" s="79">
        <f t="shared" si="1"/>
        <v>0.625</v>
      </c>
      <c r="R47" s="96" t="str">
        <f>IF(H47="Rendida ",IF('Resultados Individuales'!Q47&lt;49.5%,"Por Mejorar",IF('Resultados Individuales'!Q47&lt;64.5%,"Base",IF('Resultados Individuales'!Q47&lt;84.5%,"Satisfactorio","Óptimo"))),"No rendida o no válida")</f>
        <v>Base</v>
      </c>
      <c r="S47" s="72">
        <v>5.5</v>
      </c>
    </row>
    <row r="48" spans="1:20">
      <c r="A48" s="37">
        <v>21765769</v>
      </c>
      <c r="B48" s="50">
        <v>5</v>
      </c>
      <c r="C48" s="50" t="s">
        <v>231</v>
      </c>
      <c r="D48" s="63" t="s">
        <v>232</v>
      </c>
      <c r="E48" s="63" t="s">
        <v>233</v>
      </c>
      <c r="F48" s="63" t="s">
        <v>234</v>
      </c>
      <c r="G48" s="70"/>
      <c r="H48" s="87" t="s">
        <v>66</v>
      </c>
      <c r="I48" s="85">
        <v>45758</v>
      </c>
      <c r="J48" s="65"/>
      <c r="K48" s="67">
        <v>2</v>
      </c>
      <c r="L48" s="68">
        <v>2</v>
      </c>
      <c r="M48" s="68">
        <v>2</v>
      </c>
      <c r="N48" s="68">
        <v>2</v>
      </c>
      <c r="O48" s="68"/>
      <c r="P48" s="78">
        <f t="shared" si="0"/>
        <v>8</v>
      </c>
      <c r="Q48" s="79">
        <f t="shared" si="1"/>
        <v>0.5</v>
      </c>
      <c r="R48" s="96" t="str">
        <f>IF(H48="Rendida ",IF('Resultados Individuales'!Q48&lt;49.5%,"Por Mejorar",IF('Resultados Individuales'!Q48&lt;64.5%,"Base",IF('Resultados Individuales'!Q48&lt;84.5%,"Satisfactorio","Óptimo"))),"No rendida o no válida")</f>
        <v>Base</v>
      </c>
      <c r="S48" s="72">
        <v>4.9000000000000004</v>
      </c>
    </row>
    <row r="49" spans="1:19">
      <c r="A49" s="37">
        <v>21784581</v>
      </c>
      <c r="B49" s="50">
        <v>5</v>
      </c>
      <c r="C49" s="50" t="s">
        <v>235</v>
      </c>
      <c r="D49" s="63" t="s">
        <v>236</v>
      </c>
      <c r="E49" s="63" t="s">
        <v>237</v>
      </c>
      <c r="F49" s="63" t="s">
        <v>238</v>
      </c>
      <c r="G49" s="73"/>
      <c r="H49" s="87" t="s">
        <v>66</v>
      </c>
      <c r="I49" s="85">
        <v>45758</v>
      </c>
      <c r="J49" s="61"/>
      <c r="K49" s="62">
        <v>3</v>
      </c>
      <c r="L49" s="64">
        <v>2</v>
      </c>
      <c r="M49" s="64">
        <v>2</v>
      </c>
      <c r="N49" s="64">
        <v>1</v>
      </c>
      <c r="O49" s="64"/>
      <c r="P49" s="78">
        <f t="shared" si="0"/>
        <v>8</v>
      </c>
      <c r="Q49" s="79">
        <f t="shared" si="1"/>
        <v>0.5</v>
      </c>
      <c r="R49" s="96" t="str">
        <f>IF(H49="Rendida ",IF('Resultados Individuales'!Q49&lt;49.5%,"Por Mejorar",IF('Resultados Individuales'!Q49&lt;64.5%,"Base",IF('Resultados Individuales'!Q49&lt;84.5%,"Satisfactorio","Óptimo"))),"No rendida o no válida")</f>
        <v>Base</v>
      </c>
      <c r="S49" s="72">
        <v>5.4</v>
      </c>
    </row>
    <row r="50" spans="1:19">
      <c r="A50" s="37">
        <v>21794412</v>
      </c>
      <c r="B50" s="50">
        <v>0</v>
      </c>
      <c r="C50" s="50" t="s">
        <v>239</v>
      </c>
      <c r="D50" s="63" t="s">
        <v>240</v>
      </c>
      <c r="E50" s="63" t="s">
        <v>241</v>
      </c>
      <c r="F50" s="63" t="s">
        <v>242</v>
      </c>
      <c r="G50" s="73"/>
      <c r="H50" s="87" t="s">
        <v>66</v>
      </c>
      <c r="I50" s="85">
        <v>45758</v>
      </c>
      <c r="J50" s="61"/>
      <c r="K50" s="62">
        <v>1</v>
      </c>
      <c r="L50" s="64">
        <v>1</v>
      </c>
      <c r="M50" s="64">
        <v>1</v>
      </c>
      <c r="N50" s="64">
        <v>1</v>
      </c>
      <c r="O50" s="64"/>
      <c r="P50" s="78">
        <f t="shared" si="0"/>
        <v>4</v>
      </c>
      <c r="Q50" s="79">
        <f t="shared" si="1"/>
        <v>0.25</v>
      </c>
      <c r="R50" s="96" t="str">
        <f>IF(H50="Rendida ",IF('Resultados Individuales'!Q50&lt;49.5%,"Por Mejorar",IF('Resultados Individuales'!Q50&lt;64.5%,"Base",IF('Resultados Individuales'!Q50&lt;84.5%,"Satisfactorio","Óptimo"))),"No rendida o no válida")</f>
        <v>Por Mejorar</v>
      </c>
      <c r="S50" s="72">
        <v>5.0999999999999996</v>
      </c>
    </row>
    <row r="51" spans="1:19">
      <c r="A51" s="37">
        <v>21814403</v>
      </c>
      <c r="B51" s="50">
        <v>9</v>
      </c>
      <c r="C51" s="50" t="s">
        <v>243</v>
      </c>
      <c r="D51" s="93" t="s">
        <v>244</v>
      </c>
      <c r="E51" s="93" t="s">
        <v>245</v>
      </c>
      <c r="F51" s="93" t="s">
        <v>246</v>
      </c>
      <c r="G51" s="36"/>
      <c r="H51" s="87" t="s">
        <v>95</v>
      </c>
      <c r="I51" s="89"/>
      <c r="J51" s="75" t="s">
        <v>247</v>
      </c>
      <c r="K51" s="76"/>
      <c r="L51" s="77"/>
      <c r="M51" s="77"/>
      <c r="N51" s="77"/>
      <c r="O51" s="77"/>
      <c r="P51" s="78">
        <f t="shared" si="0"/>
        <v>0</v>
      </c>
      <c r="Q51" s="79">
        <f t="shared" si="1"/>
        <v>0</v>
      </c>
      <c r="R51" s="96" t="str">
        <f>IF(H51="Rendida ",IF('Resultados Individuales'!Q51&lt;49.5%,"Por Mejorar",IF('Resultados Individuales'!Q51&lt;64.5%,"Base",IF('Resultados Individuales'!Q51&lt;84.5%,"Satisfactorio","Óptimo"))),"No rendida o no válida")</f>
        <v>No rendida o no válida</v>
      </c>
      <c r="S51" s="90"/>
    </row>
    <row r="52" spans="1:19">
      <c r="A52" s="37">
        <v>21872152</v>
      </c>
      <c r="B52" s="50">
        <v>4</v>
      </c>
      <c r="C52" s="50" t="s">
        <v>248</v>
      </c>
      <c r="D52" s="63" t="s">
        <v>249</v>
      </c>
      <c r="E52" s="63" t="s">
        <v>250</v>
      </c>
      <c r="F52" s="63" t="s">
        <v>251</v>
      </c>
      <c r="G52" s="36"/>
      <c r="H52" s="87" t="s">
        <v>66</v>
      </c>
      <c r="I52" s="85">
        <v>45758</v>
      </c>
      <c r="J52" s="61"/>
      <c r="K52" s="62">
        <v>2</v>
      </c>
      <c r="L52" s="64">
        <v>2</v>
      </c>
      <c r="M52" s="64">
        <v>1</v>
      </c>
      <c r="N52" s="64">
        <v>1</v>
      </c>
      <c r="O52" s="64"/>
      <c r="P52" s="78">
        <f t="shared" si="0"/>
        <v>6</v>
      </c>
      <c r="Q52" s="79">
        <f t="shared" si="1"/>
        <v>0.375</v>
      </c>
      <c r="R52" s="96" t="str">
        <f>IF(H52="Rendida ",IF('Resultados Individuales'!Q52&lt;49.5%,"Por Mejorar",IF('Resultados Individuales'!Q52&lt;64.5%,"Base",IF('Resultados Individuales'!Q52&lt;84.5%,"Satisfactorio","Óptimo"))),"No rendida o no válida")</f>
        <v>Por Mejorar</v>
      </c>
      <c r="S52" s="72">
        <v>4.7</v>
      </c>
    </row>
    <row r="53" spans="1:19">
      <c r="A53" s="37">
        <v>22586800</v>
      </c>
      <c r="B53" s="50" t="s">
        <v>252</v>
      </c>
      <c r="C53" s="50" t="s">
        <v>253</v>
      </c>
      <c r="D53" s="63" t="s">
        <v>254</v>
      </c>
      <c r="E53" s="63" t="s">
        <v>255</v>
      </c>
      <c r="F53" s="63" t="s">
        <v>256</v>
      </c>
      <c r="G53" s="36"/>
      <c r="H53" s="87" t="s">
        <v>66</v>
      </c>
      <c r="I53" s="85">
        <v>45758</v>
      </c>
      <c r="J53" s="61"/>
      <c r="K53" s="62">
        <v>3</v>
      </c>
      <c r="L53" s="64">
        <v>3</v>
      </c>
      <c r="M53" s="64">
        <v>3</v>
      </c>
      <c r="N53" s="64">
        <v>4</v>
      </c>
      <c r="O53" s="64"/>
      <c r="P53" s="78">
        <f t="shared" si="0"/>
        <v>13</v>
      </c>
      <c r="Q53" s="79">
        <f t="shared" si="1"/>
        <v>0.8125</v>
      </c>
      <c r="R53" s="96" t="str">
        <f>IF(H53="Rendida ",IF('Resultados Individuales'!Q53&lt;49.5%,"Por Mejorar",IF('Resultados Individuales'!Q53&lt;64.5%,"Base",IF('Resultados Individuales'!Q53&lt;84.5%,"Satisfactorio","Óptimo"))),"No rendida o no válida")</f>
        <v>Satisfactorio</v>
      </c>
      <c r="S53" s="72">
        <v>5.0999999999999996</v>
      </c>
    </row>
    <row r="54" spans="1:19">
      <c r="A54" s="37">
        <v>26763799</v>
      </c>
      <c r="B54" s="50">
        <v>7</v>
      </c>
      <c r="C54" s="50" t="s">
        <v>257</v>
      </c>
      <c r="D54" s="63" t="s">
        <v>258</v>
      </c>
      <c r="E54" s="63" t="s">
        <v>259</v>
      </c>
      <c r="F54" s="63" t="s">
        <v>260</v>
      </c>
      <c r="G54" s="36"/>
      <c r="H54" s="87" t="s">
        <v>66</v>
      </c>
      <c r="I54" s="85">
        <v>45758</v>
      </c>
      <c r="J54" s="61"/>
      <c r="K54" s="62">
        <v>1</v>
      </c>
      <c r="L54" s="64">
        <v>2</v>
      </c>
      <c r="M54" s="64">
        <v>2</v>
      </c>
      <c r="N54" s="64">
        <v>3</v>
      </c>
      <c r="O54" s="64"/>
      <c r="P54" s="78">
        <f t="shared" si="0"/>
        <v>8</v>
      </c>
      <c r="Q54" s="79">
        <f t="shared" si="1"/>
        <v>0.5</v>
      </c>
      <c r="R54" s="96" t="str">
        <f>IF(H54="Rendida ",IF('Resultados Individuales'!Q54&lt;49.5%,"Por Mejorar",IF('Resultados Individuales'!Q54&lt;64.5%,"Base",IF('Resultados Individuales'!Q54&lt;84.5%,"Satisfactorio","Óptimo"))),"No rendida o no válida")</f>
        <v>Base</v>
      </c>
      <c r="S54" s="72">
        <v>5.3</v>
      </c>
    </row>
    <row r="55" spans="1:19">
      <c r="A55" s="27"/>
      <c r="B55" s="50"/>
      <c r="C55" s="50"/>
      <c r="D55" s="49"/>
      <c r="E55" s="49"/>
      <c r="F55" s="49"/>
      <c r="G55" s="35"/>
      <c r="H55" s="87"/>
      <c r="I55" s="66"/>
      <c r="J55" s="65"/>
      <c r="K55" s="67"/>
      <c r="L55" s="68"/>
      <c r="M55" s="68"/>
      <c r="N55" s="68"/>
      <c r="O55" s="68"/>
      <c r="P55" s="78">
        <f t="shared" si="0"/>
        <v>0</v>
      </c>
      <c r="Q55" s="79">
        <f t="shared" si="1"/>
        <v>0</v>
      </c>
      <c r="R55" s="96"/>
      <c r="S55" s="72"/>
    </row>
    <row r="56" spans="1:19"/>
    <row r="57" spans="1:19"/>
    <row r="58" spans="1:19"/>
    <row r="59" spans="1:19"/>
    <row r="60" spans="1:19"/>
    <row r="61" spans="1:19"/>
    <row r="62" spans="1:19"/>
    <row r="63" spans="1:19"/>
    <row r="64" spans="1:19"/>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sheetData>
  <mergeCells count="3">
    <mergeCell ref="P1:R2"/>
    <mergeCell ref="A1:J2"/>
    <mergeCell ref="K1:O2"/>
  </mergeCell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G4:G55</xm:sqref>
        </x14:dataValidation>
        <x14:dataValidation type="list" allowBlank="1" showInputMessage="1" showErrorMessage="1" xr:uid="{814046D8-0D01-4803-92BA-E5A904CCFC14}">
          <x14:formula1>
            <xm:f>'Validación datos NO BORRAR'!$F$4:$F$7</xm:f>
          </x14:formula1>
          <xm:sqref>H4:H55</xm:sqref>
        </x14:dataValidation>
        <x14:dataValidation type="list" allowBlank="1" showInputMessage="1" showErrorMessage="1" xr:uid="{EEE5D106-6DEF-4A5D-9A4C-E1CD814D0053}">
          <x14:formula1>
            <xm:f>'Validación datos NO BORRAR'!$G$4:$G$6</xm:f>
          </x14:formula1>
          <xm:sqref>J4:J55</xm:sqref>
        </x14:dataValidation>
        <x14:dataValidation type="list" allowBlank="1" showInputMessage="1" showErrorMessage="1" xr:uid="{B6519D9A-5979-4C12-97BA-4EA401009AB9}">
          <x14:formula1>
            <xm:f>'Validación datos NO BORRAR'!$H$4:$H$8</xm:f>
          </x14:formula1>
          <xm:sqref>K4:O55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K4"/>
  <sheetViews>
    <sheetView workbookViewId="0">
      <selection activeCell="N1" sqref="N1"/>
    </sheetView>
  </sheetViews>
  <sheetFormatPr defaultColWidth="11.42578125" defaultRowHeight="14.45"/>
  <cols>
    <col min="1" max="1" width="18.85546875" customWidth="1"/>
    <col min="2" max="3" width="28.140625" customWidth="1"/>
    <col min="4" max="4" width="20.42578125" customWidth="1"/>
    <col min="5" max="5" width="20.140625" customWidth="1"/>
    <col min="6" max="6" width="20.7109375" customWidth="1"/>
    <col min="7" max="7" width="18.7109375" customWidth="1"/>
    <col min="8" max="8" width="18.42578125" customWidth="1"/>
    <col min="9" max="11" width="14.28515625" customWidth="1"/>
  </cols>
  <sheetData>
    <row r="1" spans="1:11" ht="164.25" customHeight="1" thickBot="1">
      <c r="D1" s="142" t="s">
        <v>261</v>
      </c>
      <c r="E1" s="143"/>
      <c r="F1" s="143"/>
      <c r="G1" s="143"/>
      <c r="H1" s="144"/>
      <c r="I1" s="125" t="s">
        <v>262</v>
      </c>
      <c r="J1" s="125"/>
      <c r="K1" s="125"/>
    </row>
    <row r="2" spans="1:11" ht="142.9" customHeight="1" thickBot="1">
      <c r="A2" s="38" t="s">
        <v>263</v>
      </c>
      <c r="B2" s="52" t="s">
        <v>264</v>
      </c>
      <c r="C2" s="52" t="s">
        <v>265</v>
      </c>
      <c r="D2" s="46" t="s">
        <v>54</v>
      </c>
      <c r="E2" s="47" t="s">
        <v>55</v>
      </c>
      <c r="F2" s="48" t="s">
        <v>56</v>
      </c>
      <c r="G2" s="48" t="s">
        <v>57</v>
      </c>
      <c r="H2" s="48"/>
      <c r="I2" s="53" t="s">
        <v>266</v>
      </c>
      <c r="J2" s="53" t="s">
        <v>267</v>
      </c>
      <c r="K2" s="53" t="s">
        <v>268</v>
      </c>
    </row>
    <row r="3" spans="1:11">
      <c r="A3" s="27">
        <v>51</v>
      </c>
      <c r="B3" s="27">
        <v>47</v>
      </c>
      <c r="C3" s="95">
        <v>0.92</v>
      </c>
      <c r="D3" s="27"/>
      <c r="E3" s="27"/>
      <c r="F3" s="27"/>
      <c r="G3" s="27"/>
      <c r="H3" s="27"/>
    </row>
    <row r="4" spans="1:11">
      <c r="C4" s="27"/>
    </row>
  </sheetData>
  <mergeCells count="2">
    <mergeCell ref="I1:K1"/>
    <mergeCell ref="D1:H1"/>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BORRAR'!$H$4:$H$8</xm:f>
          </x14:formula1>
          <xm:sqref>D3:H203 A39:C203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E1" workbookViewId="0">
      <selection activeCell="G4" sqref="G4"/>
    </sheetView>
  </sheetViews>
  <sheetFormatPr defaultColWidth="11.42578125" defaultRowHeight="14.45"/>
  <cols>
    <col min="5" max="5" width="71" customWidth="1"/>
    <col min="6" max="6" width="20.140625" customWidth="1"/>
    <col min="7" max="7" width="31.7109375" customWidth="1"/>
    <col min="8" max="8" width="27.28515625" customWidth="1"/>
  </cols>
  <sheetData>
    <row r="1" spans="5:8">
      <c r="H1" s="44"/>
    </row>
    <row r="2" spans="5:8" ht="64.5" customHeight="1">
      <c r="H2" s="37"/>
    </row>
    <row r="3" spans="5:8" ht="27.6">
      <c r="E3" s="28" t="s">
        <v>269</v>
      </c>
      <c r="F3" s="29" t="s">
        <v>51</v>
      </c>
      <c r="G3" s="29" t="s">
        <v>270</v>
      </c>
      <c r="H3" s="45" t="s">
        <v>271</v>
      </c>
    </row>
    <row r="4" spans="5:8">
      <c r="E4" s="27" t="s">
        <v>272</v>
      </c>
      <c r="F4" s="30" t="s">
        <v>66</v>
      </c>
      <c r="G4" s="27" t="s">
        <v>96</v>
      </c>
      <c r="H4" s="32">
        <v>0</v>
      </c>
    </row>
    <row r="5" spans="5:8">
      <c r="E5" s="27" t="s">
        <v>273</v>
      </c>
      <c r="F5" s="30" t="s">
        <v>95</v>
      </c>
      <c r="G5" s="27" t="s">
        <v>247</v>
      </c>
      <c r="H5" s="32">
        <v>1</v>
      </c>
    </row>
    <row r="6" spans="5:8">
      <c r="E6" s="27" t="s">
        <v>274</v>
      </c>
      <c r="F6" s="30" t="s">
        <v>275</v>
      </c>
      <c r="G6" s="27" t="s">
        <v>143</v>
      </c>
      <c r="H6" s="32">
        <v>2</v>
      </c>
    </row>
    <row r="7" spans="5:8">
      <c r="E7" s="27" t="s">
        <v>94</v>
      </c>
      <c r="F7" s="27" t="s">
        <v>143</v>
      </c>
      <c r="G7" s="27"/>
      <c r="H7" s="32">
        <v>3</v>
      </c>
    </row>
    <row r="8" spans="5:8">
      <c r="E8" s="27" t="s">
        <v>276</v>
      </c>
      <c r="F8" s="27"/>
      <c r="G8" s="27"/>
      <c r="H8" s="32">
        <v>4</v>
      </c>
    </row>
    <row r="9" spans="5:8">
      <c r="E9" s="27" t="s">
        <v>277</v>
      </c>
      <c r="F9" s="27"/>
      <c r="G9" s="27"/>
      <c r="H9" s="32"/>
    </row>
    <row r="10" spans="5:8">
      <c r="E10" s="27"/>
      <c r="F10" s="27"/>
      <c r="G10" s="27"/>
      <c r="H10" s="32"/>
    </row>
    <row r="11" spans="5:8">
      <c r="E11" s="27"/>
      <c r="F11" s="27"/>
      <c r="G11" s="27"/>
      <c r="H11" s="32"/>
    </row>
    <row r="12" spans="5:8">
      <c r="E12" s="27"/>
      <c r="F12" s="27"/>
      <c r="G12" s="27"/>
      <c r="H12" s="32"/>
    </row>
    <row r="13" spans="5:8">
      <c r="E13" s="27"/>
      <c r="F13" s="27"/>
      <c r="G13" s="27"/>
      <c r="H13" s="32"/>
    </row>
    <row r="14" spans="5:8">
      <c r="E14" s="27"/>
      <c r="F14" s="27"/>
      <c r="G14" s="27"/>
      <c r="H14" s="32"/>
    </row>
    <row r="15" spans="5:8">
      <c r="E15" s="27"/>
      <c r="F15" s="27"/>
      <c r="G15" s="27"/>
      <c r="H15" s="32"/>
    </row>
    <row r="16" spans="5:8">
      <c r="E16" s="27"/>
      <c r="F16" s="27"/>
      <c r="G16" s="27"/>
      <c r="H16" s="32"/>
    </row>
    <row r="17" spans="5:8">
      <c r="E17" s="27"/>
      <c r="F17" s="27"/>
      <c r="G17" s="27"/>
      <c r="H17"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0765-4981-4869-A2F6-4FCD4F83535E}">
  <dimension ref="B1:L13"/>
  <sheetViews>
    <sheetView topLeftCell="A3" workbookViewId="0">
      <selection activeCell="D13" sqref="D13:K13"/>
    </sheetView>
  </sheetViews>
  <sheetFormatPr defaultColWidth="11.42578125" defaultRowHeight="14.45"/>
  <cols>
    <col min="1" max="1" width="4.28515625" style="54" customWidth="1"/>
    <col min="2" max="2" width="5.28515625" style="54" customWidth="1"/>
    <col min="3" max="3" width="17.7109375" style="54" customWidth="1"/>
    <col min="4" max="10" width="11.42578125" style="54"/>
    <col min="11" max="11" width="23.140625" style="54" customWidth="1"/>
    <col min="12" max="12" width="62.140625" style="54" customWidth="1"/>
    <col min="13" max="16384" width="11.42578125" style="54"/>
  </cols>
  <sheetData>
    <row r="1" spans="2:12" ht="135" customHeight="1">
      <c r="B1" s="146"/>
      <c r="C1" s="146"/>
      <c r="D1" s="146"/>
      <c r="E1" s="146"/>
      <c r="F1" s="146"/>
      <c r="G1" s="146"/>
      <c r="H1" s="146"/>
      <c r="I1" s="146"/>
      <c r="J1" s="146"/>
      <c r="K1" s="146"/>
      <c r="L1" s="146"/>
    </row>
    <row r="2" spans="2:12" ht="13.5" customHeight="1">
      <c r="B2" s="147" t="s">
        <v>278</v>
      </c>
      <c r="C2" s="147"/>
      <c r="D2" s="147"/>
      <c r="E2" s="147"/>
      <c r="F2" s="147"/>
      <c r="G2" s="147"/>
      <c r="H2" s="147"/>
      <c r="I2" s="147"/>
      <c r="J2" s="147"/>
      <c r="K2" s="147"/>
      <c r="L2" s="147"/>
    </row>
    <row r="3" spans="2:12" ht="15" customHeight="1">
      <c r="B3" s="147" t="s">
        <v>279</v>
      </c>
      <c r="C3" s="147"/>
      <c r="D3" s="147"/>
      <c r="E3" s="147"/>
      <c r="F3" s="147"/>
      <c r="G3" s="147"/>
      <c r="H3" s="147"/>
      <c r="I3" s="147"/>
      <c r="J3" s="147"/>
      <c r="K3" s="147"/>
      <c r="L3" s="147"/>
    </row>
    <row r="4" spans="2:12" ht="15" customHeight="1">
      <c r="B4" s="148" t="s">
        <v>280</v>
      </c>
      <c r="C4" s="148"/>
      <c r="D4" s="148"/>
      <c r="E4" s="148"/>
      <c r="F4" s="148"/>
      <c r="G4" s="148"/>
      <c r="H4" s="148"/>
      <c r="I4" s="148"/>
      <c r="J4" s="148"/>
      <c r="K4" s="148"/>
      <c r="L4" s="148"/>
    </row>
    <row r="5" spans="2:12" ht="13.5" customHeight="1">
      <c r="B5" s="149"/>
      <c r="C5" s="149"/>
      <c r="D5" s="149"/>
      <c r="E5" s="149"/>
      <c r="F5" s="149"/>
      <c r="G5" s="149"/>
      <c r="H5" s="149"/>
      <c r="I5" s="149"/>
      <c r="J5" s="149"/>
      <c r="K5" s="149"/>
      <c r="L5" s="149"/>
    </row>
    <row r="6" spans="2:12" ht="13.5" customHeight="1">
      <c r="B6" s="145" t="s">
        <v>281</v>
      </c>
      <c r="C6" s="145"/>
      <c r="D6" s="145"/>
      <c r="E6" s="145"/>
      <c r="F6" s="145"/>
      <c r="G6" s="145"/>
      <c r="H6" s="145"/>
      <c r="I6" s="145"/>
      <c r="J6" s="145"/>
      <c r="K6" s="145"/>
      <c r="L6" s="145"/>
    </row>
    <row r="7" spans="2:12">
      <c r="B7" s="151"/>
      <c r="C7" s="151"/>
      <c r="D7" s="151"/>
      <c r="E7" s="151"/>
      <c r="F7" s="151"/>
      <c r="G7" s="151"/>
      <c r="H7" s="151"/>
      <c r="I7" s="151"/>
      <c r="J7" s="151"/>
      <c r="K7" s="151"/>
      <c r="L7" s="151"/>
    </row>
    <row r="8" spans="2:12">
      <c r="B8" s="152" t="s">
        <v>282</v>
      </c>
      <c r="C8" s="152"/>
      <c r="D8" s="152"/>
      <c r="E8" s="152"/>
      <c r="F8" s="152"/>
      <c r="G8" s="152"/>
      <c r="H8" s="152"/>
      <c r="I8" s="152"/>
      <c r="J8" s="152"/>
      <c r="K8" s="152"/>
      <c r="L8" s="152"/>
    </row>
    <row r="9" spans="2:12" ht="55.5" customHeight="1">
      <c r="B9" s="153" t="s">
        <v>283</v>
      </c>
      <c r="C9" s="153"/>
      <c r="D9" s="153"/>
      <c r="E9" s="153"/>
      <c r="F9" s="153"/>
      <c r="G9" s="153"/>
      <c r="H9" s="153"/>
      <c r="I9" s="153"/>
      <c r="J9" s="153"/>
      <c r="K9" s="153"/>
      <c r="L9" s="153"/>
    </row>
    <row r="10" spans="2:12" ht="15">
      <c r="B10" s="55" t="s">
        <v>284</v>
      </c>
      <c r="C10" s="55" t="s">
        <v>285</v>
      </c>
      <c r="D10" s="152" t="s">
        <v>286</v>
      </c>
      <c r="E10" s="152"/>
      <c r="F10" s="152"/>
      <c r="G10" s="152"/>
      <c r="H10" s="152"/>
      <c r="I10" s="152"/>
      <c r="J10" s="152"/>
      <c r="K10" s="152"/>
      <c r="L10" s="55" t="s">
        <v>287</v>
      </c>
    </row>
    <row r="11" spans="2:12" ht="87.75" customHeight="1">
      <c r="B11" s="55" t="s">
        <v>288</v>
      </c>
      <c r="C11" s="56" t="s">
        <v>289</v>
      </c>
      <c r="D11" s="154" t="s">
        <v>290</v>
      </c>
      <c r="E11" s="155"/>
      <c r="F11" s="155"/>
      <c r="G11" s="155"/>
      <c r="H11" s="155"/>
      <c r="I11" s="155"/>
      <c r="J11" s="155"/>
      <c r="K11" s="156"/>
      <c r="L11" s="94" t="s">
        <v>291</v>
      </c>
    </row>
    <row r="12" spans="2:12" ht="96.75" customHeight="1">
      <c r="B12" s="55" t="s">
        <v>292</v>
      </c>
      <c r="C12" s="56" t="s">
        <v>293</v>
      </c>
      <c r="D12" s="157" t="s">
        <v>294</v>
      </c>
      <c r="E12" s="155"/>
      <c r="F12" s="155"/>
      <c r="G12" s="155"/>
      <c r="H12" s="155"/>
      <c r="I12" s="155"/>
      <c r="J12" s="155"/>
      <c r="K12" s="156"/>
      <c r="L12" s="94" t="s">
        <v>295</v>
      </c>
    </row>
    <row r="13" spans="2:12" ht="93" customHeight="1">
      <c r="B13" s="55" t="s">
        <v>296</v>
      </c>
      <c r="C13" s="56" t="s">
        <v>297</v>
      </c>
      <c r="D13" s="150" t="s">
        <v>298</v>
      </c>
      <c r="E13" s="150"/>
      <c r="F13" s="150"/>
      <c r="G13" s="150"/>
      <c r="H13" s="150"/>
      <c r="I13" s="150"/>
      <c r="J13" s="150"/>
      <c r="K13" s="150"/>
      <c r="L13" s="94" t="s">
        <v>299</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45"/>
  <cols>
    <col min="1" max="1" width="17.5703125" bestFit="1" customWidth="1"/>
  </cols>
  <sheetData>
    <row r="1" spans="1:3" ht="15.6">
      <c r="A1" s="2" t="s">
        <v>300</v>
      </c>
      <c r="C1" t="s">
        <v>301</v>
      </c>
    </row>
    <row r="2" spans="1:3" ht="15.6">
      <c r="A2" s="2" t="s">
        <v>302</v>
      </c>
      <c r="C2" t="s">
        <v>303</v>
      </c>
    </row>
    <row r="3" spans="1:3" ht="15.6">
      <c r="A3" s="2" t="s">
        <v>304</v>
      </c>
    </row>
    <row r="4" spans="1:3" ht="15.6">
      <c r="A4" s="2"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CENTRO DE EVALUACION PARA LA FORMACION ACADEMICA</cp:lastModifiedBy>
  <cp:revision/>
  <dcterms:created xsi:type="dcterms:W3CDTF">2024-06-12T20:22:02Z</dcterms:created>
  <dcterms:modified xsi:type="dcterms:W3CDTF">2025-07-28T19:20:07Z</dcterms:modified>
  <cp:category/>
  <cp:contentStatus/>
</cp:coreProperties>
</file>